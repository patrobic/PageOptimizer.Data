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13_ncr:1_{EE07F8A9-3788-44DB-AA65-A3CB2DB25E00}" xr6:coauthVersionLast="46" xr6:coauthVersionMax="46" xr10:uidLastSave="{00000000-0000-0000-0000-000000000000}"/>
  <bookViews>
    <workbookView xWindow="-120" yWindow="-120" windowWidth="29040" windowHeight="15990" activeTab="1" xr2:uid="{1898BBCD-4A5D-4B3F-9317-061045B18130}"/>
  </bookViews>
  <sheets>
    <sheet name="Statistics" sheetId="5" r:id="rId1"/>
    <sheet name="Album" sheetId="4" r:id="rId2"/>
    <sheet name="Track" sheetId="1" r:id="rId3"/>
  </sheets>
  <definedNames>
    <definedName name="_xlnm._FilterDatabase" localSheetId="1">Album!$A$1:$L$45</definedName>
    <definedName name="_xlnm._FilterDatabase" localSheetId="2" hidden="1">Track!$A$1:$L$447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2" i="1"/>
  <c r="A2" i="1"/>
  <c r="K3" i="4" l="1"/>
  <c r="K5" i="4"/>
  <c r="K4" i="4"/>
  <c r="K6" i="4"/>
  <c r="K8" i="4"/>
  <c r="K10" i="4"/>
  <c r="K11" i="4"/>
  <c r="K9" i="4"/>
  <c r="K45" i="4" l="1"/>
  <c r="K13" i="4"/>
  <c r="K14" i="4"/>
  <c r="K15" i="4"/>
  <c r="K16" i="4"/>
  <c r="K17" i="4"/>
  <c r="K18" i="4"/>
  <c r="K19" i="4"/>
  <c r="K20" i="4"/>
  <c r="K21" i="4"/>
  <c r="K23" i="4"/>
  <c r="K25" i="4"/>
  <c r="K28" i="4"/>
  <c r="K29" i="4"/>
  <c r="K30" i="4"/>
  <c r="K33" i="4"/>
  <c r="K34" i="4"/>
  <c r="K37" i="4"/>
  <c r="K38" i="4"/>
  <c r="K39" i="4"/>
  <c r="K40" i="4"/>
  <c r="K41" i="4"/>
  <c r="K42" i="4"/>
  <c r="K43" i="4"/>
  <c r="K2" i="4"/>
  <c r="K22" i="4"/>
  <c r="K24" i="4"/>
  <c r="K7" i="4"/>
  <c r="K26" i="4"/>
  <c r="K27" i="4"/>
  <c r="K36" i="4"/>
  <c r="K31" i="4"/>
  <c r="K35" i="4"/>
  <c r="K32" i="4"/>
  <c r="K44" i="4"/>
  <c r="K12" i="4"/>
  <c r="B18" i="5" l="1"/>
  <c r="F17" i="5"/>
  <c r="F13" i="5"/>
  <c r="F5" i="5"/>
</calcChain>
</file>

<file path=xl/sharedStrings.xml><?xml version="1.0" encoding="utf-8"?>
<sst xmlns="http://schemas.openxmlformats.org/spreadsheetml/2006/main" count="2139" uniqueCount="697">
  <si>
    <t>G</t>
  </si>
  <si>
    <t>O Come All Ye Faithful</t>
  </si>
  <si>
    <t>C</t>
  </si>
  <si>
    <t>Angels We Have Heard On High</t>
  </si>
  <si>
    <t>B</t>
  </si>
  <si>
    <t>Go Tell It On The Mountain</t>
  </si>
  <si>
    <t>Silent Night</t>
  </si>
  <si>
    <t>E</t>
  </si>
  <si>
    <t>Joy To The World</t>
  </si>
  <si>
    <t>F#</t>
  </si>
  <si>
    <t>What Child Is This</t>
  </si>
  <si>
    <t>Come Thou Long Expected Jesus</t>
  </si>
  <si>
    <t>F</t>
  </si>
  <si>
    <t>O Little Town of Bethlehem</t>
  </si>
  <si>
    <t>Hark the Herald Angels Sing</t>
  </si>
  <si>
    <t>A</t>
  </si>
  <si>
    <t>Face of God</t>
  </si>
  <si>
    <t>Away in a Manger</t>
  </si>
  <si>
    <t>Bb</t>
  </si>
  <si>
    <t>It Came Upon A Midnight Clear</t>
  </si>
  <si>
    <t>D</t>
  </si>
  <si>
    <t>Eb</t>
  </si>
  <si>
    <t>Ab</t>
  </si>
  <si>
    <t>Crown Him With Many Crowns</t>
  </si>
  <si>
    <t>My Jesus I Love Thee</t>
  </si>
  <si>
    <t>All Hail The Power of Jesus Name</t>
  </si>
  <si>
    <t>Db</t>
  </si>
  <si>
    <t>Tempo</t>
  </si>
  <si>
    <t>Key</t>
  </si>
  <si>
    <t>The Worship Initiative</t>
  </si>
  <si>
    <t>Title</t>
  </si>
  <si>
    <t>Author</t>
  </si>
  <si>
    <t>The Worship Initiative, Vol. 10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</si>
  <si>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</si>
  <si>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</si>
  <si>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</si>
  <si>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</si>
  <si>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</si>
  <si>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</si>
  <si>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</si>
  <si>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</si>
  <si>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</si>
  <si>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</si>
  <si>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</si>
  <si>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</si>
  <si>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</si>
  <si>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N/A</t>
  </si>
  <si>
    <t>Matt Redman</t>
  </si>
  <si>
    <t>Stuart Townend</t>
  </si>
  <si>
    <t>Jared Anderson</t>
  </si>
  <si>
    <t>Dennis Jernigan</t>
  </si>
  <si>
    <t>Paul Baloche</t>
  </si>
  <si>
    <t>Tim Hughes</t>
  </si>
  <si>
    <t>Chris Tomlin</t>
  </si>
  <si>
    <t>Matt Maher</t>
  </si>
  <si>
    <t>Where You Are</t>
  </si>
  <si>
    <t>Better</t>
  </si>
  <si>
    <t>By The Grace of God</t>
  </si>
  <si>
    <t>Make Room</t>
  </si>
  <si>
    <t>Psalm 13</t>
  </si>
  <si>
    <t>Notes</t>
  </si>
  <si>
    <t>Hymns, Vol. 1</t>
  </si>
  <si>
    <t>Hymns, Vol. 2</t>
  </si>
  <si>
    <t>dup</t>
  </si>
  <si>
    <t>WI Lite</t>
  </si>
  <si>
    <t>Lite</t>
  </si>
  <si>
    <t>WI Singles</t>
  </si>
  <si>
    <t>Year</t>
  </si>
  <si>
    <t>Kickstarter Project</t>
  </si>
  <si>
    <t>Psalms</t>
  </si>
  <si>
    <t>Not on TWI</t>
  </si>
  <si>
    <t>A Worship Initiative Christmas, Vol. 2</t>
  </si>
  <si>
    <t>Mainly duplicates of Vol. 1</t>
  </si>
  <si>
    <t>Hymns (Live)</t>
  </si>
  <si>
    <t>Lots of duplicates</t>
  </si>
  <si>
    <t>Played live but not included on any album</t>
  </si>
  <si>
    <t>Is He Worthy</t>
  </si>
  <si>
    <t>Tis So Sweet</t>
  </si>
  <si>
    <t>How Great Thou Art</t>
  </si>
  <si>
    <t>Come Thou Fount</t>
  </si>
  <si>
    <t>His Mercy is More</t>
  </si>
  <si>
    <t>Amazing Grace</t>
  </si>
  <si>
    <t>The Lord is My Salvation</t>
  </si>
  <si>
    <t>Holy, Holy, Holy</t>
  </si>
  <si>
    <t>He Will Hold Me Fast</t>
  </si>
  <si>
    <t>There is A Fountain</t>
  </si>
  <si>
    <t>My Worth Is Not In What I Own</t>
  </si>
  <si>
    <t>In Christ Alone</t>
  </si>
  <si>
    <t>Category</t>
  </si>
  <si>
    <t>Count</t>
  </si>
  <si>
    <t>Volume</t>
  </si>
  <si>
    <t>TWI Total</t>
  </si>
  <si>
    <t>Volume 1</t>
  </si>
  <si>
    <t>Vol. 1-12</t>
  </si>
  <si>
    <t>ALL CCWS</t>
  </si>
  <si>
    <t>Hymns</t>
  </si>
  <si>
    <t>ALL Other</t>
  </si>
  <si>
    <t>Volume 2</t>
  </si>
  <si>
    <t>Vol. 13-23</t>
  </si>
  <si>
    <t>TWI Special</t>
  </si>
  <si>
    <t>Christmas</t>
  </si>
  <si>
    <t>From CCWS Xmas</t>
  </si>
  <si>
    <t>From CCWS</t>
  </si>
  <si>
    <t>Extra</t>
  </si>
  <si>
    <t>Other</t>
  </si>
  <si>
    <t>Oceans</t>
  </si>
  <si>
    <t/>
  </si>
  <si>
    <t>Hillsong</t>
  </si>
  <si>
    <t>This Is Amazing Grace</t>
  </si>
  <si>
    <t>Phil Wickham</t>
  </si>
  <si>
    <t>All the Poor and Powerless</t>
  </si>
  <si>
    <t>All Sons &amp; Daughters</t>
  </si>
  <si>
    <t>Lord I Need You</t>
  </si>
  <si>
    <t>Passion</t>
  </si>
  <si>
    <t>Beautiful Things</t>
  </si>
  <si>
    <t>Gungor</t>
  </si>
  <si>
    <t>Vol. 1</t>
  </si>
  <si>
    <t>10,000 Reasons</t>
  </si>
  <si>
    <t>Whom Shall I Fear</t>
  </si>
  <si>
    <t>God of Angel Armies</t>
  </si>
  <si>
    <t>Happy Day</t>
  </si>
  <si>
    <t>Heart Starts Beating</t>
  </si>
  <si>
    <t>Tim Neufeld</t>
  </si>
  <si>
    <t>Hosanna</t>
  </si>
  <si>
    <t>Praise is Rising</t>
  </si>
  <si>
    <t>Forever Reign</t>
  </si>
  <si>
    <t>Mercy</t>
  </si>
  <si>
    <t>How Great Is Our God</t>
  </si>
  <si>
    <t>You Are My All In All</t>
  </si>
  <si>
    <t>We Exalt Thee</t>
  </si>
  <si>
    <t>Pete Sanchez Jr.</t>
  </si>
  <si>
    <t>Our God</t>
  </si>
  <si>
    <t>Open the Eyes of My Heart</t>
  </si>
  <si>
    <t>Better Is One Day</t>
  </si>
  <si>
    <t>So I Can Love</t>
  </si>
  <si>
    <t>I Will Follow</t>
  </si>
  <si>
    <t>Liberty</t>
  </si>
  <si>
    <t>Shane &amp; Shane</t>
  </si>
  <si>
    <t>Oh Lord, You're Beautiful</t>
  </si>
  <si>
    <t>Keith Green</t>
  </si>
  <si>
    <t>How He Loves</t>
  </si>
  <si>
    <t>John Mark McMillan</t>
  </si>
  <si>
    <t>Never Once</t>
  </si>
  <si>
    <t>Shout to the Lord</t>
  </si>
  <si>
    <t>Before The Throne of God Above</t>
  </si>
  <si>
    <t>Beautiful One</t>
  </si>
  <si>
    <t>Blessed Be Your Name</t>
  </si>
  <si>
    <t>I Stand Amazed</t>
  </si>
  <si>
    <t>How Marvelous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</si>
  <si>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</si>
  <si>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</si>
  <si>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</si>
  <si>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</si>
  <si>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</si>
  <si>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</si>
  <si>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</si>
  <si>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</si>
  <si>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Hymn</t>
  </si>
  <si>
    <t>O Praise Him</t>
  </si>
  <si>
    <t>All This For a King</t>
  </si>
  <si>
    <t>Crowder</t>
  </si>
  <si>
    <t>Cornerstone</t>
  </si>
  <si>
    <t>Reign In Us</t>
  </si>
  <si>
    <t>Starfield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</si>
  <si>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</si>
  <si>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</si>
  <si>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</si>
  <si>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</si>
  <si>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</si>
  <si>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</si>
  <si>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</si>
  <si>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Natalie Grant</t>
  </si>
  <si>
    <t>The Wonderful Cross</t>
  </si>
  <si>
    <t>Because He Lives</t>
  </si>
  <si>
    <t>William Gaither</t>
  </si>
  <si>
    <t>Now and Always</t>
  </si>
  <si>
    <t>Revelation Song</t>
  </si>
  <si>
    <t>Kari Jobe</t>
  </si>
  <si>
    <t>Great Is Thy Faithfulness</t>
  </si>
  <si>
    <t>The Cross Stands</t>
  </si>
  <si>
    <t>Marvelous Light</t>
  </si>
  <si>
    <t>Charlie Hall</t>
  </si>
  <si>
    <t>Forever</t>
  </si>
  <si>
    <t>Sing Praise</t>
  </si>
  <si>
    <t>One Thing Remains</t>
  </si>
  <si>
    <t>Brian Johnson</t>
  </si>
  <si>
    <t>Lead Me to the Cross</t>
  </si>
  <si>
    <t>Your Grace is Enough</t>
  </si>
  <si>
    <t>You're Beautiful</t>
  </si>
  <si>
    <t>Mighty to Save</t>
  </si>
  <si>
    <t>Glorify Thy Name</t>
  </si>
  <si>
    <t>The Maranatha! Singers</t>
  </si>
  <si>
    <t>Desert Song</t>
  </si>
  <si>
    <t>Holy and Anointed One</t>
  </si>
  <si>
    <t>Brian Doerksen</t>
  </si>
  <si>
    <t>Where Would I Be</t>
  </si>
  <si>
    <t>Patrick Ryan Clark</t>
  </si>
  <si>
    <t>Everything is Different</t>
  </si>
  <si>
    <t>Everlasting God</t>
  </si>
  <si>
    <t>Brenton Brown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</si>
  <si>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</si>
  <si>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</si>
  <si>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</si>
  <si>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</si>
  <si>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</si>
  <si>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</si>
  <si>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</si>
  <si>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</si>
  <si>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My Chains Are Gone</t>
  </si>
  <si>
    <t>Alive Again</t>
  </si>
  <si>
    <t>Yearn</t>
  </si>
  <si>
    <t>Your Love Is Strong</t>
  </si>
  <si>
    <t>Jon Foreman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</si>
  <si>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</si>
  <si>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</si>
  <si>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</si>
  <si>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</si>
  <si>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</si>
  <si>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</si>
  <si>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</si>
  <si>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Twila Paris</t>
  </si>
  <si>
    <t>When the Stars Burn Down</t>
  </si>
  <si>
    <t>Phillips Craig &amp; Dean</t>
  </si>
  <si>
    <t>Your Name</t>
  </si>
  <si>
    <t>God is Able</t>
  </si>
  <si>
    <t>Your Love Never Fails</t>
  </si>
  <si>
    <t>Chris McClarney</t>
  </si>
  <si>
    <t>Your Grace Finds Me</t>
  </si>
  <si>
    <t>I Found It All</t>
  </si>
  <si>
    <t>Majesty</t>
  </si>
  <si>
    <t>Delirious</t>
  </si>
  <si>
    <t>Jesus Messiah</t>
  </si>
  <si>
    <t>I Will Rise</t>
  </si>
  <si>
    <t>God of Wonders</t>
  </si>
  <si>
    <t>Third Day</t>
  </si>
  <si>
    <t>You Are My King</t>
  </si>
  <si>
    <t>Amazing Love</t>
  </si>
  <si>
    <t>How Deep the Father's Love for Us</t>
  </si>
  <si>
    <t>God of Ages Past</t>
  </si>
  <si>
    <t>Seas of Crimson</t>
  </si>
  <si>
    <t>This I Believe</t>
  </si>
  <si>
    <t>Scandal of Grace</t>
  </si>
  <si>
    <t>Hillsong United</t>
  </si>
  <si>
    <t>We Sing Hallelujah</t>
  </si>
  <si>
    <t>Jesus Loves Me</t>
  </si>
  <si>
    <t>Christ Be All Around Me</t>
  </si>
  <si>
    <t>You Make Me Brave</t>
  </si>
  <si>
    <t>Amanda Cook</t>
  </si>
  <si>
    <t>Great Are You Lord</t>
  </si>
  <si>
    <t>Man of Sorrows</t>
  </si>
  <si>
    <t>O Come To The Altar</t>
  </si>
  <si>
    <t>Elevation Worship</t>
  </si>
  <si>
    <t>Open Up The Heavens</t>
  </si>
  <si>
    <t>Vertical</t>
  </si>
  <si>
    <t>Be Enthroned</t>
  </si>
  <si>
    <t>Jeremy Riddle</t>
  </si>
  <si>
    <t>Good Good Father</t>
  </si>
  <si>
    <t>HouseFires</t>
  </si>
  <si>
    <t>Holy Spirit</t>
  </si>
  <si>
    <t>Bryan &amp; Katie Torwalt</t>
  </si>
  <si>
    <t>Girls</t>
  </si>
  <si>
    <t>No Longer Slaves</t>
  </si>
  <si>
    <t>Jonathan David &amp; Melissa Helser</t>
  </si>
  <si>
    <t>At The Cross</t>
  </si>
  <si>
    <t>Love Ran Red</t>
  </si>
  <si>
    <t>Praise The King</t>
  </si>
  <si>
    <t>Corey Voss</t>
  </si>
  <si>
    <t>Sovereign Over Us</t>
  </si>
  <si>
    <t>Aaron Keyes</t>
  </si>
  <si>
    <t>Trust You</t>
  </si>
  <si>
    <t>You're Worthy of It All</t>
  </si>
  <si>
    <t>Jesus We Love You</t>
  </si>
  <si>
    <t>Paul McClure</t>
  </si>
  <si>
    <t>Lion and The Lamb</t>
  </si>
  <si>
    <t>Leeland</t>
  </si>
  <si>
    <t>Alive</t>
  </si>
  <si>
    <t>Hillsong Young &amp; Free</t>
  </si>
  <si>
    <t>Ever Be</t>
  </si>
  <si>
    <t>Kalley Heiligenthal</t>
  </si>
  <si>
    <t>Guys</t>
  </si>
  <si>
    <t>What A Beautiful Name</t>
  </si>
  <si>
    <t>Hillsong Worship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</si>
  <si>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</si>
  <si>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</si>
  <si>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</si>
  <si>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</si>
  <si>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</si>
  <si>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</si>
  <si>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</si>
  <si>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Lauren Daigle</t>
  </si>
  <si>
    <t>Love So Great</t>
  </si>
  <si>
    <t>Glorious Day</t>
  </si>
  <si>
    <t>King of My Heart</t>
  </si>
  <si>
    <t>John Mark &amp; Sarah McMillan</t>
  </si>
  <si>
    <t>God I Look To You</t>
  </si>
  <si>
    <t>Jenn Johnson</t>
  </si>
  <si>
    <t>Worthy of Your Name</t>
  </si>
  <si>
    <t>Build My Life</t>
  </si>
  <si>
    <t>Housefires</t>
  </si>
  <si>
    <t>Lamb of God</t>
  </si>
  <si>
    <t>Here's My Heart</t>
  </si>
  <si>
    <t>Death Was Arrested</t>
  </si>
  <si>
    <t>North Point InsideOut</t>
  </si>
  <si>
    <t>Reckless Love</t>
  </si>
  <si>
    <t>Cory Asbury</t>
  </si>
  <si>
    <t>Your Love Awakens Me</t>
  </si>
  <si>
    <t>Christ Is Enough</t>
  </si>
  <si>
    <t>Tremble</t>
  </si>
  <si>
    <t>Mosaic MSC</t>
  </si>
  <si>
    <t>Resurrecting</t>
  </si>
  <si>
    <t>Elevation</t>
  </si>
  <si>
    <t>Life Defined</t>
  </si>
  <si>
    <t>Do It Again</t>
  </si>
  <si>
    <t>Living Hope</t>
  </si>
  <si>
    <t>Who You Say I Am</t>
  </si>
  <si>
    <t>This We Know</t>
  </si>
  <si>
    <t>Behold</t>
  </si>
  <si>
    <t>Then Sings My Soul</t>
  </si>
  <si>
    <t>So Will I</t>
  </si>
  <si>
    <t>100 Billion X</t>
  </si>
  <si>
    <t>Let It Be Jesus</t>
  </si>
  <si>
    <t>Look To The Son</t>
  </si>
  <si>
    <t>Chain Breaker</t>
  </si>
  <si>
    <t>Zach Williams</t>
  </si>
  <si>
    <t>Goodness of God</t>
  </si>
  <si>
    <t>Touch the Sky</t>
  </si>
  <si>
    <t>Lean Back</t>
  </si>
  <si>
    <t>Capital City Worship</t>
  </si>
  <si>
    <t>Give Us Your Heart</t>
  </si>
  <si>
    <t>Melanie Tierce-Slay</t>
  </si>
  <si>
    <t>Isn't He</t>
  </si>
  <si>
    <t>The Belonging Co.</t>
  </si>
  <si>
    <t>Kristene DiMarco</t>
  </si>
  <si>
    <t>Jesus is Better</t>
  </si>
  <si>
    <t>Austin Stone Worship</t>
  </si>
  <si>
    <t>New Wine</t>
  </si>
  <si>
    <t>I Shall Not Want</t>
  </si>
  <si>
    <t>Audrey Assad</t>
  </si>
  <si>
    <t>Holy Ground</t>
  </si>
  <si>
    <t>Defender</t>
  </si>
  <si>
    <t>Rita Springer</t>
  </si>
  <si>
    <t>Broken Vessels</t>
  </si>
  <si>
    <t>All Hail King Jesus</t>
  </si>
  <si>
    <t>Yet Not I But Through Christ in Me</t>
  </si>
  <si>
    <t>CityAlight</t>
  </si>
  <si>
    <t>How Great is Your Love</t>
  </si>
  <si>
    <t>King of Kings</t>
  </si>
  <si>
    <t>Jesus You Alone</t>
  </si>
  <si>
    <t>Highlands Worship</t>
  </si>
  <si>
    <t>Stand in Your Love</t>
  </si>
  <si>
    <t>Josh Baldwin</t>
  </si>
  <si>
    <t>The Way</t>
  </si>
  <si>
    <t>New Horizon</t>
  </si>
  <si>
    <t>Pat Barrett</t>
  </si>
  <si>
    <t>Yes I Will</t>
  </si>
  <si>
    <t>Vertical Worship</t>
  </si>
  <si>
    <t>Hallelujah For The Cross</t>
  </si>
  <si>
    <t>Great Things</t>
  </si>
  <si>
    <t>Another In the Fire</t>
  </si>
  <si>
    <t>Alabaster Heart</t>
  </si>
  <si>
    <t>Kalley</t>
  </si>
  <si>
    <t>Yes and Amen</t>
  </si>
  <si>
    <t>Heart of God</t>
  </si>
  <si>
    <t>Only A Holy God</t>
  </si>
  <si>
    <t>Christ Is Mine Forevermore</t>
  </si>
  <si>
    <t>All I Have Is Christ</t>
  </si>
  <si>
    <t>Jordan Kauflin</t>
  </si>
  <si>
    <t>Faithful</t>
  </si>
  <si>
    <t>Erik Nieder</t>
  </si>
  <si>
    <t>Blessed Assurance</t>
  </si>
  <si>
    <t>King of Glory</t>
  </si>
  <si>
    <t>Passion Music</t>
  </si>
  <si>
    <t>Behold the Lamb</t>
  </si>
  <si>
    <t>The Passion</t>
  </si>
  <si>
    <t>You Cannot Be Stopped</t>
  </si>
  <si>
    <t>Phil Wickham and Chris Quilala</t>
  </si>
  <si>
    <t>His Heart Beats</t>
  </si>
  <si>
    <t>Andrew Peterson</t>
  </si>
  <si>
    <t>Jesus, Only Jesus</t>
  </si>
  <si>
    <t>Christ Our Hope in Life and Death</t>
  </si>
  <si>
    <t>Getty Music</t>
  </si>
  <si>
    <t>My Victory</t>
  </si>
  <si>
    <t>Living He Loved Me</t>
  </si>
  <si>
    <t>Casting Crowns</t>
  </si>
  <si>
    <t>Overcome</t>
  </si>
  <si>
    <t>There's A River</t>
  </si>
  <si>
    <t>Bethany Barnard</t>
  </si>
  <si>
    <t>Doxology//Amen</t>
  </si>
  <si>
    <t>Graves Into Gardens</t>
  </si>
  <si>
    <t>What A Friend We Have In Jesus</t>
  </si>
  <si>
    <t>Sing To Jesus</t>
  </si>
  <si>
    <t>Fernando Ortega</t>
  </si>
  <si>
    <t>Faithful To the End</t>
  </si>
  <si>
    <t>Paul and Hannah McClure</t>
  </si>
  <si>
    <t>Hymn of Surrender</t>
  </si>
  <si>
    <t>I Surrender All</t>
  </si>
  <si>
    <t>All I Am</t>
  </si>
  <si>
    <t>There's Nothing That Our God Can't Do</t>
  </si>
  <si>
    <t>The Blessing</t>
  </si>
  <si>
    <t>Kari Jobe, Cody Carnes, Elevation Worship</t>
  </si>
  <si>
    <t>Come Ye Sinners</t>
  </si>
  <si>
    <t>New Jerusalem</t>
  </si>
  <si>
    <t>Jon Guerra</t>
  </si>
  <si>
    <t>Promises</t>
  </si>
  <si>
    <t>Maverick City</t>
  </si>
  <si>
    <t>Nothing Without You</t>
  </si>
  <si>
    <t>United Pursuit</t>
  </si>
  <si>
    <t>Such An Awesome God</t>
  </si>
  <si>
    <t>Maverick City, Anthony Evans</t>
  </si>
  <si>
    <t>At Your Name</t>
  </si>
  <si>
    <t>You Keep On Getting Better</t>
  </si>
  <si>
    <t>The Story I'll Tell</t>
  </si>
  <si>
    <t>Jesus, Firm Foundation</t>
  </si>
  <si>
    <t>Robbie Seay</t>
  </si>
  <si>
    <t>Crowns</t>
  </si>
  <si>
    <t>My Truest Praise</t>
  </si>
  <si>
    <t>Run To the Father</t>
  </si>
  <si>
    <t>Cody Carnes</t>
  </si>
  <si>
    <t>You Keep Hope Alive</t>
  </si>
  <si>
    <t>Jon Reddick, Mandisa</t>
  </si>
  <si>
    <t>Miracle Or Not</t>
  </si>
  <si>
    <t>Alisa Turner</t>
  </si>
  <si>
    <t>No One Ever Cared For Me Like Jesus</t>
  </si>
  <si>
    <t>Steffany Gretzinger</t>
  </si>
  <si>
    <t>Give Me Jesus</t>
  </si>
  <si>
    <t>Above All Else</t>
  </si>
  <si>
    <t>Keith &amp; Kristyn Getty</t>
  </si>
  <si>
    <t>We Bow Before Thee</t>
  </si>
  <si>
    <t>In Christ Alone [Hymns]</t>
  </si>
  <si>
    <t>Keith Getty</t>
  </si>
  <si>
    <t>There Is A Fountain</t>
  </si>
  <si>
    <t>Full of Love</t>
  </si>
  <si>
    <t>I Will Wait For You</t>
  </si>
  <si>
    <t>Psalm 130</t>
  </si>
  <si>
    <t>Be Thou My Vision</t>
  </si>
  <si>
    <t>Lord You Are</t>
  </si>
  <si>
    <t>Turn Your Eyes Upon Jesus</t>
  </si>
  <si>
    <t>Praise to the Lord</t>
  </si>
  <si>
    <t>Joyful, Joyful</t>
  </si>
  <si>
    <t>Oh Lord Almighty</t>
  </si>
  <si>
    <t>Power of the Cross</t>
  </si>
  <si>
    <t>Keith and Kristyn Getty</t>
  </si>
  <si>
    <t>Come Behold the Wondrous Mystery</t>
  </si>
  <si>
    <t>Matt Boswell</t>
  </si>
  <si>
    <t>Living Waters</t>
  </si>
  <si>
    <t>As the Deer</t>
  </si>
  <si>
    <t>O Holy Night</t>
  </si>
  <si>
    <t>The First Noel</t>
  </si>
  <si>
    <t>O Come O Come Emmanuel</t>
  </si>
  <si>
    <t>Little Drummer Boy</t>
  </si>
  <si>
    <t>Love Comes Down</t>
  </si>
  <si>
    <t>Michael Farren</t>
  </si>
  <si>
    <t>Joy to the World</t>
  </si>
  <si>
    <t>Breath of Heaven</t>
  </si>
  <si>
    <t>Amy Grant</t>
  </si>
  <si>
    <t>Winter Snow</t>
  </si>
  <si>
    <t>Sing We The Song of Emmanuel</t>
  </si>
  <si>
    <t>Vol. 3</t>
  </si>
  <si>
    <t>Oh Holy Night</t>
  </si>
  <si>
    <t>Psalm 46</t>
  </si>
  <si>
    <t>Lord of Hosts</t>
  </si>
  <si>
    <t>Psalm 45</t>
  </si>
  <si>
    <t>Fairest of All</t>
  </si>
  <si>
    <t>Psalm 34</t>
  </si>
  <si>
    <t>Taste and See</t>
  </si>
  <si>
    <t>Psalm 51</t>
  </si>
  <si>
    <t>Wisdom in the Secret Heart</t>
  </si>
  <si>
    <t>Psalm 139</t>
  </si>
  <si>
    <t>Far Too Wonderful</t>
  </si>
  <si>
    <t>Psalm 98</t>
  </si>
  <si>
    <t>Sing Unto The Lord</t>
  </si>
  <si>
    <t>Psalm 91</t>
  </si>
  <si>
    <t>On Eagles' Wings</t>
  </si>
  <si>
    <t>Psalm 63</t>
  </si>
  <si>
    <t>Better than Life</t>
  </si>
  <si>
    <t>Psalm 16</t>
  </si>
  <si>
    <t>Fullness of Joy</t>
  </si>
  <si>
    <t>Take Over</t>
  </si>
  <si>
    <t>Psalm 27</t>
  </si>
  <si>
    <t>One Thing</t>
  </si>
  <si>
    <t>Psalm 23</t>
  </si>
  <si>
    <t>Surely Goodness, Surely Mercy</t>
  </si>
  <si>
    <t>Battle Belongs</t>
  </si>
  <si>
    <t>Raise A Hallelujah</t>
  </si>
  <si>
    <t>Peace</t>
  </si>
  <si>
    <t>Bigger Than I Thought</t>
  </si>
  <si>
    <t>Sinking Deep</t>
  </si>
  <si>
    <t>Psalm 145</t>
  </si>
  <si>
    <t>The One You'll Find</t>
  </si>
  <si>
    <t>Great Reward</t>
  </si>
  <si>
    <t>Run</t>
  </si>
  <si>
    <t>Liberty Worship Collective</t>
  </si>
  <si>
    <t>Album</t>
  </si>
  <si>
    <t>Type</t>
  </si>
  <si>
    <t>Unreleased</t>
  </si>
  <si>
    <t>Live</t>
  </si>
  <si>
    <t>Studio</t>
  </si>
  <si>
    <t>In List?</t>
  </si>
  <si>
    <t>A Worship Initiative Christmas, Vol. 1</t>
  </si>
  <si>
    <t>The Worship Initiative, Vol. 01</t>
  </si>
  <si>
    <t>The Worship Initiative, Vol. 02</t>
  </si>
  <si>
    <t>The Worship Initiative, Vol. 03</t>
  </si>
  <si>
    <t>The Worship Initiative, Vol. 04</t>
  </si>
  <si>
    <t>The Worship Initiative, Vol. 05</t>
  </si>
  <si>
    <t>The Worship Initiative, Vol. 06</t>
  </si>
  <si>
    <t>The Worship Initiative, Vol. 07</t>
  </si>
  <si>
    <t>The Worship Initiative, Vol. 08</t>
  </si>
  <si>
    <t>The Worship Initiative, Vol. 09</t>
  </si>
  <si>
    <t>Release Date</t>
  </si>
  <si>
    <t>Psalms, Vol. 2</t>
  </si>
  <si>
    <t>Psalms, Vol. 1</t>
  </si>
  <si>
    <t>Track</t>
  </si>
  <si>
    <t>Meredith Willson</t>
  </si>
  <si>
    <t>Irving Berlin</t>
  </si>
  <si>
    <t>Shane Barnard</t>
  </si>
  <si>
    <t>Barnard, Shane Everett</t>
  </si>
  <si>
    <t>Psalms 98</t>
  </si>
  <si>
    <t>Psalms 145</t>
  </si>
  <si>
    <t>Psalms 13</t>
  </si>
  <si>
    <t>Psalms 46</t>
  </si>
  <si>
    <t>Psalms 45</t>
  </si>
  <si>
    <t>Psalms 91</t>
  </si>
  <si>
    <t>Psalms 34</t>
  </si>
  <si>
    <t>Psalms 63</t>
  </si>
  <si>
    <t>Psalms 23</t>
  </si>
  <si>
    <t>Exclude</t>
  </si>
  <si>
    <t>Breath of God</t>
  </si>
  <si>
    <t>Unto You</t>
  </si>
  <si>
    <t>The Answer</t>
  </si>
  <si>
    <t>Waiting Room</t>
  </si>
  <si>
    <t>Job 19</t>
  </si>
  <si>
    <t>Praise the Name of Jesus</t>
  </si>
  <si>
    <t>We've Come to Declare</t>
  </si>
  <si>
    <t>You Said</t>
  </si>
  <si>
    <t>Hosea</t>
  </si>
  <si>
    <t>It's Beginning to Look Like Christmas</t>
  </si>
  <si>
    <t>Born to Die</t>
  </si>
  <si>
    <t>White Christmas</t>
  </si>
  <si>
    <t>Holiday</t>
  </si>
  <si>
    <t>Glory in the Highest</t>
  </si>
  <si>
    <t>O Come Let Us Adore Him</t>
  </si>
  <si>
    <t>Revive Me</t>
  </si>
  <si>
    <t>Psalm 143</t>
  </si>
  <si>
    <t>This Is the Day</t>
  </si>
  <si>
    <t>Psalm 118</t>
  </si>
  <si>
    <t>James Huey</t>
  </si>
  <si>
    <t>Barnard, Kendall Combs</t>
  </si>
  <si>
    <t>Carry Away</t>
  </si>
  <si>
    <t>Barnard, Will Hunt</t>
  </si>
  <si>
    <t>Upstairs</t>
  </si>
  <si>
    <t>Barnard</t>
  </si>
  <si>
    <t>Barnard, Robbie Seay</t>
  </si>
  <si>
    <t>Martin Nystrom</t>
  </si>
  <si>
    <t>Clean</t>
  </si>
  <si>
    <t>Pages</t>
  </si>
  <si>
    <t>Barnard, Everett</t>
  </si>
  <si>
    <t>Barnard, Matt Maher, David Nassar</t>
  </si>
  <si>
    <t>Everything Is Different</t>
  </si>
  <si>
    <t>The Lord's Prayer</t>
  </si>
  <si>
    <t>I'm Alive</t>
  </si>
  <si>
    <t>For the Good</t>
  </si>
  <si>
    <t>Rain Down</t>
  </si>
  <si>
    <t>This is Who I Am</t>
  </si>
  <si>
    <t>Turn Down the Music</t>
  </si>
  <si>
    <t>My Hope is Built</t>
  </si>
  <si>
    <t>Shane Barnard, Shane Everett, Jimmy Needham</t>
  </si>
  <si>
    <t>Barnard, Everett, Jason Ingram</t>
  </si>
  <si>
    <t>Barnard, Everett, Ingram</t>
  </si>
  <si>
    <t>The One You Need</t>
  </si>
  <si>
    <t>Bring Your Nothing</t>
  </si>
  <si>
    <t>My Audience</t>
  </si>
  <si>
    <t>With One Word</t>
  </si>
  <si>
    <t>Before the Throne</t>
  </si>
  <si>
    <t>Our God Is Greater</t>
  </si>
  <si>
    <t>Barren Land</t>
  </si>
  <si>
    <t>Be Near</t>
  </si>
  <si>
    <t>Mercy Reigns</t>
  </si>
  <si>
    <t>Song of Surrender</t>
  </si>
  <si>
    <t>I Want It All</t>
  </si>
  <si>
    <t>When I Think About the Lord</t>
  </si>
  <si>
    <t>Beauty for Ashes</t>
  </si>
  <si>
    <t>Sweet Illumination</t>
  </si>
  <si>
    <t>Hearts of Servants</t>
  </si>
  <si>
    <t>The Blood</t>
  </si>
  <si>
    <t>Water of the Word</t>
  </si>
  <si>
    <t>Holy</t>
  </si>
  <si>
    <t>I Miss You</t>
  </si>
  <si>
    <t>May the Few</t>
  </si>
  <si>
    <t>Still at Shore</t>
  </si>
  <si>
    <t>Chapter One</t>
  </si>
  <si>
    <t>Saved by Grace</t>
  </si>
  <si>
    <t>Fringes</t>
  </si>
  <si>
    <t>He Is Exalted</t>
  </si>
  <si>
    <t>Waging War</t>
  </si>
  <si>
    <t>Make Believe Jesus</t>
  </si>
  <si>
    <t>You and I</t>
  </si>
  <si>
    <t>God Did</t>
  </si>
  <si>
    <t>Acres of Hope</t>
  </si>
  <si>
    <t>There Is None Like You</t>
  </si>
  <si>
    <t>Your Grace Is Sufficient</t>
  </si>
  <si>
    <t>Vision of You</t>
  </si>
  <si>
    <t>We Love You Jesus</t>
  </si>
  <si>
    <t>Burns Us Up</t>
  </si>
  <si>
    <t>Over the Sun</t>
  </si>
  <si>
    <t>Interlude</t>
  </si>
  <si>
    <t>Beg</t>
  </si>
  <si>
    <t>In You</t>
  </si>
  <si>
    <t>Psalm 62</t>
  </si>
  <si>
    <t>Bad Days Better</t>
  </si>
  <si>
    <t>Embracing Accusation</t>
  </si>
  <si>
    <t>Before the Throne of God Above</t>
  </si>
  <si>
    <t>Wounded</t>
  </si>
  <si>
    <t>Healed</t>
  </si>
  <si>
    <t>You Say, I'm Rich</t>
  </si>
  <si>
    <t>Your Love</t>
  </si>
  <si>
    <t>Without You</t>
  </si>
  <si>
    <t>Future Vision</t>
  </si>
  <si>
    <t>Because He's God</t>
  </si>
  <si>
    <t>Miracle</t>
  </si>
  <si>
    <t>Victory</t>
  </si>
  <si>
    <t>Running to You</t>
  </si>
  <si>
    <t>Grace Is Sufficient</t>
  </si>
  <si>
    <t>Lift Up the Light</t>
  </si>
  <si>
    <t>Praise Him</t>
  </si>
  <si>
    <t>I Came Alive</t>
  </si>
  <si>
    <t>You Loved My Heart to Death</t>
  </si>
  <si>
    <t>Eyes on You</t>
  </si>
  <si>
    <t>In A Little While</t>
  </si>
  <si>
    <t>Crucify Him</t>
  </si>
  <si>
    <t>Without Jesus</t>
  </si>
  <si>
    <t>Faith to Believe</t>
  </si>
  <si>
    <t>Radio Version</t>
  </si>
  <si>
    <t>My Portion</t>
  </si>
  <si>
    <t>Psalm 73</t>
  </si>
  <si>
    <t>Original</t>
  </si>
  <si>
    <t>April 22, 2003</t>
  </si>
  <si>
    <t>May 18, 2004</t>
  </si>
  <si>
    <t>October 19, 2004</t>
  </si>
  <si>
    <t>August 28, 2007</t>
  </si>
  <si>
    <t>Good God</t>
  </si>
  <si>
    <t>Brian and Jenn Johnson</t>
  </si>
  <si>
    <t>Community Music, Elyssa Smith, The Church Will Sing</t>
  </si>
  <si>
    <t>Mission House</t>
  </si>
  <si>
    <t>Glory in the Highest, A Christmas Record</t>
  </si>
  <si>
    <t>Dare 2 Share, Unending Worship</t>
  </si>
  <si>
    <t>Psalms (Live)</t>
  </si>
  <si>
    <t>A Worship Initiative Christmas, Vol. 3</t>
  </si>
  <si>
    <t>#</t>
  </si>
  <si>
    <t>Id</t>
  </si>
  <si>
    <t>Artist</t>
  </si>
  <si>
    <t>TrackCount</t>
  </si>
  <si>
    <t>Path</t>
  </si>
  <si>
    <t>CcliNumber</t>
  </si>
  <si>
    <t>Performer</t>
  </si>
  <si>
    <t>AlbumArt/600/A Worship Initiative Christmas, Vol. 1.jpg</t>
  </si>
  <si>
    <t>AlbumArt/600/A Worship Initiative Christmas, Vol. 2.jpg</t>
  </si>
  <si>
    <t>AlbumArt/600/A Worship Initiative Christmas, Vol. 3.jpg</t>
  </si>
  <si>
    <t>AlbumArt/600/Bring Your Nothing.jpg</t>
  </si>
  <si>
    <t>AlbumArt/600/Carry Away.jpg</t>
  </si>
  <si>
    <t>AlbumArt/600/Clean.jpg</t>
  </si>
  <si>
    <t>AlbumArt/600/Dare 2 Share, Unending Worship.jpg</t>
  </si>
  <si>
    <t>AlbumArt/600/Everything Is Different.jpg</t>
  </si>
  <si>
    <t>AlbumArt/600/Glory in the Highest, A Christmas Record.jpg</t>
  </si>
  <si>
    <t>AlbumArt/600/Hymns (Live).jpg</t>
  </si>
  <si>
    <t>AlbumArt/600/Hymns, Vol. 1.jpg</t>
  </si>
  <si>
    <t>AlbumArt/600/Hymns, Vol. 2.jpg</t>
  </si>
  <si>
    <t>AlbumArt/600/Pages.jpg</t>
  </si>
  <si>
    <t>AlbumArt/600/Psalms (Live).jpg</t>
  </si>
  <si>
    <t>AlbumArt/600/Psalms, Vol. 1.jpg</t>
  </si>
  <si>
    <t>AlbumArt/600/Psalms, Vol. 2.jpg</t>
  </si>
  <si>
    <t>AlbumArt/600/The One You Need.jpg</t>
  </si>
  <si>
    <t>AlbumArt/600/The Worship Initiative, Vol. 01.jpg</t>
  </si>
  <si>
    <t>AlbumArt/600/The Worship Initiative, Vol. 02.jpg</t>
  </si>
  <si>
    <t>AlbumArt/600/The Worship Initiative, Vol. 03.jpg</t>
  </si>
  <si>
    <t>AlbumArt/600/The Worship Initiative, Vol. 04.jpg</t>
  </si>
  <si>
    <t>AlbumArt/600/The Worship Initiative, Vol. 05.jpg</t>
  </si>
  <si>
    <t>AlbumArt/600/The Worship Initiative, Vol. 06.jpg</t>
  </si>
  <si>
    <t>AlbumArt/600/The Worship Initiative, Vol. 07.jpg</t>
  </si>
  <si>
    <t>AlbumArt/600/The Worship Initiative, Vol. 08.jpg</t>
  </si>
  <si>
    <t>AlbumArt/600/The Worship Initiative, Vol. 09.jpg</t>
  </si>
  <si>
    <t>AlbumArt/600/The Worship Initiative, Vol. 10.jpg</t>
  </si>
  <si>
    <t>AlbumArt/600/The Worship Initiative, Vol. 11.jpg</t>
  </si>
  <si>
    <t>AlbumArt/600/The Worship Initiative, Vol. 12.jpg</t>
  </si>
  <si>
    <t>AlbumArt/600/The Worship Initiative, Vol. 13.jpg</t>
  </si>
  <si>
    <t>AlbumArt/600/The Worship Initiative, Vol. 14.jpg</t>
  </si>
  <si>
    <t>AlbumArt/600/The Worship Initiative, Vol. 15.jpg</t>
  </si>
  <si>
    <t>AlbumArt/600/The Worship Initiative, Vol. 16.jpg</t>
  </si>
  <si>
    <t>AlbumArt/600/The Worship Initiative, Vol. 17.jpg</t>
  </si>
  <si>
    <t>AlbumArt/600/The Worship Initiative, Vol. 18.jpg</t>
  </si>
  <si>
    <t>AlbumArt/600/The Worship Initiative, Vol. 19.jpg</t>
  </si>
  <si>
    <t>AlbumArt/600/The Worship Initiative, Vol. 20.jpg</t>
  </si>
  <si>
    <t>AlbumArt/600/The Worship Initiative, Vol. 21.jpg</t>
  </si>
  <si>
    <t>AlbumArt/600/The Worship Initiative, Vol. 22.jpg</t>
  </si>
  <si>
    <t>AlbumArt/600/The Worship Initiative, Vol. 23.jpg</t>
  </si>
  <si>
    <t>AlbumArt/600/The Worship Initiative.jpg</t>
  </si>
  <si>
    <t>AlbumArt/600/Upstairs.jpg</t>
  </si>
  <si>
    <t>AltTitle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</si>
</sst>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0"/>
      <color rgb="FF999999"/>
      <name val="Adelle"/>
    </font>
    <font>
      <sz val="8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Font="1"/>
    <xf numFmtId="16" fontId="0" fillId="0" borderId="0" xfId="0" quotePrefix="1" applyNumberFormat="1" applyAlignment="1">
      <alignment horizontal="left"/>
    </xf>
    <xf numFmtId="0" fontId="0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20" fontId="0" fillId="0" borderId="0" xfId="0" applyNumberFormat="1" applyFont="1"/>
    <xf numFmtId="0" fontId="1" fillId="0" borderId="10" xfId="0" applyFont="1" applyBorder="1"/>
    <xf numFmtId="0" fontId="0" fillId="0" borderId="10" xfId="0" applyFont="1" applyBorder="1"/>
    <xf numFmtId="0" fontId="4" fillId="0" borderId="10" xfId="0" applyFont="1" applyBorder="1"/>
    <xf numFmtId="15" fontId="6" fillId="0" borderId="0" xfId="0" applyNumberFormat="1" applyFont="1" applyBorder="1"/>
    <xf numFmtId="15" fontId="0" fillId="0" borderId="0" xfId="0" applyNumberFormat="1" applyBorder="1"/>
    <xf numFmtId="15" fontId="7" fillId="0" borderId="0" xfId="0" applyNumberFormat="1" applyFont="1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C93B-3F7D-4E4A-86E4-184C84FED0D7}">
  <dimension ref="A1:F18"/>
  <sheetViews>
    <sheetView workbookViewId="0"/>
  </sheetViews>
  <sheetFormatPr defaultRowHeight="15"/>
  <cols>
    <col min="1" max="1" width="16.42578125" bestFit="1" customWidth="1"/>
    <col min="2" max="2" width="6.28515625" bestFit="1" customWidth="1"/>
    <col min="4" max="4" width="9.42578125" bestFit="1" customWidth="1"/>
    <col min="5" max="5" width="16.42578125" bestFit="1" customWidth="1"/>
    <col min="6" max="6" width="6.28515625" bestFit="1" customWidth="1"/>
  </cols>
  <sheetData>
    <row r="1" spans="1:6">
      <c r="A1" s="11" t="s">
        <v>88</v>
      </c>
      <c r="B1" s="12" t="s">
        <v>89</v>
      </c>
      <c r="D1" s="11" t="s">
        <v>90</v>
      </c>
      <c r="E1" s="13" t="s">
        <v>88</v>
      </c>
      <c r="F1" s="12" t="s">
        <v>89</v>
      </c>
    </row>
    <row r="2" spans="1:6">
      <c r="A2" s="14" t="s">
        <v>91</v>
      </c>
      <c r="B2" s="15">
        <v>232</v>
      </c>
      <c r="D2" s="16" t="s">
        <v>92</v>
      </c>
      <c r="E2" t="s">
        <v>93</v>
      </c>
      <c r="F2" s="15">
        <v>124</v>
      </c>
    </row>
    <row r="3" spans="1:6">
      <c r="A3" s="14" t="s">
        <v>94</v>
      </c>
      <c r="B3" s="15">
        <v>186</v>
      </c>
      <c r="D3" s="14"/>
      <c r="E3" t="s">
        <v>95</v>
      </c>
      <c r="F3" s="15">
        <v>20</v>
      </c>
    </row>
    <row r="4" spans="1:6">
      <c r="A4" s="17" t="s">
        <v>96</v>
      </c>
      <c r="B4" s="18">
        <v>163</v>
      </c>
      <c r="D4" s="14"/>
      <c r="E4" t="s">
        <v>69</v>
      </c>
      <c r="F4" s="15">
        <v>12</v>
      </c>
    </row>
    <row r="5" spans="1:6">
      <c r="D5" s="14"/>
      <c r="F5" s="19">
        <f>SUM(F2:F4)</f>
        <v>156</v>
      </c>
    </row>
    <row r="6" spans="1:6">
      <c r="A6" s="11" t="s">
        <v>88</v>
      </c>
      <c r="B6" s="12" t="s">
        <v>89</v>
      </c>
      <c r="D6" s="14"/>
      <c r="F6" s="15"/>
    </row>
    <row r="7" spans="1:6">
      <c r="A7" s="14" t="s">
        <v>93</v>
      </c>
      <c r="B7" s="15">
        <v>124</v>
      </c>
      <c r="D7" s="16" t="s">
        <v>97</v>
      </c>
      <c r="E7" t="s">
        <v>98</v>
      </c>
      <c r="F7" s="15">
        <v>98</v>
      </c>
    </row>
    <row r="8" spans="1:6">
      <c r="A8" s="14" t="s">
        <v>98</v>
      </c>
      <c r="B8" s="15">
        <v>98</v>
      </c>
      <c r="D8" s="14"/>
      <c r="E8" t="s">
        <v>99</v>
      </c>
      <c r="F8" s="15">
        <v>10</v>
      </c>
    </row>
    <row r="9" spans="1:6">
      <c r="A9" s="14" t="s">
        <v>99</v>
      </c>
      <c r="B9" s="15">
        <v>10</v>
      </c>
      <c r="D9" s="14"/>
      <c r="E9" t="s">
        <v>64</v>
      </c>
      <c r="F9" s="15">
        <v>10</v>
      </c>
    </row>
    <row r="10" spans="1:6">
      <c r="A10" s="14" t="s">
        <v>64</v>
      </c>
      <c r="B10" s="15">
        <v>10</v>
      </c>
      <c r="D10" s="14"/>
      <c r="E10" t="s">
        <v>66</v>
      </c>
      <c r="F10" s="15">
        <v>1</v>
      </c>
    </row>
    <row r="11" spans="1:6">
      <c r="A11" s="14" t="s">
        <v>66</v>
      </c>
      <c r="B11" s="15">
        <v>1</v>
      </c>
      <c r="D11" s="14"/>
      <c r="E11" t="s">
        <v>100</v>
      </c>
      <c r="F11" s="15">
        <v>20</v>
      </c>
    </row>
    <row r="12" spans="1:6">
      <c r="A12" s="14" t="s">
        <v>95</v>
      </c>
      <c r="B12" s="15">
        <v>20</v>
      </c>
      <c r="D12" s="14"/>
      <c r="E12" t="s">
        <v>101</v>
      </c>
      <c r="F12" s="15">
        <v>6</v>
      </c>
    </row>
    <row r="13" spans="1:6">
      <c r="A13" s="14" t="s">
        <v>100</v>
      </c>
      <c r="B13" s="15">
        <v>20</v>
      </c>
      <c r="D13" s="14"/>
      <c r="F13" s="19">
        <f>SUM(F7:F12)</f>
        <v>145</v>
      </c>
    </row>
    <row r="14" spans="1:6">
      <c r="A14" s="14" t="s">
        <v>69</v>
      </c>
      <c r="B14" s="15">
        <v>12</v>
      </c>
      <c r="D14" s="14"/>
      <c r="F14" s="15"/>
    </row>
    <row r="15" spans="1:6">
      <c r="A15" s="14" t="s">
        <v>102</v>
      </c>
      <c r="B15" s="15">
        <v>94</v>
      </c>
      <c r="D15" s="16" t="s">
        <v>103</v>
      </c>
      <c r="E15" t="s">
        <v>102</v>
      </c>
      <c r="F15" s="15">
        <v>94</v>
      </c>
    </row>
    <row r="16" spans="1:6">
      <c r="A16" s="14" t="s">
        <v>101</v>
      </c>
      <c r="B16" s="15">
        <v>6</v>
      </c>
      <c r="D16" s="17"/>
      <c r="E16" s="20" t="s">
        <v>104</v>
      </c>
      <c r="F16" s="18">
        <v>69</v>
      </c>
    </row>
    <row r="17" spans="1:6">
      <c r="A17" s="17" t="s">
        <v>104</v>
      </c>
      <c r="B17" s="18">
        <v>69</v>
      </c>
      <c r="F17" s="1">
        <f>SUM(F15:F16)</f>
        <v>163</v>
      </c>
    </row>
    <row r="18" spans="1:6">
      <c r="B18">
        <f>SUM(B7:B17)</f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8DB-1163-456B-BC9E-225A80C0FB38}">
  <dimension ref="A1:L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" bestFit="1" customWidth="1"/>
    <col min="2" max="2" width="14.28515625" bestFit="1" customWidth="1"/>
    <col min="3" max="3" width="37.28515625" bestFit="1" customWidth="1"/>
    <col min="5" max="7" width="9.140625" customWidth="1"/>
    <col min="9" max="9" width="9.28515625" customWidth="1"/>
    <col min="10" max="10" width="9.140625" style="22" customWidth="1"/>
    <col min="11" max="11" width="9.140625" style="24" customWidth="1"/>
    <col min="12" max="12" width="15.7109375" style="24" bestFit="1" customWidth="1"/>
  </cols>
  <sheetData>
    <row r="1" spans="1:12" s="1" customFormat="1">
      <c r="A1" s="1" t="s">
        <v>648</v>
      </c>
      <c r="B1" s="1" t="s">
        <v>649</v>
      </c>
      <c r="C1" s="1" t="s">
        <v>30</v>
      </c>
      <c r="D1" s="1" t="s">
        <v>67</v>
      </c>
      <c r="E1" s="1" t="s">
        <v>650</v>
      </c>
      <c r="F1" s="1" t="s">
        <v>493</v>
      </c>
      <c r="G1" s="1" t="s">
        <v>88</v>
      </c>
      <c r="H1" s="1" t="s">
        <v>60</v>
      </c>
      <c r="I1" s="1" t="s">
        <v>651</v>
      </c>
      <c r="J1" s="21" t="s">
        <v>525</v>
      </c>
      <c r="K1" s="23" t="s">
        <v>497</v>
      </c>
      <c r="L1" s="23" t="s">
        <v>508</v>
      </c>
    </row>
    <row r="2" spans="1:12">
      <c r="A2">
        <v>1</v>
      </c>
      <c r="B2" t="s">
        <v>137</v>
      </c>
      <c r="C2" t="s">
        <v>510</v>
      </c>
      <c r="D2">
        <v>2002</v>
      </c>
      <c r="E2">
        <v>13</v>
      </c>
      <c r="F2" t="s">
        <v>496</v>
      </c>
      <c r="G2" t="s">
        <v>69</v>
      </c>
      <c r="H2" t="s">
        <v>70</v>
      </c>
      <c r="I2" t="s">
        <v>668</v>
      </c>
      <c r="J2" s="22" t="s">
        <v>525</v>
      </c>
      <c r="K2" s="24" t="str">
        <f>IF(COUNTIF(Track!$B:$B,C2)&gt;0,"","NO")</f>
        <v/>
      </c>
      <c r="L2" s="30">
        <v>37411</v>
      </c>
    </row>
    <row r="3" spans="1:12">
      <c r="A3">
        <v>2</v>
      </c>
      <c r="B3" t="s">
        <v>137</v>
      </c>
      <c r="C3" t="s">
        <v>547</v>
      </c>
      <c r="D3">
        <v>2003</v>
      </c>
      <c r="E3">
        <v>13</v>
      </c>
      <c r="F3" t="s">
        <v>496</v>
      </c>
      <c r="G3" t="s">
        <v>634</v>
      </c>
      <c r="I3" t="s">
        <v>658</v>
      </c>
      <c r="J3" s="22" t="s">
        <v>525</v>
      </c>
      <c r="K3" s="24" t="str">
        <f>IF(COUNTIF(Track!$B:$B,C3)&gt;0,"","NO")</f>
        <v/>
      </c>
      <c r="L3" s="30" t="s">
        <v>635</v>
      </c>
    </row>
    <row r="4" spans="1:12">
      <c r="A4">
        <v>3</v>
      </c>
      <c r="B4" t="s">
        <v>137</v>
      </c>
      <c r="C4" t="s">
        <v>553</v>
      </c>
      <c r="D4">
        <v>2004</v>
      </c>
      <c r="E4">
        <v>11</v>
      </c>
      <c r="F4" t="s">
        <v>496</v>
      </c>
      <c r="G4" t="s">
        <v>634</v>
      </c>
      <c r="I4" t="s">
        <v>659</v>
      </c>
      <c r="J4" s="22" t="s">
        <v>525</v>
      </c>
      <c r="K4" s="24" t="str">
        <f>IF(COUNTIF(Track!$B:$B,C4)&gt;0,"","NO")</f>
        <v/>
      </c>
      <c r="L4" s="30" t="s">
        <v>637</v>
      </c>
    </row>
    <row r="5" spans="1:12">
      <c r="A5">
        <v>4</v>
      </c>
      <c r="B5" t="s">
        <v>137</v>
      </c>
      <c r="C5" t="s">
        <v>549</v>
      </c>
      <c r="D5">
        <v>2004</v>
      </c>
      <c r="E5">
        <v>10</v>
      </c>
      <c r="F5" t="s">
        <v>496</v>
      </c>
      <c r="G5" t="s">
        <v>634</v>
      </c>
      <c r="I5" t="s">
        <v>695</v>
      </c>
      <c r="J5" s="22" t="s">
        <v>525</v>
      </c>
      <c r="K5" s="24" t="str">
        <f>IF(COUNTIF(Track!$B:$B,C5)&gt;0,"","NO")</f>
        <v/>
      </c>
      <c r="L5" s="30" t="s">
        <v>636</v>
      </c>
    </row>
    <row r="6" spans="1:12">
      <c r="A6">
        <v>5</v>
      </c>
      <c r="B6" t="s">
        <v>137</v>
      </c>
      <c r="C6" t="s">
        <v>554</v>
      </c>
      <c r="D6">
        <v>2007</v>
      </c>
      <c r="E6">
        <v>15</v>
      </c>
      <c r="F6" t="s">
        <v>496</v>
      </c>
      <c r="G6" t="s">
        <v>634</v>
      </c>
      <c r="I6" t="s">
        <v>666</v>
      </c>
      <c r="J6" s="22" t="s">
        <v>525</v>
      </c>
      <c r="K6" s="24" t="str">
        <f>IF(COUNTIF(Track!$B:$B,C6)&gt;0,"","NO")</f>
        <v/>
      </c>
      <c r="L6" s="30" t="s">
        <v>638</v>
      </c>
    </row>
    <row r="7" spans="1:12">
      <c r="A7">
        <v>6</v>
      </c>
      <c r="B7" t="s">
        <v>137</v>
      </c>
      <c r="C7" t="s">
        <v>643</v>
      </c>
      <c r="D7">
        <v>2008</v>
      </c>
      <c r="E7">
        <v>10</v>
      </c>
      <c r="F7" t="s">
        <v>496</v>
      </c>
      <c r="G7" t="s">
        <v>100</v>
      </c>
      <c r="H7" t="s">
        <v>70</v>
      </c>
      <c r="I7" t="s">
        <v>662</v>
      </c>
      <c r="J7" s="22" t="s">
        <v>525</v>
      </c>
      <c r="K7" s="24" t="str">
        <f>IF(COUNTIF(Track!$B:$B,C7)&gt;0,"","NO")</f>
        <v/>
      </c>
      <c r="L7" s="30">
        <v>39735</v>
      </c>
    </row>
    <row r="8" spans="1:12">
      <c r="A8">
        <v>7</v>
      </c>
      <c r="B8" t="s">
        <v>137</v>
      </c>
      <c r="C8" t="s">
        <v>557</v>
      </c>
      <c r="D8">
        <v>2009</v>
      </c>
      <c r="E8">
        <v>15</v>
      </c>
      <c r="F8" t="s">
        <v>496</v>
      </c>
      <c r="G8" t="s">
        <v>634</v>
      </c>
      <c r="I8" t="s">
        <v>661</v>
      </c>
      <c r="J8" s="22" t="s">
        <v>525</v>
      </c>
      <c r="K8" s="24" t="str">
        <f>IF(COUNTIF(Track!$B:$B,C8)&gt;0,"","NO")</f>
        <v/>
      </c>
      <c r="L8" s="30">
        <v>40120</v>
      </c>
    </row>
    <row r="9" spans="1:12">
      <c r="A9">
        <v>8</v>
      </c>
      <c r="B9" t="s">
        <v>137</v>
      </c>
      <c r="C9" t="s">
        <v>644</v>
      </c>
      <c r="D9">
        <v>2010</v>
      </c>
      <c r="E9">
        <v>10</v>
      </c>
      <c r="F9" t="s">
        <v>496</v>
      </c>
      <c r="G9" t="s">
        <v>634</v>
      </c>
      <c r="I9" t="s">
        <v>660</v>
      </c>
      <c r="J9" s="22" t="s">
        <v>525</v>
      </c>
      <c r="K9" s="24" t="str">
        <f>IF(COUNTIF(Track!$B:$B,C9)&gt;0,"","NO")</f>
        <v/>
      </c>
      <c r="L9" s="30">
        <v>40470</v>
      </c>
    </row>
    <row r="10" spans="1:12">
      <c r="A10">
        <v>9</v>
      </c>
      <c r="B10" t="s">
        <v>137</v>
      </c>
      <c r="C10" t="s">
        <v>568</v>
      </c>
      <c r="D10">
        <v>2011</v>
      </c>
      <c r="E10">
        <v>12</v>
      </c>
      <c r="F10" t="s">
        <v>496</v>
      </c>
      <c r="G10" t="s">
        <v>634</v>
      </c>
      <c r="I10" t="s">
        <v>670</v>
      </c>
      <c r="J10" s="22" t="s">
        <v>525</v>
      </c>
      <c r="K10" s="24" t="str">
        <f>IF(COUNTIF(Track!$B:$B,C10)&gt;0,"","NO")</f>
        <v/>
      </c>
      <c r="L10" s="31">
        <v>40820</v>
      </c>
    </row>
    <row r="11" spans="1:12">
      <c r="A11">
        <v>10</v>
      </c>
      <c r="B11" t="s">
        <v>137</v>
      </c>
      <c r="C11" t="s">
        <v>569</v>
      </c>
      <c r="D11">
        <v>2013</v>
      </c>
      <c r="E11">
        <v>11</v>
      </c>
      <c r="F11" t="s">
        <v>496</v>
      </c>
      <c r="G11" t="s">
        <v>634</v>
      </c>
      <c r="I11" t="s">
        <v>657</v>
      </c>
      <c r="J11" s="22" t="s">
        <v>525</v>
      </c>
      <c r="K11" s="24" t="str">
        <f>IF(COUNTIF(Track!$B:$B,C11)&gt;0,"","NO")</f>
        <v/>
      </c>
      <c r="L11" s="31">
        <v>41408</v>
      </c>
    </row>
    <row r="12" spans="1:12">
      <c r="A12">
        <v>11</v>
      </c>
      <c r="B12" t="s">
        <v>137</v>
      </c>
      <c r="C12" t="s">
        <v>499</v>
      </c>
      <c r="D12">
        <v>2014</v>
      </c>
      <c r="E12">
        <v>10</v>
      </c>
      <c r="F12" t="s">
        <v>496</v>
      </c>
      <c r="I12" t="s">
        <v>671</v>
      </c>
      <c r="K12" s="24" t="str">
        <f>IF(COUNTIF(Track!$B:$B,C12)&gt;0,"","NO")</f>
        <v/>
      </c>
      <c r="L12" s="30">
        <v>41765</v>
      </c>
    </row>
    <row r="13" spans="1:12">
      <c r="A13">
        <v>12</v>
      </c>
      <c r="B13" t="s">
        <v>137</v>
      </c>
      <c r="C13" t="s">
        <v>500</v>
      </c>
      <c r="D13">
        <v>2014</v>
      </c>
      <c r="E13">
        <v>10</v>
      </c>
      <c r="F13" t="s">
        <v>496</v>
      </c>
      <c r="I13" t="s">
        <v>672</v>
      </c>
      <c r="K13" s="24" t="str">
        <f>IF(COUNTIF(Track!$B:$B,C13)&gt;0,"","NO")</f>
        <v/>
      </c>
      <c r="L13" s="30">
        <v>41786</v>
      </c>
    </row>
    <row r="14" spans="1:12">
      <c r="A14">
        <v>13</v>
      </c>
      <c r="B14" t="s">
        <v>137</v>
      </c>
      <c r="C14" t="s">
        <v>501</v>
      </c>
      <c r="D14">
        <v>2014</v>
      </c>
      <c r="E14">
        <v>10</v>
      </c>
      <c r="F14" t="s">
        <v>496</v>
      </c>
      <c r="I14" t="s">
        <v>673</v>
      </c>
      <c r="K14" s="24" t="str">
        <f>IF(COUNTIF(Track!$B:$B,C14)&gt;0,"","NO")</f>
        <v/>
      </c>
      <c r="L14" s="30">
        <v>41807</v>
      </c>
    </row>
    <row r="15" spans="1:12">
      <c r="A15">
        <v>14</v>
      </c>
      <c r="B15" t="s">
        <v>137</v>
      </c>
      <c r="C15" t="s">
        <v>502</v>
      </c>
      <c r="D15">
        <v>2014</v>
      </c>
      <c r="E15">
        <v>10</v>
      </c>
      <c r="F15" t="s">
        <v>496</v>
      </c>
      <c r="I15" t="s">
        <v>674</v>
      </c>
      <c r="K15" s="24" t="str">
        <f>IF(COUNTIF(Track!$B:$B,C15)&gt;0,"","NO")</f>
        <v/>
      </c>
      <c r="L15" s="30">
        <v>41828</v>
      </c>
    </row>
    <row r="16" spans="1:12">
      <c r="A16">
        <v>15</v>
      </c>
      <c r="B16" t="s">
        <v>137</v>
      </c>
      <c r="C16" t="s">
        <v>503</v>
      </c>
      <c r="D16">
        <v>2014</v>
      </c>
      <c r="E16">
        <v>10</v>
      </c>
      <c r="F16" t="s">
        <v>496</v>
      </c>
      <c r="I16" t="s">
        <v>675</v>
      </c>
      <c r="K16" s="24" t="str">
        <f>IF(COUNTIF(Track!$B:$B,C16)&gt;0,"","NO")</f>
        <v/>
      </c>
      <c r="L16" s="30">
        <v>41849</v>
      </c>
    </row>
    <row r="17" spans="1:12">
      <c r="A17">
        <v>16</v>
      </c>
      <c r="B17" t="s">
        <v>137</v>
      </c>
      <c r="C17" t="s">
        <v>504</v>
      </c>
      <c r="D17">
        <v>2014</v>
      </c>
      <c r="E17">
        <v>10</v>
      </c>
      <c r="F17" t="s">
        <v>496</v>
      </c>
      <c r="I17" t="s">
        <v>676</v>
      </c>
      <c r="K17" s="24" t="str">
        <f>IF(COUNTIF(Track!$B:$B,C17)&gt;0,"","NO")</f>
        <v/>
      </c>
      <c r="L17" s="30">
        <v>41872</v>
      </c>
    </row>
    <row r="18" spans="1:12">
      <c r="A18">
        <v>17</v>
      </c>
      <c r="B18" t="s">
        <v>137</v>
      </c>
      <c r="C18" t="s">
        <v>505</v>
      </c>
      <c r="D18">
        <v>2014</v>
      </c>
      <c r="E18">
        <v>10</v>
      </c>
      <c r="F18" t="s">
        <v>496</v>
      </c>
      <c r="I18" t="s">
        <v>677</v>
      </c>
      <c r="K18" s="24" t="str">
        <f>IF(COUNTIF(Track!$B:$B,C18)&gt;0,"","NO")</f>
        <v/>
      </c>
      <c r="L18" s="30">
        <v>41891</v>
      </c>
    </row>
    <row r="19" spans="1:12">
      <c r="A19">
        <v>18</v>
      </c>
      <c r="B19" t="s">
        <v>137</v>
      </c>
      <c r="C19" t="s">
        <v>506</v>
      </c>
      <c r="D19">
        <v>2014</v>
      </c>
      <c r="E19">
        <v>10</v>
      </c>
      <c r="F19" t="s">
        <v>496</v>
      </c>
      <c r="I19" t="s">
        <v>678</v>
      </c>
      <c r="K19" s="24" t="str">
        <f>IF(COUNTIF(Track!$B:$B,C19)&gt;0,"","NO")</f>
        <v/>
      </c>
      <c r="L19" s="30">
        <v>41912</v>
      </c>
    </row>
    <row r="20" spans="1:12">
      <c r="A20">
        <v>19</v>
      </c>
      <c r="B20" t="s">
        <v>137</v>
      </c>
      <c r="C20" t="s">
        <v>507</v>
      </c>
      <c r="D20">
        <v>2014</v>
      </c>
      <c r="E20">
        <v>10</v>
      </c>
      <c r="F20" t="s">
        <v>496</v>
      </c>
      <c r="I20" t="s">
        <v>679</v>
      </c>
      <c r="K20" s="24" t="str">
        <f>IF(COUNTIF(Track!$B:$B,C20)&gt;0,"","NO")</f>
        <v/>
      </c>
      <c r="L20" s="30">
        <v>41933</v>
      </c>
    </row>
    <row r="21" spans="1:12">
      <c r="A21">
        <v>20</v>
      </c>
      <c r="B21" t="s">
        <v>137</v>
      </c>
      <c r="C21" t="s">
        <v>32</v>
      </c>
      <c r="D21">
        <v>2014</v>
      </c>
      <c r="E21">
        <v>10</v>
      </c>
      <c r="F21" t="s">
        <v>496</v>
      </c>
      <c r="I21" t="s">
        <v>680</v>
      </c>
      <c r="K21" s="24" t="str">
        <f>IF(COUNTIF(Track!$B:$B,C21)&gt;0,"","NO")</f>
        <v/>
      </c>
      <c r="L21" s="30">
        <v>41961</v>
      </c>
    </row>
    <row r="22" spans="1:12">
      <c r="A22">
        <v>21</v>
      </c>
      <c r="B22" t="s">
        <v>137</v>
      </c>
      <c r="C22" t="s">
        <v>509</v>
      </c>
      <c r="D22">
        <v>2015</v>
      </c>
      <c r="E22">
        <v>12</v>
      </c>
      <c r="F22" t="s">
        <v>496</v>
      </c>
      <c r="G22" t="s">
        <v>69</v>
      </c>
      <c r="I22" t="s">
        <v>669</v>
      </c>
      <c r="K22" s="24" t="str">
        <f>IF(COUNTIF(Track!$B:$B,C22)&gt;0,"","NO")</f>
        <v/>
      </c>
      <c r="L22" s="30">
        <v>42300</v>
      </c>
    </row>
    <row r="23" spans="1:12">
      <c r="A23">
        <v>22</v>
      </c>
      <c r="B23" t="s">
        <v>137</v>
      </c>
      <c r="C23" t="s">
        <v>29</v>
      </c>
      <c r="D23">
        <v>2015</v>
      </c>
      <c r="E23">
        <v>10</v>
      </c>
      <c r="F23" t="s">
        <v>496</v>
      </c>
      <c r="H23" t="s">
        <v>68</v>
      </c>
      <c r="I23" t="s">
        <v>694</v>
      </c>
      <c r="K23" s="24" t="str">
        <f>IF(COUNTIF(Track!$B:$B,C23)&gt;0,"","NO")</f>
        <v/>
      </c>
      <c r="L23" s="30">
        <v>42122</v>
      </c>
    </row>
    <row r="24" spans="1:12">
      <c r="A24">
        <v>23</v>
      </c>
      <c r="B24" t="s">
        <v>137</v>
      </c>
      <c r="C24" t="s">
        <v>645</v>
      </c>
      <c r="D24">
        <v>2016</v>
      </c>
      <c r="E24">
        <v>13</v>
      </c>
      <c r="F24" t="s">
        <v>495</v>
      </c>
      <c r="G24" t="s">
        <v>69</v>
      </c>
      <c r="H24" t="s">
        <v>70</v>
      </c>
      <c r="I24" t="s">
        <v>667</v>
      </c>
      <c r="J24" s="22" t="s">
        <v>525</v>
      </c>
      <c r="K24" s="24" t="str">
        <f>IF(COUNTIF(Track!$B:$B,C24)&gt;0,"","NO")</f>
        <v/>
      </c>
      <c r="L24" s="30">
        <v>42698</v>
      </c>
    </row>
    <row r="25" spans="1:12">
      <c r="A25">
        <v>24</v>
      </c>
      <c r="B25" t="s">
        <v>137</v>
      </c>
      <c r="C25" t="s">
        <v>33</v>
      </c>
      <c r="D25">
        <v>2016</v>
      </c>
      <c r="E25">
        <v>11</v>
      </c>
      <c r="F25" t="s">
        <v>496</v>
      </c>
      <c r="I25" t="s">
        <v>681</v>
      </c>
      <c r="K25" s="24" t="str">
        <f>IF(COUNTIF(Track!$B:$B,C25)&gt;0,"","NO")</f>
        <v/>
      </c>
      <c r="L25" s="30">
        <v>42643</v>
      </c>
    </row>
    <row r="26" spans="1:12">
      <c r="A26">
        <v>25</v>
      </c>
      <c r="B26" t="s">
        <v>137</v>
      </c>
      <c r="C26" s="8" t="s">
        <v>498</v>
      </c>
      <c r="D26">
        <v>2017</v>
      </c>
      <c r="E26">
        <v>10</v>
      </c>
      <c r="F26" t="s">
        <v>496</v>
      </c>
      <c r="G26" t="s">
        <v>100</v>
      </c>
      <c r="I26" t="s">
        <v>654</v>
      </c>
      <c r="K26" s="24" t="str">
        <f>IF(COUNTIF(Track!$B:$B,C26)&gt;0,"","NO")</f>
        <v/>
      </c>
      <c r="L26" s="30">
        <v>42839</v>
      </c>
    </row>
    <row r="27" spans="1:12">
      <c r="A27">
        <v>26</v>
      </c>
      <c r="B27" t="s">
        <v>137</v>
      </c>
      <c r="C27" t="s">
        <v>71</v>
      </c>
      <c r="D27">
        <v>2017</v>
      </c>
      <c r="E27">
        <v>10</v>
      </c>
      <c r="F27" t="s">
        <v>496</v>
      </c>
      <c r="G27" t="s">
        <v>100</v>
      </c>
      <c r="I27" t="s">
        <v>655</v>
      </c>
      <c r="K27" s="24" t="str">
        <f>IF(COUNTIF(Track!$B:$B,C27)&gt;0,"","NO")</f>
        <v/>
      </c>
      <c r="L27" s="30">
        <v>42839</v>
      </c>
    </row>
    <row r="28" spans="1:12">
      <c r="A28">
        <v>27</v>
      </c>
      <c r="B28" t="s">
        <v>137</v>
      </c>
      <c r="C28" t="s">
        <v>34</v>
      </c>
      <c r="D28">
        <v>2017</v>
      </c>
      <c r="E28">
        <v>13</v>
      </c>
      <c r="F28" t="s">
        <v>496</v>
      </c>
      <c r="I28" t="s">
        <v>682</v>
      </c>
      <c r="K28" s="24" t="str">
        <f>IF(COUNTIF(Track!$B:$B,C28)&gt;0,"","NO")</f>
        <v/>
      </c>
      <c r="L28" s="30">
        <v>42839</v>
      </c>
    </row>
    <row r="29" spans="1:12">
      <c r="A29">
        <v>28</v>
      </c>
      <c r="B29" t="s">
        <v>137</v>
      </c>
      <c r="C29" t="s">
        <v>35</v>
      </c>
      <c r="D29">
        <v>2017</v>
      </c>
      <c r="E29">
        <v>5</v>
      </c>
      <c r="F29" t="s">
        <v>496</v>
      </c>
      <c r="I29" t="s">
        <v>683</v>
      </c>
      <c r="K29" s="24" t="str">
        <f>IF(COUNTIF(Track!$B:$B,C29)&gt;0,"","NO")</f>
        <v/>
      </c>
      <c r="L29" s="30">
        <v>43000</v>
      </c>
    </row>
    <row r="30" spans="1:12">
      <c r="A30">
        <v>29</v>
      </c>
      <c r="B30" t="s">
        <v>137</v>
      </c>
      <c r="C30" t="s">
        <v>36</v>
      </c>
      <c r="D30">
        <v>2017</v>
      </c>
      <c r="E30">
        <v>5</v>
      </c>
      <c r="F30" t="s">
        <v>496</v>
      </c>
      <c r="I30" t="s">
        <v>684</v>
      </c>
      <c r="K30" s="24" t="str">
        <f>IF(COUNTIF(Track!$B:$B,C30)&gt;0,"","NO")</f>
        <v/>
      </c>
      <c r="L30" s="30">
        <v>43039</v>
      </c>
    </row>
    <row r="31" spans="1:12">
      <c r="A31">
        <v>30</v>
      </c>
      <c r="B31" t="s">
        <v>137</v>
      </c>
      <c r="C31" t="s">
        <v>61</v>
      </c>
      <c r="D31">
        <v>2018</v>
      </c>
      <c r="E31">
        <v>10</v>
      </c>
      <c r="F31" t="s">
        <v>496</v>
      </c>
      <c r="G31" t="s">
        <v>95</v>
      </c>
      <c r="I31" t="s">
        <v>664</v>
      </c>
      <c r="K31" s="24" t="str">
        <f>IF(COUNTIF(Track!$B:$B,C31)&gt;0,"","NO")</f>
        <v/>
      </c>
      <c r="L31" s="30">
        <v>43350</v>
      </c>
    </row>
    <row r="32" spans="1:12">
      <c r="A32">
        <v>31</v>
      </c>
      <c r="B32" t="s">
        <v>137</v>
      </c>
      <c r="C32" t="s">
        <v>62</v>
      </c>
      <c r="D32">
        <v>2018</v>
      </c>
      <c r="E32">
        <v>10</v>
      </c>
      <c r="F32" t="s">
        <v>496</v>
      </c>
      <c r="G32" t="s">
        <v>95</v>
      </c>
      <c r="I32" t="s">
        <v>665</v>
      </c>
      <c r="K32" s="24" t="str">
        <f>IF(COUNTIF(Track!$B:$B,C32)&gt;0,"","NO")</f>
        <v/>
      </c>
      <c r="L32" s="30">
        <v>43700</v>
      </c>
    </row>
    <row r="33" spans="1:12">
      <c r="A33">
        <v>32</v>
      </c>
      <c r="B33" t="s">
        <v>137</v>
      </c>
      <c r="C33" t="s">
        <v>37</v>
      </c>
      <c r="D33">
        <v>2018</v>
      </c>
      <c r="E33">
        <v>5</v>
      </c>
      <c r="F33" t="s">
        <v>496</v>
      </c>
      <c r="I33" t="s">
        <v>685</v>
      </c>
      <c r="K33" s="24" t="str">
        <f>IF(COUNTIF(Track!$B:$B,C33)&gt;0,"","NO")</f>
        <v/>
      </c>
      <c r="L33" s="30">
        <v>43145</v>
      </c>
    </row>
    <row r="34" spans="1:12">
      <c r="A34">
        <v>33</v>
      </c>
      <c r="B34" t="s">
        <v>137</v>
      </c>
      <c r="C34" t="s">
        <v>38</v>
      </c>
      <c r="D34">
        <v>2018</v>
      </c>
      <c r="E34">
        <v>10</v>
      </c>
      <c r="F34" t="s">
        <v>496</v>
      </c>
      <c r="I34" t="s">
        <v>686</v>
      </c>
      <c r="K34" s="24" t="str">
        <f>IF(COUNTIF(Track!$B:$B,C34)&gt;0,"","NO")</f>
        <v/>
      </c>
      <c r="L34" s="30">
        <v>43297</v>
      </c>
    </row>
    <row r="35" spans="1:12">
      <c r="A35">
        <v>34</v>
      </c>
      <c r="B35" t="s">
        <v>137</v>
      </c>
      <c r="C35" t="s">
        <v>73</v>
      </c>
      <c r="D35">
        <v>2019</v>
      </c>
      <c r="E35">
        <v>13</v>
      </c>
      <c r="F35" t="s">
        <v>495</v>
      </c>
      <c r="G35" t="s">
        <v>95</v>
      </c>
      <c r="H35" t="s">
        <v>74</v>
      </c>
      <c r="I35" t="s">
        <v>663</v>
      </c>
      <c r="K35" s="24" t="str">
        <f>IF(COUNTIF(Track!$B:$B,C35)&gt;0,"","NO")</f>
        <v/>
      </c>
      <c r="L35" s="30">
        <v>43504</v>
      </c>
    </row>
    <row r="36" spans="1:12">
      <c r="A36">
        <v>35</v>
      </c>
      <c r="B36" t="s">
        <v>137</v>
      </c>
      <c r="C36" t="s">
        <v>646</v>
      </c>
      <c r="D36">
        <v>2019</v>
      </c>
      <c r="E36">
        <v>5</v>
      </c>
      <c r="F36" t="s">
        <v>496</v>
      </c>
      <c r="G36" t="s">
        <v>100</v>
      </c>
      <c r="H36" t="s">
        <v>72</v>
      </c>
      <c r="I36" t="s">
        <v>656</v>
      </c>
      <c r="J36" s="22" t="s">
        <v>525</v>
      </c>
      <c r="K36" s="24" t="str">
        <f>IF(COUNTIF(Track!$B:$B,C36)&gt;0,"","NO")</f>
        <v/>
      </c>
      <c r="L36" s="30">
        <v>43797</v>
      </c>
    </row>
    <row r="37" spans="1:12">
      <c r="A37">
        <v>36</v>
      </c>
      <c r="B37" t="s">
        <v>137</v>
      </c>
      <c r="C37" t="s">
        <v>39</v>
      </c>
      <c r="D37">
        <v>2019</v>
      </c>
      <c r="E37">
        <v>12</v>
      </c>
      <c r="F37" t="s">
        <v>496</v>
      </c>
      <c r="I37" t="s">
        <v>687</v>
      </c>
      <c r="K37" s="24" t="str">
        <f>IF(COUNTIF(Track!$B:$B,C37)&gt;0,"","NO")</f>
        <v/>
      </c>
      <c r="L37" s="30">
        <v>43630</v>
      </c>
    </row>
    <row r="38" spans="1:12">
      <c r="A38">
        <v>37</v>
      </c>
      <c r="B38" t="s">
        <v>137</v>
      </c>
      <c r="C38" t="s">
        <v>40</v>
      </c>
      <c r="D38">
        <v>2020</v>
      </c>
      <c r="E38">
        <v>10</v>
      </c>
      <c r="F38" t="s">
        <v>496</v>
      </c>
      <c r="I38" t="s">
        <v>688</v>
      </c>
      <c r="K38" s="24" t="str">
        <f>IF(COUNTIF(Track!$B:$B,C38)&gt;0,"","NO")</f>
        <v/>
      </c>
      <c r="L38" s="30">
        <v>43847</v>
      </c>
    </row>
    <row r="39" spans="1:12">
      <c r="A39">
        <v>38</v>
      </c>
      <c r="B39" t="s">
        <v>137</v>
      </c>
      <c r="C39" t="s">
        <v>41</v>
      </c>
      <c r="D39">
        <v>2020</v>
      </c>
      <c r="E39">
        <v>10</v>
      </c>
      <c r="F39" t="s">
        <v>496</v>
      </c>
      <c r="I39" t="s">
        <v>689</v>
      </c>
      <c r="K39" s="24" t="str">
        <f>IF(COUNTIF(Track!$B:$B,C39)&gt;0,"","NO")</f>
        <v/>
      </c>
      <c r="L39" s="30">
        <v>43889</v>
      </c>
    </row>
    <row r="40" spans="1:12">
      <c r="A40">
        <v>39</v>
      </c>
      <c r="B40" t="s">
        <v>137</v>
      </c>
      <c r="C40" t="s">
        <v>42</v>
      </c>
      <c r="D40">
        <v>2020</v>
      </c>
      <c r="E40">
        <v>10</v>
      </c>
      <c r="F40" t="s">
        <v>496</v>
      </c>
      <c r="I40" t="s">
        <v>690</v>
      </c>
      <c r="K40" s="24" t="str">
        <f>IF(COUNTIF(Track!$B:$B,C40)&gt;0,"","NO")</f>
        <v/>
      </c>
      <c r="L40" s="32">
        <v>43924</v>
      </c>
    </row>
    <row r="41" spans="1:12">
      <c r="A41">
        <v>40</v>
      </c>
      <c r="B41" t="s">
        <v>137</v>
      </c>
      <c r="C41" t="s">
        <v>43</v>
      </c>
      <c r="D41">
        <v>2020</v>
      </c>
      <c r="E41">
        <v>10</v>
      </c>
      <c r="F41" t="s">
        <v>496</v>
      </c>
      <c r="I41" t="s">
        <v>691</v>
      </c>
      <c r="K41" s="24" t="str">
        <f>IF(COUNTIF(Track!$B:$B,C41)&gt;0,"","NO")</f>
        <v/>
      </c>
      <c r="L41" s="32">
        <v>44001</v>
      </c>
    </row>
    <row r="42" spans="1:12">
      <c r="A42">
        <v>41</v>
      </c>
      <c r="B42" t="s">
        <v>137</v>
      </c>
      <c r="C42" t="s">
        <v>44</v>
      </c>
      <c r="D42">
        <v>2020</v>
      </c>
      <c r="E42">
        <v>11</v>
      </c>
      <c r="F42" t="s">
        <v>496</v>
      </c>
      <c r="I42" t="s">
        <v>692</v>
      </c>
      <c r="K42" s="24" t="str">
        <f>IF(COUNTIF(Track!$B:$B,C42)&gt;0,"","NO")</f>
        <v/>
      </c>
      <c r="L42" s="32">
        <v>44099</v>
      </c>
    </row>
    <row r="43" spans="1:12">
      <c r="A43">
        <v>42</v>
      </c>
      <c r="B43" t="s">
        <v>137</v>
      </c>
      <c r="C43" t="s">
        <v>45</v>
      </c>
      <c r="D43">
        <v>2021</v>
      </c>
      <c r="E43">
        <v>10</v>
      </c>
      <c r="F43" t="s">
        <v>496</v>
      </c>
      <c r="I43" t="s">
        <v>693</v>
      </c>
      <c r="K43" s="24" t="str">
        <f>IF(COUNTIF(Track!$B:$B,C43)&gt;0,"","NO")</f>
        <v/>
      </c>
      <c r="L43" s="30">
        <v>44204</v>
      </c>
    </row>
    <row r="44" spans="1:12">
      <c r="A44">
        <v>43</v>
      </c>
      <c r="B44" t="s">
        <v>137</v>
      </c>
      <c r="C44" t="s">
        <v>64</v>
      </c>
      <c r="D44">
        <v>2100</v>
      </c>
      <c r="E44">
        <v>10</v>
      </c>
      <c r="F44" t="s">
        <v>494</v>
      </c>
      <c r="G44" t="s">
        <v>494</v>
      </c>
      <c r="H44" t="s">
        <v>75</v>
      </c>
      <c r="K44" s="24" t="str">
        <f>IF(COUNTIF(Track!$B:$B,C44)&gt;0,"","NO")</f>
        <v/>
      </c>
    </row>
    <row r="45" spans="1:12">
      <c r="A45">
        <v>44</v>
      </c>
      <c r="B45" t="s">
        <v>137</v>
      </c>
      <c r="C45" t="s">
        <v>66</v>
      </c>
      <c r="D45">
        <v>2100</v>
      </c>
      <c r="E45">
        <v>1</v>
      </c>
      <c r="F45" t="s">
        <v>494</v>
      </c>
      <c r="G45" t="s">
        <v>494</v>
      </c>
      <c r="K45" s="24" t="str">
        <f>IF(COUNTIF(Track!$B:$B,C45)&gt;0,"","NO")</f>
        <v/>
      </c>
    </row>
  </sheetData>
  <autoFilter ref="A1:L45" xr:uid="{47B56E45-E01A-4B7A-BEB8-C136A2DB0B7A}">
    <sortState xmlns:xlrd2="http://schemas.microsoft.com/office/spreadsheetml/2017/richdata2" ref="A2:L45">
      <sortCondition ref="A1:A45"/>
    </sortState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10C-65C8-40EA-B639-B1B45687620A}">
  <dimension ref="A1:W447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5"/>
  <cols>
    <col min="1" max="1" width="4.28515625" bestFit="1" customWidth="1"/>
    <col min="2" max="2" width="29.5703125" customWidth="1"/>
    <col min="3" max="3" width="9.140625" customWidth="1"/>
    <col min="5" max="5" width="35.5703125" bestFit="1" customWidth="1"/>
    <col min="6" max="6" width="9.140625" customWidth="1"/>
    <col min="7" max="7" width="9.140625" style="8" customWidth="1"/>
    <col min="8" max="8" width="9.140625" customWidth="1"/>
    <col min="9" max="11" width="9.140625" style="8" customWidth="1"/>
    <col min="12" max="12" width="9.140625" style="28" customWidth="1"/>
    <col min="13" max="13" width="9.140625" style="24"/>
  </cols>
  <sheetData>
    <row r="1" spans="1:23" s="1" customFormat="1">
      <c r="A1" s="1" t="s">
        <v>647</v>
      </c>
      <c r="B1" s="1" t="s">
        <v>492</v>
      </c>
      <c r="C1" s="1" t="s">
        <v>67</v>
      </c>
      <c r="D1" s="1" t="s">
        <v>511</v>
      </c>
      <c r="E1" s="1" t="s">
        <v>30</v>
      </c>
      <c r="F1" s="1" t="s">
        <v>696</v>
      </c>
      <c r="G1" s="1" t="s">
        <v>652</v>
      </c>
      <c r="H1" s="1" t="s">
        <v>31</v>
      </c>
      <c r="I1" s="1" t="s">
        <v>28</v>
      </c>
      <c r="J1" s="1" t="s">
        <v>27</v>
      </c>
      <c r="K1" s="1" t="s">
        <v>653</v>
      </c>
      <c r="L1" s="27" t="s">
        <v>60</v>
      </c>
      <c r="M1" s="23"/>
      <c r="O1" s="6"/>
      <c r="P1" s="6"/>
      <c r="Q1" s="6"/>
      <c r="R1" s="6"/>
      <c r="S1" s="6"/>
      <c r="T1" s="6"/>
      <c r="U1" s="6"/>
      <c r="V1" s="6"/>
    </row>
    <row r="2" spans="1:23" s="8" customFormat="1">
      <c r="A2" s="8">
        <f>INDEX(Album!$A:$A, MATCH(B2,Album!$C:$C,0))</f>
        <v>1</v>
      </c>
      <c r="B2" t="s">
        <v>510</v>
      </c>
      <c r="C2">
        <f>INDEX(Album!$D:$D, MATCH(B2,Album!$C:$C,0))</f>
        <v>2002</v>
      </c>
      <c r="D2" s="8">
        <v>1</v>
      </c>
      <c r="E2" s="8" t="s">
        <v>526</v>
      </c>
      <c r="F2" s="26"/>
      <c r="L2" s="28"/>
      <c r="M2" s="25"/>
      <c r="O2" s="10"/>
      <c r="P2" s="10"/>
      <c r="Q2" s="10"/>
      <c r="R2" s="10"/>
      <c r="S2" s="10"/>
      <c r="T2" s="10"/>
      <c r="U2" s="10"/>
      <c r="V2" s="10"/>
    </row>
    <row r="3" spans="1:23" s="8" customFormat="1">
      <c r="A3" s="8">
        <f>INDEX(Album!$A:$A, MATCH(B3,Album!$C:$C,0))</f>
        <v>1</v>
      </c>
      <c r="B3" t="s">
        <v>510</v>
      </c>
      <c r="C3">
        <f>INDEX(Album!$D:$D, MATCH(B3,Album!$C:$C,0))</f>
        <v>2002</v>
      </c>
      <c r="D3" s="8">
        <v>2</v>
      </c>
      <c r="E3" s="8" t="s">
        <v>527</v>
      </c>
      <c r="F3" s="26"/>
      <c r="L3" s="28"/>
      <c r="M3" s="25"/>
      <c r="O3" s="10"/>
      <c r="P3" s="10"/>
      <c r="Q3" s="10"/>
      <c r="R3" s="10"/>
      <c r="S3" s="10"/>
      <c r="T3" s="10"/>
      <c r="U3" s="10"/>
      <c r="V3" s="10"/>
    </row>
    <row r="4" spans="1:23" s="8" customFormat="1">
      <c r="A4" s="8">
        <f>INDEX(Album!$A:$A, MATCH(B4,Album!$C:$C,0))</f>
        <v>1</v>
      </c>
      <c r="B4" t="s">
        <v>510</v>
      </c>
      <c r="C4">
        <f>INDEX(Album!$D:$D, MATCH(B4,Album!$C:$C,0))</f>
        <v>2002</v>
      </c>
      <c r="D4" s="8">
        <v>3</v>
      </c>
      <c r="E4" s="8" t="s">
        <v>541</v>
      </c>
      <c r="F4" s="26" t="s">
        <v>542</v>
      </c>
      <c r="L4" s="28"/>
      <c r="M4" s="25"/>
      <c r="O4" s="10"/>
      <c r="P4" s="10"/>
      <c r="Q4" s="10"/>
      <c r="R4" s="10"/>
      <c r="S4" s="10"/>
      <c r="T4" s="10"/>
      <c r="U4" s="10"/>
      <c r="V4" s="10"/>
    </row>
    <row r="5" spans="1:23" s="8" customFormat="1">
      <c r="A5" s="8">
        <f>INDEX(Album!$A:$A, MATCH(B5,Album!$C:$C,0))</f>
        <v>1</v>
      </c>
      <c r="B5" t="s">
        <v>510</v>
      </c>
      <c r="C5">
        <f>INDEX(Album!$D:$D, MATCH(B5,Album!$C:$C,0))</f>
        <v>2002</v>
      </c>
      <c r="D5" s="8">
        <v>4</v>
      </c>
      <c r="E5" s="8" t="s">
        <v>528</v>
      </c>
      <c r="F5" s="26"/>
      <c r="L5" s="28"/>
      <c r="M5" s="25"/>
      <c r="O5" s="10"/>
      <c r="P5" s="10"/>
      <c r="Q5" s="10"/>
      <c r="R5" s="10"/>
      <c r="S5" s="10"/>
      <c r="T5" s="10"/>
      <c r="U5" s="10"/>
      <c r="V5" s="10"/>
    </row>
    <row r="6" spans="1:23" s="8" customFormat="1">
      <c r="A6" s="8">
        <f>INDEX(Album!$A:$A, MATCH(B6,Album!$C:$C,0))</f>
        <v>1</v>
      </c>
      <c r="B6" t="s">
        <v>510</v>
      </c>
      <c r="C6">
        <f>INDEX(Album!$D:$D, MATCH(B6,Album!$C:$C,0))</f>
        <v>2002</v>
      </c>
      <c r="D6" s="8">
        <v>5</v>
      </c>
      <c r="E6" s="8" t="s">
        <v>59</v>
      </c>
      <c r="F6" s="26"/>
      <c r="L6" s="28"/>
      <c r="M6" s="25"/>
      <c r="O6" s="10"/>
      <c r="P6" s="10"/>
      <c r="Q6" s="10"/>
      <c r="R6" s="10"/>
      <c r="S6" s="10"/>
      <c r="T6" s="10"/>
      <c r="U6" s="10"/>
      <c r="V6" s="10"/>
    </row>
    <row r="7" spans="1:23" s="8" customFormat="1">
      <c r="A7" s="8">
        <f>INDEX(Album!$A:$A, MATCH(B7,Album!$C:$C,0))</f>
        <v>1</v>
      </c>
      <c r="B7" t="s">
        <v>510</v>
      </c>
      <c r="C7">
        <f>INDEX(Album!$D:$D, MATCH(B7,Album!$C:$C,0))</f>
        <v>2002</v>
      </c>
      <c r="D7" s="8">
        <v>6</v>
      </c>
      <c r="E7" s="8" t="s">
        <v>487</v>
      </c>
      <c r="F7" s="26"/>
      <c r="L7" s="28"/>
      <c r="M7" s="25"/>
      <c r="O7" s="10"/>
      <c r="P7" s="10"/>
      <c r="Q7" s="10"/>
      <c r="R7" s="10"/>
      <c r="S7" s="10"/>
      <c r="T7" s="10"/>
      <c r="U7" s="10"/>
      <c r="V7" s="10"/>
    </row>
    <row r="8" spans="1:23" s="8" customFormat="1">
      <c r="A8" s="8">
        <f>INDEX(Album!$A:$A, MATCH(B8,Album!$C:$C,0))</f>
        <v>1</v>
      </c>
      <c r="B8" t="s">
        <v>510</v>
      </c>
      <c r="C8">
        <f>INDEX(Album!$D:$D, MATCH(B8,Album!$C:$C,0))</f>
        <v>2002</v>
      </c>
      <c r="D8" s="8">
        <v>7</v>
      </c>
      <c r="E8" s="8" t="s">
        <v>529</v>
      </c>
      <c r="F8" s="26"/>
      <c r="L8" s="28"/>
      <c r="M8" s="25"/>
      <c r="O8" s="10"/>
      <c r="P8" s="10"/>
      <c r="Q8" s="10"/>
      <c r="R8" s="10"/>
      <c r="S8" s="10"/>
      <c r="T8" s="10"/>
      <c r="U8" s="10"/>
      <c r="V8" s="10"/>
    </row>
    <row r="9" spans="1:23" s="8" customFormat="1">
      <c r="A9" s="8">
        <f>INDEX(Album!$A:$A, MATCH(B9,Album!$C:$C,0))</f>
        <v>1</v>
      </c>
      <c r="B9" t="s">
        <v>510</v>
      </c>
      <c r="C9">
        <f>INDEX(Album!$D:$D, MATCH(B9,Album!$C:$C,0))</f>
        <v>2002</v>
      </c>
      <c r="D9" s="8">
        <v>8</v>
      </c>
      <c r="E9" s="8" t="s">
        <v>530</v>
      </c>
      <c r="F9" s="26"/>
      <c r="L9" s="28"/>
      <c r="M9" s="25"/>
      <c r="O9" s="10"/>
      <c r="P9" s="10"/>
      <c r="Q9" s="10"/>
      <c r="R9" s="10"/>
      <c r="S9" s="10"/>
      <c r="T9" s="10"/>
      <c r="U9" s="10"/>
      <c r="V9" s="10"/>
    </row>
    <row r="10" spans="1:23" s="8" customFormat="1">
      <c r="A10" s="8">
        <f>INDEX(Album!$A:$A, MATCH(B10,Album!$C:$C,0))</f>
        <v>1</v>
      </c>
      <c r="B10" t="s">
        <v>510</v>
      </c>
      <c r="C10">
        <f>INDEX(Album!$D:$D, MATCH(B10,Album!$C:$C,0))</f>
        <v>2002</v>
      </c>
      <c r="D10" s="8">
        <v>9</v>
      </c>
      <c r="E10" s="8" t="s">
        <v>543</v>
      </c>
      <c r="F10" s="26" t="s">
        <v>544</v>
      </c>
      <c r="L10" s="28"/>
      <c r="M10" s="25"/>
      <c r="O10" s="10"/>
      <c r="P10" s="10"/>
      <c r="Q10" s="10"/>
      <c r="R10" s="10"/>
      <c r="S10" s="10"/>
      <c r="T10" s="10"/>
      <c r="U10" s="10"/>
      <c r="V10" s="10"/>
    </row>
    <row r="11" spans="1:23" s="8" customFormat="1">
      <c r="A11" s="8">
        <f>INDEX(Album!$A:$A, MATCH(B11,Album!$C:$C,0))</f>
        <v>1</v>
      </c>
      <c r="B11" t="s">
        <v>510</v>
      </c>
      <c r="C11">
        <f>INDEX(Album!$D:$D, MATCH(B11,Album!$C:$C,0))</f>
        <v>2002</v>
      </c>
      <c r="D11" s="8">
        <v>10</v>
      </c>
      <c r="E11" s="8" t="s">
        <v>531</v>
      </c>
      <c r="F11" s="26"/>
      <c r="L11" s="28"/>
      <c r="M11" s="25"/>
      <c r="O11" s="10"/>
      <c r="P11" s="10"/>
      <c r="Q11" s="10"/>
      <c r="R11" s="10"/>
      <c r="S11" s="10"/>
      <c r="T11" s="10"/>
      <c r="U11" s="10"/>
      <c r="V11" s="10"/>
    </row>
    <row r="12" spans="1:23" s="8" customFormat="1">
      <c r="A12" s="8">
        <f>INDEX(Album!$A:$A, MATCH(B12,Album!$C:$C,0))</f>
        <v>1</v>
      </c>
      <c r="B12" t="s">
        <v>510</v>
      </c>
      <c r="C12">
        <f>INDEX(Album!$D:$D, MATCH(B12,Album!$C:$C,0))</f>
        <v>2002</v>
      </c>
      <c r="D12" s="8">
        <v>11</v>
      </c>
      <c r="E12" s="8" t="s">
        <v>532</v>
      </c>
      <c r="F12" s="26"/>
      <c r="L12" s="28"/>
      <c r="M12" s="25"/>
      <c r="O12" s="10"/>
      <c r="P12" s="10"/>
      <c r="Q12" s="10"/>
      <c r="R12" s="10"/>
      <c r="S12" s="10"/>
      <c r="T12" s="10"/>
      <c r="U12" s="10"/>
      <c r="V12" s="10"/>
    </row>
    <row r="13" spans="1:23" s="8" customFormat="1">
      <c r="A13" s="8">
        <f>INDEX(Album!$A:$A, MATCH(B13,Album!$C:$C,0))</f>
        <v>1</v>
      </c>
      <c r="B13" t="s">
        <v>510</v>
      </c>
      <c r="C13">
        <f>INDEX(Album!$D:$D, MATCH(B13,Album!$C:$C,0))</f>
        <v>2002</v>
      </c>
      <c r="D13" s="8">
        <v>12</v>
      </c>
      <c r="E13" s="8" t="s">
        <v>533</v>
      </c>
      <c r="F13" s="26"/>
      <c r="L13" s="28"/>
      <c r="M13" s="25"/>
      <c r="O13" s="10"/>
      <c r="P13" s="10"/>
      <c r="Q13" s="10"/>
      <c r="R13" s="10"/>
      <c r="S13" s="10"/>
      <c r="T13" s="10"/>
      <c r="U13" s="10"/>
      <c r="V13" s="10"/>
    </row>
    <row r="14" spans="1:23" s="8" customFormat="1">
      <c r="A14" s="8">
        <f>INDEX(Album!$A:$A, MATCH(B14,Album!$C:$C,0))</f>
        <v>1</v>
      </c>
      <c r="B14" t="s">
        <v>510</v>
      </c>
      <c r="C14">
        <f>INDEX(Album!$D:$D, MATCH(B14,Album!$C:$C,0))</f>
        <v>2002</v>
      </c>
      <c r="D14" s="8">
        <v>13</v>
      </c>
      <c r="E14" s="8" t="s">
        <v>534</v>
      </c>
      <c r="F14" s="26"/>
      <c r="L14" s="28"/>
      <c r="M14" s="25"/>
      <c r="O14" s="10"/>
      <c r="P14" s="10"/>
      <c r="Q14" s="10"/>
      <c r="R14" s="10"/>
      <c r="S14" s="10"/>
      <c r="T14" s="10"/>
      <c r="U14" s="10"/>
      <c r="V14" s="10"/>
    </row>
    <row r="15" spans="1:23" s="8" customFormat="1">
      <c r="A15" s="8">
        <f>INDEX(Album!$A:$A, MATCH(B15,Album!$C:$C,0))</f>
        <v>2</v>
      </c>
      <c r="B15" t="s">
        <v>547</v>
      </c>
      <c r="C15">
        <f>INDEX(Album!$D:$D, MATCH(B15,Album!$C:$C,0))</f>
        <v>2003</v>
      </c>
      <c r="D15">
        <v>1</v>
      </c>
      <c r="E15" t="s">
        <v>574</v>
      </c>
      <c r="F15"/>
      <c r="H15"/>
      <c r="I15"/>
      <c r="L15" s="28"/>
      <c r="M15" s="24"/>
      <c r="N15"/>
      <c r="O15"/>
      <c r="P15"/>
      <c r="Q15"/>
      <c r="R15"/>
      <c r="S15"/>
      <c r="T15"/>
      <c r="U15"/>
      <c r="V15"/>
      <c r="W15"/>
    </row>
    <row r="16" spans="1:23" s="8" customFormat="1">
      <c r="A16" s="8">
        <f>INDEX(Album!$A:$A, MATCH(B16,Album!$C:$C,0))</f>
        <v>2</v>
      </c>
      <c r="B16" t="s">
        <v>547</v>
      </c>
      <c r="C16">
        <f>INDEX(Album!$D:$D, MATCH(B16,Album!$C:$C,0))</f>
        <v>2003</v>
      </c>
      <c r="D16">
        <v>2</v>
      </c>
      <c r="E16" t="s">
        <v>547</v>
      </c>
      <c r="F16"/>
      <c r="H16"/>
      <c r="I16"/>
      <c r="L16" s="28"/>
      <c r="M16" s="24"/>
      <c r="N16"/>
      <c r="O16"/>
      <c r="P16"/>
      <c r="Q16"/>
      <c r="R16"/>
      <c r="S16"/>
      <c r="T16"/>
      <c r="U16"/>
      <c r="V16"/>
      <c r="W16"/>
    </row>
    <row r="17" spans="1:23" s="8" customFormat="1">
      <c r="A17" s="8">
        <f>INDEX(Album!$A:$A, MATCH(B17,Album!$C:$C,0))</f>
        <v>2</v>
      </c>
      <c r="B17" t="s">
        <v>547</v>
      </c>
      <c r="C17">
        <f>INDEX(Album!$D:$D, MATCH(B17,Album!$C:$C,0))</f>
        <v>2003</v>
      </c>
      <c r="D17">
        <v>3</v>
      </c>
      <c r="E17" t="s">
        <v>575</v>
      </c>
      <c r="F17"/>
      <c r="H17"/>
      <c r="I17"/>
      <c r="L17" s="28"/>
      <c r="M17" s="24"/>
      <c r="N17"/>
      <c r="O17"/>
      <c r="P17"/>
      <c r="Q17"/>
      <c r="R17"/>
      <c r="S17"/>
      <c r="T17"/>
      <c r="U17"/>
      <c r="V17"/>
      <c r="W17"/>
    </row>
    <row r="18" spans="1:23" s="8" customFormat="1">
      <c r="A18" s="8">
        <f>INDEX(Album!$A:$A, MATCH(B18,Album!$C:$C,0))</f>
        <v>2</v>
      </c>
      <c r="B18" t="s">
        <v>547</v>
      </c>
      <c r="C18">
        <f>INDEX(Album!$D:$D, MATCH(B18,Album!$C:$C,0))</f>
        <v>2003</v>
      </c>
      <c r="D18">
        <v>4</v>
      </c>
      <c r="E18" t="s">
        <v>576</v>
      </c>
      <c r="F18"/>
      <c r="H18"/>
      <c r="I18"/>
      <c r="L18" s="28"/>
      <c r="M18" s="24"/>
      <c r="N18"/>
      <c r="O18"/>
      <c r="P18"/>
      <c r="Q18"/>
      <c r="R18"/>
      <c r="S18"/>
      <c r="T18"/>
      <c r="U18"/>
      <c r="V18"/>
      <c r="W18"/>
    </row>
    <row r="19" spans="1:23" s="8" customFormat="1">
      <c r="A19" s="8">
        <f>INDEX(Album!$A:$A, MATCH(B19,Album!$C:$C,0))</f>
        <v>2</v>
      </c>
      <c r="B19" t="s">
        <v>547</v>
      </c>
      <c r="C19">
        <f>INDEX(Album!$D:$D, MATCH(B19,Album!$C:$C,0))</f>
        <v>2003</v>
      </c>
      <c r="D19">
        <v>5</v>
      </c>
      <c r="E19" t="s">
        <v>577</v>
      </c>
      <c r="F19"/>
      <c r="H19"/>
      <c r="I19"/>
      <c r="L19" s="28"/>
      <c r="M19" s="24"/>
      <c r="N19"/>
      <c r="O19"/>
      <c r="P19"/>
      <c r="Q19"/>
      <c r="R19"/>
      <c r="S19"/>
      <c r="T19"/>
      <c r="U19"/>
      <c r="V19"/>
      <c r="W19"/>
    </row>
    <row r="20" spans="1:23" s="8" customFormat="1">
      <c r="A20" s="8">
        <f>INDEX(Album!$A:$A, MATCH(B20,Album!$C:$C,0))</f>
        <v>2</v>
      </c>
      <c r="B20" t="s">
        <v>547</v>
      </c>
      <c r="C20">
        <f>INDEX(Album!$D:$D, MATCH(B20,Album!$C:$C,0))</f>
        <v>2003</v>
      </c>
      <c r="D20">
        <v>6</v>
      </c>
      <c r="E20" t="s">
        <v>578</v>
      </c>
      <c r="F20"/>
      <c r="H20"/>
      <c r="I20"/>
      <c r="L20" s="28"/>
      <c r="M20" s="24"/>
      <c r="N20"/>
      <c r="O20"/>
      <c r="P20"/>
      <c r="Q20"/>
      <c r="R20"/>
      <c r="S20"/>
      <c r="T20"/>
      <c r="U20"/>
      <c r="V20"/>
      <c r="W20"/>
    </row>
    <row r="21" spans="1:23" s="8" customFormat="1">
      <c r="A21" s="8">
        <f>INDEX(Album!$A:$A, MATCH(B21,Album!$C:$C,0))</f>
        <v>2</v>
      </c>
      <c r="B21" t="s">
        <v>547</v>
      </c>
      <c r="C21">
        <f>INDEX(Album!$D:$D, MATCH(B21,Album!$C:$C,0))</f>
        <v>2003</v>
      </c>
      <c r="D21">
        <v>7</v>
      </c>
      <c r="E21" t="s">
        <v>579</v>
      </c>
      <c r="F21"/>
      <c r="H21" t="s">
        <v>545</v>
      </c>
      <c r="I21"/>
      <c r="L21" s="28"/>
      <c r="M21" s="24"/>
      <c r="N21"/>
      <c r="O21"/>
      <c r="P21"/>
      <c r="Q21"/>
      <c r="R21"/>
      <c r="S21"/>
      <c r="T21"/>
      <c r="U21"/>
      <c r="V21"/>
      <c r="W21"/>
    </row>
    <row r="22" spans="1:23" s="8" customFormat="1">
      <c r="A22" s="8">
        <f>INDEX(Album!$A:$A, MATCH(B22,Album!$C:$C,0))</f>
        <v>2</v>
      </c>
      <c r="B22" t="s">
        <v>547</v>
      </c>
      <c r="C22">
        <f>INDEX(Album!$D:$D, MATCH(B22,Album!$C:$C,0))</f>
        <v>2003</v>
      </c>
      <c r="D22">
        <v>8</v>
      </c>
      <c r="E22" t="s">
        <v>580</v>
      </c>
      <c r="F22"/>
      <c r="H22" t="s">
        <v>546</v>
      </c>
      <c r="I22"/>
      <c r="L22" s="28"/>
      <c r="M22" s="24"/>
      <c r="N22"/>
      <c r="O22"/>
      <c r="P22"/>
      <c r="Q22"/>
      <c r="R22"/>
      <c r="S22"/>
      <c r="T22"/>
      <c r="U22"/>
      <c r="V22"/>
      <c r="W22"/>
    </row>
    <row r="23" spans="1:23" s="8" customFormat="1">
      <c r="A23" s="8">
        <f>INDEX(Album!$A:$A, MATCH(B23,Album!$C:$C,0))</f>
        <v>2</v>
      </c>
      <c r="B23" t="s">
        <v>547</v>
      </c>
      <c r="C23">
        <f>INDEX(Album!$D:$D, MATCH(B23,Album!$C:$C,0))</f>
        <v>2003</v>
      </c>
      <c r="D23">
        <v>9</v>
      </c>
      <c r="E23" t="s">
        <v>581</v>
      </c>
      <c r="F23"/>
      <c r="H23" t="s">
        <v>515</v>
      </c>
      <c r="I23"/>
      <c r="L23" s="28"/>
      <c r="M23" s="24"/>
      <c r="N23"/>
      <c r="O23"/>
      <c r="P23"/>
      <c r="Q23"/>
      <c r="R23"/>
      <c r="S23"/>
      <c r="T23"/>
      <c r="U23"/>
      <c r="V23"/>
      <c r="W23"/>
    </row>
    <row r="24" spans="1:23" s="8" customFormat="1">
      <c r="A24" s="8">
        <f>INDEX(Album!$A:$A, MATCH(B24,Album!$C:$C,0))</f>
        <v>2</v>
      </c>
      <c r="B24" t="s">
        <v>547</v>
      </c>
      <c r="C24">
        <f>INDEX(Album!$D:$D, MATCH(B24,Album!$C:$C,0))</f>
        <v>2003</v>
      </c>
      <c r="D24">
        <v>10</v>
      </c>
      <c r="E24" t="s">
        <v>582</v>
      </c>
      <c r="F24"/>
      <c r="H24"/>
      <c r="I24"/>
      <c r="L24" s="28"/>
      <c r="M24" s="24"/>
      <c r="N24"/>
      <c r="O24"/>
      <c r="P24"/>
      <c r="Q24"/>
      <c r="R24"/>
      <c r="S24"/>
      <c r="T24"/>
      <c r="U24"/>
      <c r="V24"/>
      <c r="W24"/>
    </row>
    <row r="25" spans="1:23">
      <c r="A25" s="8">
        <f>INDEX(Album!$A:$A, MATCH(B25,Album!$C:$C,0))</f>
        <v>2</v>
      </c>
      <c r="B25" t="s">
        <v>547</v>
      </c>
      <c r="C25">
        <f>INDEX(Album!$D:$D, MATCH(B25,Album!$C:$C,0))</f>
        <v>2003</v>
      </c>
      <c r="D25">
        <v>11</v>
      </c>
      <c r="E25" t="s">
        <v>583</v>
      </c>
      <c r="I25"/>
    </row>
    <row r="26" spans="1:23">
      <c r="A26" s="8">
        <f>INDEX(Album!$A:$A, MATCH(B26,Album!$C:$C,0))</f>
        <v>2</v>
      </c>
      <c r="B26" t="s">
        <v>547</v>
      </c>
      <c r="C26">
        <f>INDEX(Album!$D:$D, MATCH(B26,Album!$C:$C,0))</f>
        <v>2003</v>
      </c>
      <c r="D26">
        <v>12</v>
      </c>
      <c r="E26" t="s">
        <v>584</v>
      </c>
      <c r="I26"/>
    </row>
    <row r="27" spans="1:23">
      <c r="A27" s="8">
        <f>INDEX(Album!$A:$A, MATCH(B27,Album!$C:$C,0))</f>
        <v>2</v>
      </c>
      <c r="B27" t="s">
        <v>547</v>
      </c>
      <c r="C27">
        <f>INDEX(Album!$D:$D, MATCH(B27,Album!$C:$C,0))</f>
        <v>2003</v>
      </c>
      <c r="D27">
        <v>13</v>
      </c>
      <c r="E27" t="s">
        <v>575</v>
      </c>
      <c r="F27" t="s">
        <v>631</v>
      </c>
      <c r="I27"/>
    </row>
    <row r="28" spans="1:23">
      <c r="A28" s="8">
        <f>INDEX(Album!$A:$A, MATCH(B28,Album!$C:$C,0))</f>
        <v>3</v>
      </c>
      <c r="B28" t="s">
        <v>553</v>
      </c>
      <c r="C28">
        <f>INDEX(Album!$D:$D, MATCH(B28,Album!$C:$C,0))</f>
        <v>2004</v>
      </c>
      <c r="D28">
        <v>1</v>
      </c>
      <c r="E28" t="s">
        <v>590</v>
      </c>
      <c r="H28" t="s">
        <v>514</v>
      </c>
      <c r="I28"/>
    </row>
    <row r="29" spans="1:23">
      <c r="A29" s="8">
        <f>INDEX(Album!$A:$A, MATCH(B29,Album!$C:$C,0))</f>
        <v>3</v>
      </c>
      <c r="B29" t="s">
        <v>553</v>
      </c>
      <c r="C29">
        <f>INDEX(Album!$D:$D, MATCH(B29,Album!$C:$C,0))</f>
        <v>2004</v>
      </c>
      <c r="D29">
        <v>2</v>
      </c>
      <c r="E29" t="s">
        <v>591</v>
      </c>
      <c r="H29" t="s">
        <v>550</v>
      </c>
      <c r="I29"/>
    </row>
    <row r="30" spans="1:23">
      <c r="A30" s="8">
        <f>INDEX(Album!$A:$A, MATCH(B30,Album!$C:$C,0))</f>
        <v>3</v>
      </c>
      <c r="B30" t="s">
        <v>553</v>
      </c>
      <c r="C30">
        <f>INDEX(Album!$D:$D, MATCH(B30,Album!$C:$C,0))</f>
        <v>2004</v>
      </c>
      <c r="D30">
        <v>3</v>
      </c>
      <c r="E30" t="s">
        <v>592</v>
      </c>
      <c r="H30" t="s">
        <v>220</v>
      </c>
      <c r="I30"/>
    </row>
    <row r="31" spans="1:23">
      <c r="A31" s="8">
        <f>INDEX(Album!$A:$A, MATCH(B31,Album!$C:$C,0))</f>
        <v>3</v>
      </c>
      <c r="B31" t="s">
        <v>553</v>
      </c>
      <c r="C31">
        <f>INDEX(Album!$D:$D, MATCH(B31,Album!$C:$C,0))</f>
        <v>2004</v>
      </c>
      <c r="D31">
        <v>4</v>
      </c>
      <c r="E31" t="s">
        <v>593</v>
      </c>
      <c r="H31" t="s">
        <v>550</v>
      </c>
      <c r="I31"/>
    </row>
    <row r="32" spans="1:23">
      <c r="A32" s="8">
        <f>INDEX(Album!$A:$A, MATCH(B32,Album!$C:$C,0))</f>
        <v>3</v>
      </c>
      <c r="B32" t="s">
        <v>553</v>
      </c>
      <c r="C32">
        <f>INDEX(Album!$D:$D, MATCH(B32,Album!$C:$C,0))</f>
        <v>2004</v>
      </c>
      <c r="D32">
        <v>5</v>
      </c>
      <c r="E32" t="s">
        <v>594</v>
      </c>
      <c r="H32" t="s">
        <v>550</v>
      </c>
      <c r="I32"/>
    </row>
    <row r="33" spans="1:9">
      <c r="A33" s="8">
        <f>INDEX(Album!$A:$A, MATCH(B33,Album!$C:$C,0))</f>
        <v>3</v>
      </c>
      <c r="B33" t="s">
        <v>553</v>
      </c>
      <c r="C33">
        <f>INDEX(Album!$D:$D, MATCH(B33,Album!$C:$C,0))</f>
        <v>2004</v>
      </c>
      <c r="D33">
        <v>6</v>
      </c>
      <c r="E33" t="s">
        <v>595</v>
      </c>
      <c r="H33" t="s">
        <v>515</v>
      </c>
      <c r="I33"/>
    </row>
    <row r="34" spans="1:9">
      <c r="A34" s="8">
        <f>INDEX(Album!$A:$A, MATCH(B34,Album!$C:$C,0))</f>
        <v>3</v>
      </c>
      <c r="B34" t="s">
        <v>553</v>
      </c>
      <c r="C34">
        <f>INDEX(Album!$D:$D, MATCH(B34,Album!$C:$C,0))</f>
        <v>2004</v>
      </c>
      <c r="D34">
        <v>7</v>
      </c>
      <c r="E34" t="s">
        <v>210</v>
      </c>
      <c r="H34" t="s">
        <v>550</v>
      </c>
      <c r="I34"/>
    </row>
    <row r="35" spans="1:9">
      <c r="A35" s="8">
        <f>INDEX(Album!$A:$A, MATCH(B35,Album!$C:$C,0))</f>
        <v>3</v>
      </c>
      <c r="B35" t="s">
        <v>553</v>
      </c>
      <c r="C35">
        <f>INDEX(Album!$D:$D, MATCH(B35,Album!$C:$C,0))</f>
        <v>2004</v>
      </c>
      <c r="D35">
        <v>8</v>
      </c>
      <c r="E35" t="s">
        <v>596</v>
      </c>
      <c r="H35" t="s">
        <v>550</v>
      </c>
      <c r="I35"/>
    </row>
    <row r="36" spans="1:9">
      <c r="A36" s="8">
        <f>INDEX(Album!$A:$A, MATCH(B36,Album!$C:$C,0))</f>
        <v>3</v>
      </c>
      <c r="B36" t="s">
        <v>553</v>
      </c>
      <c r="C36">
        <f>INDEX(Album!$D:$D, MATCH(B36,Album!$C:$C,0))</f>
        <v>2004</v>
      </c>
      <c r="D36">
        <v>9</v>
      </c>
      <c r="E36" t="s">
        <v>597</v>
      </c>
      <c r="H36" t="s">
        <v>551</v>
      </c>
      <c r="I36"/>
    </row>
    <row r="37" spans="1:9">
      <c r="A37" s="8">
        <f>INDEX(Album!$A:$A, MATCH(B37,Album!$C:$C,0))</f>
        <v>3</v>
      </c>
      <c r="B37" t="s">
        <v>553</v>
      </c>
      <c r="C37">
        <f>INDEX(Album!$D:$D, MATCH(B37,Album!$C:$C,0))</f>
        <v>2004</v>
      </c>
      <c r="D37">
        <v>10</v>
      </c>
      <c r="E37" t="s">
        <v>598</v>
      </c>
      <c r="I37"/>
    </row>
    <row r="38" spans="1:9">
      <c r="A38" s="8">
        <f>INDEX(Album!$A:$A, MATCH(B38,Album!$C:$C,0))</f>
        <v>3</v>
      </c>
      <c r="B38" t="s">
        <v>553</v>
      </c>
      <c r="C38">
        <f>INDEX(Album!$D:$D, MATCH(B38,Album!$C:$C,0))</f>
        <v>2004</v>
      </c>
      <c r="D38">
        <v>11</v>
      </c>
      <c r="E38" t="s">
        <v>599</v>
      </c>
      <c r="H38" t="s">
        <v>552</v>
      </c>
      <c r="I38"/>
    </row>
    <row r="39" spans="1:9">
      <c r="A39" s="8">
        <f>INDEX(Album!$A:$A, MATCH(B39,Album!$C:$C,0))</f>
        <v>4</v>
      </c>
      <c r="B39" t="s">
        <v>549</v>
      </c>
      <c r="C39">
        <f>INDEX(Album!$D:$D, MATCH(B39,Album!$C:$C,0))</f>
        <v>2004</v>
      </c>
      <c r="D39">
        <v>1</v>
      </c>
      <c r="E39" t="s">
        <v>59</v>
      </c>
      <c r="I39"/>
    </row>
    <row r="40" spans="1:9">
      <c r="A40" s="8">
        <f>INDEX(Album!$A:$A, MATCH(B40,Album!$C:$C,0))</f>
        <v>4</v>
      </c>
      <c r="B40" t="s">
        <v>549</v>
      </c>
      <c r="C40">
        <f>INDEX(Album!$D:$D, MATCH(B40,Album!$C:$C,0))</f>
        <v>2004</v>
      </c>
      <c r="D40">
        <v>2</v>
      </c>
      <c r="E40" t="s">
        <v>585</v>
      </c>
      <c r="I40"/>
    </row>
    <row r="41" spans="1:9">
      <c r="A41" s="8">
        <f>INDEX(Album!$A:$A, MATCH(B41,Album!$C:$C,0))</f>
        <v>4</v>
      </c>
      <c r="B41" t="s">
        <v>549</v>
      </c>
      <c r="C41">
        <f>INDEX(Album!$D:$D, MATCH(B41,Album!$C:$C,0))</f>
        <v>2004</v>
      </c>
      <c r="D41">
        <v>3</v>
      </c>
      <c r="E41" t="s">
        <v>586</v>
      </c>
      <c r="H41" t="s">
        <v>548</v>
      </c>
      <c r="I41"/>
    </row>
    <row r="42" spans="1:9">
      <c r="A42" s="8">
        <f>INDEX(Album!$A:$A, MATCH(B42,Album!$C:$C,0))</f>
        <v>4</v>
      </c>
      <c r="B42" t="s">
        <v>549</v>
      </c>
      <c r="C42">
        <f>INDEX(Album!$D:$D, MATCH(B42,Album!$C:$C,0))</f>
        <v>2004</v>
      </c>
      <c r="D42">
        <v>4</v>
      </c>
      <c r="E42" t="s">
        <v>587</v>
      </c>
      <c r="I42"/>
    </row>
    <row r="43" spans="1:9">
      <c r="A43" s="8">
        <f>INDEX(Album!$A:$A, MATCH(B43,Album!$C:$C,0))</f>
        <v>4</v>
      </c>
      <c r="B43" t="s">
        <v>549</v>
      </c>
      <c r="C43">
        <f>INDEX(Album!$D:$D, MATCH(B43,Album!$C:$C,0))</f>
        <v>2004</v>
      </c>
      <c r="D43">
        <v>5</v>
      </c>
      <c r="E43" t="s">
        <v>580</v>
      </c>
      <c r="H43" t="s">
        <v>546</v>
      </c>
      <c r="I43"/>
    </row>
    <row r="44" spans="1:9">
      <c r="A44" s="8">
        <f>INDEX(Album!$A:$A, MATCH(B44,Album!$C:$C,0))</f>
        <v>4</v>
      </c>
      <c r="B44" t="s">
        <v>549</v>
      </c>
      <c r="C44">
        <f>INDEX(Album!$D:$D, MATCH(B44,Album!$C:$C,0))</f>
        <v>2004</v>
      </c>
      <c r="D44">
        <v>6</v>
      </c>
      <c r="E44" t="s">
        <v>588</v>
      </c>
      <c r="I44"/>
    </row>
    <row r="45" spans="1:9">
      <c r="A45" s="8">
        <f>INDEX(Album!$A:$A, MATCH(B45,Album!$C:$C,0))</f>
        <v>4</v>
      </c>
      <c r="B45" t="s">
        <v>549</v>
      </c>
      <c r="C45">
        <f>INDEX(Album!$D:$D, MATCH(B45,Album!$C:$C,0))</f>
        <v>2004</v>
      </c>
      <c r="D45">
        <v>7</v>
      </c>
      <c r="E45" t="s">
        <v>528</v>
      </c>
      <c r="I45"/>
    </row>
    <row r="46" spans="1:9">
      <c r="A46" s="8">
        <f>INDEX(Album!$A:$A, MATCH(B46,Album!$C:$C,0))</f>
        <v>4</v>
      </c>
      <c r="B46" t="s">
        <v>549</v>
      </c>
      <c r="C46">
        <f>INDEX(Album!$D:$D, MATCH(B46,Album!$C:$C,0))</f>
        <v>2004</v>
      </c>
      <c r="D46">
        <v>8</v>
      </c>
      <c r="E46" t="s">
        <v>578</v>
      </c>
      <c r="I46"/>
    </row>
    <row r="47" spans="1:9">
      <c r="A47" s="8">
        <f>INDEX(Album!$A:$A, MATCH(B47,Album!$C:$C,0))</f>
        <v>4</v>
      </c>
      <c r="B47" t="s">
        <v>549</v>
      </c>
      <c r="C47">
        <f>INDEX(Album!$D:$D, MATCH(B47,Album!$C:$C,0))</f>
        <v>2004</v>
      </c>
      <c r="D47">
        <v>9</v>
      </c>
      <c r="E47" t="s">
        <v>210</v>
      </c>
      <c r="I47"/>
    </row>
    <row r="48" spans="1:9">
      <c r="A48" s="8">
        <f>INDEX(Album!$A:$A, MATCH(B48,Album!$C:$C,0))</f>
        <v>4</v>
      </c>
      <c r="B48" t="s">
        <v>549</v>
      </c>
      <c r="C48">
        <f>INDEX(Album!$D:$D, MATCH(B48,Album!$C:$C,0))</f>
        <v>2004</v>
      </c>
      <c r="D48">
        <v>10</v>
      </c>
      <c r="E48" t="s">
        <v>589</v>
      </c>
      <c r="I48"/>
    </row>
    <row r="49" spans="1:23">
      <c r="A49" s="8">
        <f>INDEX(Album!$A:$A, MATCH(B49,Album!$C:$C,0))</f>
        <v>5</v>
      </c>
      <c r="B49" t="s">
        <v>554</v>
      </c>
      <c r="C49">
        <f>INDEX(Album!$D:$D, MATCH(B49,Album!$C:$C,0))</f>
        <v>2007</v>
      </c>
      <c r="D49">
        <v>1</v>
      </c>
      <c r="E49" t="s">
        <v>600</v>
      </c>
      <c r="I49"/>
    </row>
    <row r="50" spans="1:23">
      <c r="A50" s="8">
        <f>INDEX(Album!$A:$A, MATCH(B50,Album!$C:$C,0))</f>
        <v>5</v>
      </c>
      <c r="B50" t="s">
        <v>554</v>
      </c>
      <c r="C50">
        <f>INDEX(Album!$D:$D, MATCH(B50,Album!$C:$C,0))</f>
        <v>2007</v>
      </c>
      <c r="D50">
        <v>2</v>
      </c>
      <c r="E50" t="s">
        <v>601</v>
      </c>
      <c r="I50"/>
    </row>
    <row r="51" spans="1:23">
      <c r="A51" s="8">
        <f>INDEX(Album!$A:$A, MATCH(B51,Album!$C:$C,0))</f>
        <v>5</v>
      </c>
      <c r="B51" t="s">
        <v>554</v>
      </c>
      <c r="C51">
        <f>INDEX(Album!$D:$D, MATCH(B51,Album!$C:$C,0))</f>
        <v>2007</v>
      </c>
      <c r="D51">
        <v>3</v>
      </c>
      <c r="E51" t="s">
        <v>602</v>
      </c>
      <c r="I51"/>
    </row>
    <row r="52" spans="1:23">
      <c r="A52" s="8">
        <f>INDEX(Album!$A:$A, MATCH(B52,Album!$C:$C,0))</f>
        <v>5</v>
      </c>
      <c r="B52" t="s">
        <v>554</v>
      </c>
      <c r="C52">
        <f>INDEX(Album!$D:$D, MATCH(B52,Album!$C:$C,0))</f>
        <v>2007</v>
      </c>
      <c r="D52">
        <v>4</v>
      </c>
      <c r="E52" t="s">
        <v>603</v>
      </c>
      <c r="I52"/>
    </row>
    <row r="53" spans="1:23">
      <c r="A53" s="8">
        <f>INDEX(Album!$A:$A, MATCH(B53,Album!$C:$C,0))</f>
        <v>5</v>
      </c>
      <c r="B53" t="s">
        <v>554</v>
      </c>
      <c r="C53">
        <f>INDEX(Album!$D:$D, MATCH(B53,Album!$C:$C,0))</f>
        <v>2007</v>
      </c>
      <c r="D53">
        <v>5</v>
      </c>
      <c r="E53" t="s">
        <v>604</v>
      </c>
      <c r="I53"/>
    </row>
    <row r="54" spans="1:23">
      <c r="A54" s="8">
        <f>INDEX(Album!$A:$A, MATCH(B54,Album!$C:$C,0))</f>
        <v>5</v>
      </c>
      <c r="B54" t="s">
        <v>554</v>
      </c>
      <c r="C54">
        <f>INDEX(Album!$D:$D, MATCH(B54,Album!$C:$C,0))</f>
        <v>2007</v>
      </c>
      <c r="D54">
        <v>6</v>
      </c>
      <c r="E54" t="s">
        <v>605</v>
      </c>
      <c r="I54"/>
    </row>
    <row r="55" spans="1:23">
      <c r="A55" s="8">
        <f>INDEX(Album!$A:$A, MATCH(B55,Album!$C:$C,0))</f>
        <v>5</v>
      </c>
      <c r="B55" t="s">
        <v>554</v>
      </c>
      <c r="C55">
        <f>INDEX(Album!$D:$D, MATCH(B55,Album!$C:$C,0))</f>
        <v>2007</v>
      </c>
      <c r="D55">
        <v>7</v>
      </c>
      <c r="E55" t="s">
        <v>606</v>
      </c>
      <c r="I55"/>
    </row>
    <row r="56" spans="1:23">
      <c r="A56" s="8">
        <f>INDEX(Album!$A:$A, MATCH(B56,Album!$C:$C,0))</f>
        <v>5</v>
      </c>
      <c r="B56" t="s">
        <v>554</v>
      </c>
      <c r="C56">
        <f>INDEX(Album!$D:$D, MATCH(B56,Album!$C:$C,0))</f>
        <v>2007</v>
      </c>
      <c r="D56">
        <v>8</v>
      </c>
      <c r="E56" t="s">
        <v>538</v>
      </c>
      <c r="I56"/>
    </row>
    <row r="57" spans="1:23">
      <c r="A57" s="8">
        <f>INDEX(Album!$A:$A, MATCH(B57,Album!$C:$C,0))</f>
        <v>5</v>
      </c>
      <c r="B57" t="s">
        <v>554</v>
      </c>
      <c r="C57">
        <f>INDEX(Album!$D:$D, MATCH(B57,Album!$C:$C,0))</f>
        <v>2007</v>
      </c>
      <c r="D57">
        <v>9</v>
      </c>
      <c r="E57" t="s">
        <v>607</v>
      </c>
      <c r="I57"/>
    </row>
    <row r="58" spans="1:23">
      <c r="A58" s="8">
        <f>INDEX(Album!$A:$A, MATCH(B58,Album!$C:$C,0))</f>
        <v>5</v>
      </c>
      <c r="B58" t="s">
        <v>554</v>
      </c>
      <c r="C58">
        <f>INDEX(Album!$D:$D, MATCH(B58,Album!$C:$C,0))</f>
        <v>2007</v>
      </c>
      <c r="D58">
        <v>10</v>
      </c>
      <c r="E58" t="s">
        <v>608</v>
      </c>
      <c r="I58"/>
    </row>
    <row r="59" spans="1:23">
      <c r="A59" s="8">
        <f>INDEX(Album!$A:$A, MATCH(B59,Album!$C:$C,0))</f>
        <v>5</v>
      </c>
      <c r="B59" t="s">
        <v>554</v>
      </c>
      <c r="C59">
        <f>INDEX(Album!$D:$D, MATCH(B59,Album!$C:$C,0))</f>
        <v>2007</v>
      </c>
      <c r="D59">
        <v>11</v>
      </c>
      <c r="E59" t="s">
        <v>609</v>
      </c>
      <c r="I59"/>
    </row>
    <row r="60" spans="1:23">
      <c r="A60" s="8">
        <f>INDEX(Album!$A:$A, MATCH(B60,Album!$C:$C,0))</f>
        <v>5</v>
      </c>
      <c r="B60" t="s">
        <v>554</v>
      </c>
      <c r="C60">
        <f>INDEX(Album!$D:$D, MATCH(B60,Album!$C:$C,0))</f>
        <v>2007</v>
      </c>
      <c r="D60">
        <v>12</v>
      </c>
      <c r="E60" t="s">
        <v>610</v>
      </c>
      <c r="I60"/>
    </row>
    <row r="61" spans="1:23">
      <c r="A61" s="8">
        <f>INDEX(Album!$A:$A, MATCH(B61,Album!$C:$C,0))</f>
        <v>5</v>
      </c>
      <c r="B61" t="s">
        <v>554</v>
      </c>
      <c r="C61">
        <f>INDEX(Album!$D:$D, MATCH(B61,Album!$C:$C,0))</f>
        <v>2007</v>
      </c>
      <c r="D61">
        <v>13</v>
      </c>
      <c r="E61" t="s">
        <v>611</v>
      </c>
      <c r="I61"/>
    </row>
    <row r="62" spans="1:23">
      <c r="A62" s="8">
        <f>INDEX(Album!$A:$A, MATCH(B62,Album!$C:$C,0))</f>
        <v>5</v>
      </c>
      <c r="B62" t="s">
        <v>554</v>
      </c>
      <c r="C62">
        <f>INDEX(Album!$D:$D, MATCH(B62,Album!$C:$C,0))</f>
        <v>2007</v>
      </c>
      <c r="D62">
        <v>14</v>
      </c>
      <c r="E62" t="s">
        <v>612</v>
      </c>
      <c r="I62"/>
    </row>
    <row r="63" spans="1:23">
      <c r="A63" s="8">
        <f>INDEX(Album!$A:$A, MATCH(B63,Album!$C:$C,0))</f>
        <v>5</v>
      </c>
      <c r="B63" t="s">
        <v>554</v>
      </c>
      <c r="C63">
        <f>INDEX(Album!$D:$D, MATCH(B63,Album!$C:$C,0))</f>
        <v>2007</v>
      </c>
      <c r="D63">
        <v>15</v>
      </c>
      <c r="E63" t="s">
        <v>579</v>
      </c>
      <c r="I63"/>
    </row>
    <row r="64" spans="1:23">
      <c r="A64" s="8">
        <f>INDEX(Album!$A:$A, MATCH(B64,Album!$C:$C,0))</f>
        <v>6</v>
      </c>
      <c r="B64" t="s">
        <v>643</v>
      </c>
      <c r="C64">
        <f>INDEX(Album!$D:$D, MATCH(B64,Album!$C:$C,0))</f>
        <v>2008</v>
      </c>
      <c r="D64" s="8">
        <v>1</v>
      </c>
      <c r="E64" s="8" t="s">
        <v>446</v>
      </c>
      <c r="F64" s="8"/>
      <c r="H64" s="8"/>
      <c r="M64" s="25"/>
      <c r="N64" s="8"/>
      <c r="O64" s="10"/>
      <c r="P64" s="10"/>
      <c r="Q64" s="10"/>
      <c r="R64" s="10"/>
      <c r="S64" s="10"/>
      <c r="T64" s="10"/>
      <c r="U64" s="10"/>
      <c r="V64" s="10"/>
      <c r="W64" s="8"/>
    </row>
    <row r="65" spans="1:23">
      <c r="A65" s="8">
        <f>INDEX(Album!$A:$A, MATCH(B65,Album!$C:$C,0))</f>
        <v>6</v>
      </c>
      <c r="B65" t="s">
        <v>643</v>
      </c>
      <c r="C65">
        <f>INDEX(Album!$D:$D, MATCH(B65,Album!$C:$C,0))</f>
        <v>2008</v>
      </c>
      <c r="D65" s="8">
        <v>2</v>
      </c>
      <c r="E65" s="8" t="s">
        <v>448</v>
      </c>
      <c r="F65" s="8"/>
      <c r="H65" s="8"/>
      <c r="M65" s="25"/>
      <c r="N65" s="8"/>
      <c r="O65" s="10"/>
      <c r="P65" s="10"/>
      <c r="Q65" s="10"/>
      <c r="R65" s="10"/>
      <c r="S65" s="10"/>
      <c r="T65" s="10"/>
      <c r="U65" s="10"/>
      <c r="V65" s="10"/>
      <c r="W65" s="8"/>
    </row>
    <row r="66" spans="1:23">
      <c r="A66" s="8">
        <f>INDEX(Album!$A:$A, MATCH(B66,Album!$C:$C,0))</f>
        <v>6</v>
      </c>
      <c r="B66" t="s">
        <v>643</v>
      </c>
      <c r="C66">
        <f>INDEX(Album!$D:$D, MATCH(B66,Album!$C:$C,0))</f>
        <v>2008</v>
      </c>
      <c r="D66" s="8">
        <v>3</v>
      </c>
      <c r="E66" s="8" t="s">
        <v>17</v>
      </c>
      <c r="F66" s="8"/>
      <c r="H66" s="8"/>
      <c r="M66" s="25"/>
      <c r="N66" s="8"/>
      <c r="O66" s="10"/>
      <c r="P66" s="10"/>
      <c r="Q66" s="10"/>
      <c r="R66" s="10"/>
      <c r="S66" s="10"/>
      <c r="T66" s="10"/>
      <c r="U66" s="10"/>
      <c r="V66" s="10"/>
      <c r="W66" s="8"/>
    </row>
    <row r="67" spans="1:23">
      <c r="A67" s="8">
        <f>INDEX(Album!$A:$A, MATCH(B67,Album!$C:$C,0))</f>
        <v>6</v>
      </c>
      <c r="B67" t="s">
        <v>643</v>
      </c>
      <c r="C67">
        <f>INDEX(Album!$D:$D, MATCH(B67,Album!$C:$C,0))</f>
        <v>2008</v>
      </c>
      <c r="D67" s="8">
        <v>4</v>
      </c>
      <c r="E67" s="8" t="s">
        <v>535</v>
      </c>
      <c r="F67" s="8"/>
      <c r="H67" s="8" t="s">
        <v>512</v>
      </c>
      <c r="M67" s="25"/>
      <c r="N67" s="8"/>
      <c r="O67" s="10"/>
      <c r="P67" s="10"/>
      <c r="Q67" s="10"/>
      <c r="R67" s="10"/>
      <c r="S67" s="10"/>
      <c r="T67" s="10"/>
      <c r="U67" s="10"/>
      <c r="V67" s="10"/>
      <c r="W67" s="8"/>
    </row>
    <row r="68" spans="1:23">
      <c r="A68" s="8">
        <f>INDEX(Album!$A:$A, MATCH(B68,Album!$C:$C,0))</f>
        <v>6</v>
      </c>
      <c r="B68" t="s">
        <v>643</v>
      </c>
      <c r="C68">
        <f>INDEX(Album!$D:$D, MATCH(B68,Album!$C:$C,0))</f>
        <v>2008</v>
      </c>
      <c r="D68" s="8">
        <v>5</v>
      </c>
      <c r="E68" s="8" t="s">
        <v>536</v>
      </c>
      <c r="F68" s="8"/>
      <c r="H68" s="8"/>
      <c r="M68" s="25"/>
      <c r="N68" s="8"/>
      <c r="O68" s="10"/>
      <c r="P68" s="10"/>
      <c r="Q68" s="10"/>
      <c r="R68" s="10"/>
      <c r="S68" s="10"/>
      <c r="T68" s="10"/>
      <c r="U68" s="10"/>
      <c r="V68" s="10"/>
      <c r="W68" s="8"/>
    </row>
    <row r="69" spans="1:23">
      <c r="A69" s="8">
        <f>INDEX(Album!$A:$A, MATCH(B69,Album!$C:$C,0))</f>
        <v>6</v>
      </c>
      <c r="B69" t="s">
        <v>643</v>
      </c>
      <c r="C69">
        <f>INDEX(Album!$D:$D, MATCH(B69,Album!$C:$C,0))</f>
        <v>2008</v>
      </c>
      <c r="D69" s="8">
        <v>6</v>
      </c>
      <c r="E69" s="8" t="s">
        <v>6</v>
      </c>
      <c r="F69" s="8"/>
      <c r="H69" s="8"/>
      <c r="M69" s="25"/>
      <c r="N69" s="8"/>
      <c r="O69" s="10"/>
      <c r="P69" s="10"/>
      <c r="Q69" s="10"/>
      <c r="R69" s="10"/>
      <c r="S69" s="10"/>
      <c r="T69" s="10"/>
      <c r="U69" s="10"/>
      <c r="V69" s="10"/>
      <c r="W69" s="8"/>
    </row>
    <row r="70" spans="1:23">
      <c r="A70" s="8">
        <f>INDEX(Album!$A:$A, MATCH(B70,Album!$C:$C,0))</f>
        <v>6</v>
      </c>
      <c r="B70" t="s">
        <v>643</v>
      </c>
      <c r="C70">
        <f>INDEX(Album!$D:$D, MATCH(B70,Album!$C:$C,0))</f>
        <v>2008</v>
      </c>
      <c r="D70" s="8">
        <v>7</v>
      </c>
      <c r="E70" s="8" t="s">
        <v>537</v>
      </c>
      <c r="F70" s="8"/>
      <c r="H70" s="8" t="s">
        <v>513</v>
      </c>
      <c r="M70" s="25"/>
      <c r="N70" s="8"/>
      <c r="O70" s="10"/>
      <c r="P70" s="10"/>
      <c r="Q70" s="10"/>
      <c r="R70" s="10"/>
      <c r="S70" s="10"/>
      <c r="T70" s="10"/>
      <c r="U70" s="10"/>
      <c r="V70" s="10"/>
      <c r="W70" s="8"/>
    </row>
    <row r="71" spans="1:23">
      <c r="A71" s="8">
        <f>INDEX(Album!$A:$A, MATCH(B71,Album!$C:$C,0))</f>
        <v>6</v>
      </c>
      <c r="B71" t="s">
        <v>643</v>
      </c>
      <c r="C71">
        <f>INDEX(Album!$D:$D, MATCH(B71,Album!$C:$C,0))</f>
        <v>2008</v>
      </c>
      <c r="D71" s="8">
        <v>8</v>
      </c>
      <c r="E71" s="8" t="s">
        <v>538</v>
      </c>
      <c r="F71" s="8"/>
      <c r="H71" s="8" t="s">
        <v>514</v>
      </c>
      <c r="M71" s="25"/>
      <c r="N71" s="8"/>
      <c r="O71" s="10"/>
      <c r="P71" s="10"/>
      <c r="Q71" s="10"/>
      <c r="R71" s="10"/>
      <c r="S71" s="10"/>
      <c r="T71" s="10"/>
      <c r="U71" s="10"/>
      <c r="V71" s="10"/>
      <c r="W71" s="8"/>
    </row>
    <row r="72" spans="1:23">
      <c r="A72" s="8">
        <f>INDEX(Album!$A:$A, MATCH(B72,Album!$C:$C,0))</f>
        <v>6</v>
      </c>
      <c r="B72" t="s">
        <v>643</v>
      </c>
      <c r="C72">
        <f>INDEX(Album!$D:$D, MATCH(B72,Album!$C:$C,0))</f>
        <v>2008</v>
      </c>
      <c r="D72" s="8">
        <v>9</v>
      </c>
      <c r="E72" s="8" t="s">
        <v>539</v>
      </c>
      <c r="F72" s="8"/>
      <c r="H72" s="8" t="s">
        <v>515</v>
      </c>
      <c r="M72" s="25"/>
      <c r="N72" s="8"/>
      <c r="O72" s="10"/>
      <c r="P72" s="10"/>
      <c r="Q72" s="10"/>
      <c r="R72" s="10"/>
      <c r="S72" s="10"/>
      <c r="T72" s="10"/>
      <c r="U72" s="10"/>
      <c r="V72" s="10"/>
      <c r="W72" s="8"/>
    </row>
    <row r="73" spans="1:23">
      <c r="A73" s="8">
        <f>INDEX(Album!$A:$A, MATCH(B73,Album!$C:$C,0))</f>
        <v>6</v>
      </c>
      <c r="B73" t="s">
        <v>643</v>
      </c>
      <c r="C73">
        <f>INDEX(Album!$D:$D, MATCH(B73,Album!$C:$C,0))</f>
        <v>2008</v>
      </c>
      <c r="D73" s="8">
        <v>10</v>
      </c>
      <c r="E73" s="8" t="s">
        <v>540</v>
      </c>
      <c r="F73" s="8"/>
      <c r="H73" s="8"/>
      <c r="M73" s="25"/>
      <c r="N73" s="8"/>
      <c r="O73" s="10"/>
      <c r="P73" s="10"/>
      <c r="Q73" s="10"/>
      <c r="R73" s="10"/>
      <c r="S73" s="10"/>
      <c r="T73" s="10"/>
      <c r="U73" s="10"/>
      <c r="V73" s="10"/>
      <c r="W73" s="8"/>
    </row>
    <row r="74" spans="1:23">
      <c r="A74" s="8">
        <f>INDEX(Album!$A:$A, MATCH(B74,Album!$C:$C,0))</f>
        <v>7</v>
      </c>
      <c r="B74" t="s">
        <v>557</v>
      </c>
      <c r="C74">
        <f>INDEX(Album!$D:$D, MATCH(B74,Album!$C:$C,0))</f>
        <v>2009</v>
      </c>
      <c r="D74">
        <v>1</v>
      </c>
      <c r="E74" t="s">
        <v>557</v>
      </c>
      <c r="I74"/>
    </row>
    <row r="75" spans="1:23">
      <c r="A75" s="8">
        <f>INDEX(Album!$A:$A, MATCH(B75,Album!$C:$C,0))</f>
        <v>7</v>
      </c>
      <c r="B75" t="s">
        <v>557</v>
      </c>
      <c r="C75">
        <f>INDEX(Album!$D:$D, MATCH(B75,Album!$C:$C,0))</f>
        <v>2009</v>
      </c>
      <c r="D75">
        <v>2</v>
      </c>
      <c r="E75" t="s">
        <v>558</v>
      </c>
      <c r="I75"/>
    </row>
    <row r="76" spans="1:23">
      <c r="A76" s="8">
        <f>INDEX(Album!$A:$A, MATCH(B76,Album!$C:$C,0))</f>
        <v>7</v>
      </c>
      <c r="B76" t="s">
        <v>557</v>
      </c>
      <c r="C76">
        <f>INDEX(Album!$D:$D, MATCH(B76,Album!$C:$C,0))</f>
        <v>2009</v>
      </c>
      <c r="D76">
        <v>3</v>
      </c>
      <c r="E76" t="s">
        <v>154</v>
      </c>
      <c r="H76" t="s">
        <v>515</v>
      </c>
      <c r="I76"/>
    </row>
    <row r="77" spans="1:23">
      <c r="A77" s="8">
        <f>INDEX(Album!$A:$A, MATCH(B77,Album!$C:$C,0))</f>
        <v>7</v>
      </c>
      <c r="B77" t="s">
        <v>557</v>
      </c>
      <c r="C77">
        <f>INDEX(Album!$D:$D, MATCH(B77,Album!$C:$C,0))</f>
        <v>2009</v>
      </c>
      <c r="D77">
        <v>4</v>
      </c>
      <c r="E77" t="s">
        <v>489</v>
      </c>
      <c r="I77"/>
    </row>
    <row r="78" spans="1:23">
      <c r="A78" s="8">
        <f>INDEX(Album!$A:$A, MATCH(B78,Album!$C:$C,0))</f>
        <v>7</v>
      </c>
      <c r="B78" t="s">
        <v>557</v>
      </c>
      <c r="C78">
        <f>INDEX(Album!$D:$D, MATCH(B78,Album!$C:$C,0))</f>
        <v>2009</v>
      </c>
      <c r="D78">
        <v>5</v>
      </c>
      <c r="E78" t="s">
        <v>559</v>
      </c>
      <c r="I78"/>
    </row>
    <row r="79" spans="1:23">
      <c r="A79" s="8">
        <f>INDEX(Album!$A:$A, MATCH(B79,Album!$C:$C,0))</f>
        <v>7</v>
      </c>
      <c r="B79" t="s">
        <v>557</v>
      </c>
      <c r="C79">
        <f>INDEX(Album!$D:$D, MATCH(B79,Album!$C:$C,0))</f>
        <v>2009</v>
      </c>
      <c r="D79">
        <v>6</v>
      </c>
      <c r="E79" t="s">
        <v>632</v>
      </c>
      <c r="F79" t="s">
        <v>633</v>
      </c>
      <c r="I79"/>
    </row>
    <row r="80" spans="1:23">
      <c r="A80" s="8">
        <f>INDEX(Album!$A:$A, MATCH(B80,Album!$C:$C,0))</f>
        <v>7</v>
      </c>
      <c r="B80" t="s">
        <v>557</v>
      </c>
      <c r="C80">
        <f>INDEX(Album!$D:$D, MATCH(B80,Album!$C:$C,0))</f>
        <v>2009</v>
      </c>
      <c r="D80">
        <v>7</v>
      </c>
      <c r="E80" t="s">
        <v>613</v>
      </c>
      <c r="I80"/>
    </row>
    <row r="81" spans="1:9">
      <c r="A81" s="8">
        <f>INDEX(Album!$A:$A, MATCH(B81,Album!$C:$C,0))</f>
        <v>7</v>
      </c>
      <c r="B81" t="s">
        <v>557</v>
      </c>
      <c r="C81">
        <f>INDEX(Album!$D:$D, MATCH(B81,Album!$C:$C,0))</f>
        <v>2009</v>
      </c>
      <c r="D81">
        <v>8</v>
      </c>
      <c r="E81" t="s">
        <v>560</v>
      </c>
      <c r="I81"/>
    </row>
    <row r="82" spans="1:9">
      <c r="A82" s="8">
        <f>INDEX(Album!$A:$A, MATCH(B82,Album!$C:$C,0))</f>
        <v>7</v>
      </c>
      <c r="B82" t="s">
        <v>557</v>
      </c>
      <c r="C82">
        <f>INDEX(Album!$D:$D, MATCH(B82,Album!$C:$C,0))</f>
        <v>2009</v>
      </c>
      <c r="D82">
        <v>9</v>
      </c>
      <c r="E82" t="s">
        <v>561</v>
      </c>
      <c r="H82" t="s">
        <v>555</v>
      </c>
      <c r="I82"/>
    </row>
    <row r="83" spans="1:9">
      <c r="A83" s="8">
        <f>INDEX(Album!$A:$A, MATCH(B83,Album!$C:$C,0))</f>
        <v>7</v>
      </c>
      <c r="B83" t="s">
        <v>557</v>
      </c>
      <c r="C83">
        <f>INDEX(Album!$D:$D, MATCH(B83,Album!$C:$C,0))</f>
        <v>2009</v>
      </c>
      <c r="D83">
        <v>10</v>
      </c>
      <c r="E83" t="s">
        <v>562</v>
      </c>
      <c r="I83"/>
    </row>
    <row r="84" spans="1:9">
      <c r="A84" s="8">
        <f>INDEX(Album!$A:$A, MATCH(B84,Album!$C:$C,0))</f>
        <v>7</v>
      </c>
      <c r="B84" t="s">
        <v>557</v>
      </c>
      <c r="C84">
        <f>INDEX(Album!$D:$D, MATCH(B84,Album!$C:$C,0))</f>
        <v>2009</v>
      </c>
      <c r="D84">
        <v>11</v>
      </c>
      <c r="E84" t="s">
        <v>563</v>
      </c>
      <c r="H84" t="s">
        <v>556</v>
      </c>
      <c r="I84"/>
    </row>
    <row r="85" spans="1:9">
      <c r="A85" s="8">
        <f>INDEX(Album!$A:$A, MATCH(B85,Album!$C:$C,0))</f>
        <v>7</v>
      </c>
      <c r="B85" t="s">
        <v>557</v>
      </c>
      <c r="C85">
        <f>INDEX(Album!$D:$D, MATCH(B85,Album!$C:$C,0))</f>
        <v>2009</v>
      </c>
      <c r="D85">
        <v>12</v>
      </c>
      <c r="E85" t="s">
        <v>564</v>
      </c>
      <c r="F85" t="s">
        <v>631</v>
      </c>
      <c r="H85" t="s">
        <v>555</v>
      </c>
      <c r="I85"/>
    </row>
    <row r="86" spans="1:9">
      <c r="A86" s="8">
        <f>INDEX(Album!$A:$A, MATCH(B86,Album!$C:$C,0))</f>
        <v>7</v>
      </c>
      <c r="B86" t="s">
        <v>557</v>
      </c>
      <c r="C86">
        <f>INDEX(Album!$D:$D, MATCH(B86,Album!$C:$C,0))</f>
        <v>2009</v>
      </c>
      <c r="D86">
        <v>13</v>
      </c>
      <c r="E86" t="s">
        <v>559</v>
      </c>
      <c r="F86" t="s">
        <v>631</v>
      </c>
      <c r="I86"/>
    </row>
    <row r="87" spans="1:9">
      <c r="A87" s="8">
        <f>INDEX(Album!$A:$A, MATCH(B87,Album!$C:$C,0))</f>
        <v>7</v>
      </c>
      <c r="B87" t="s">
        <v>557</v>
      </c>
      <c r="C87">
        <f>INDEX(Album!$D:$D, MATCH(B87,Album!$C:$C,0))</f>
        <v>2009</v>
      </c>
      <c r="D87">
        <v>14</v>
      </c>
      <c r="E87" t="s">
        <v>557</v>
      </c>
      <c r="F87" t="s">
        <v>631</v>
      </c>
      <c r="I87"/>
    </row>
    <row r="88" spans="1:9">
      <c r="A88" s="8">
        <f>INDEX(Album!$A:$A, MATCH(B88,Album!$C:$C,0))</f>
        <v>7</v>
      </c>
      <c r="B88" t="s">
        <v>557</v>
      </c>
      <c r="C88">
        <f>INDEX(Album!$D:$D, MATCH(B88,Album!$C:$C,0))</f>
        <v>2009</v>
      </c>
      <c r="D88">
        <v>15</v>
      </c>
      <c r="E88" t="s">
        <v>561</v>
      </c>
      <c r="F88" t="s">
        <v>631</v>
      </c>
      <c r="H88" t="s">
        <v>555</v>
      </c>
      <c r="I88"/>
    </row>
    <row r="89" spans="1:9">
      <c r="A89" s="8">
        <f>INDEX(Album!$A:$A, MATCH(B89,Album!$C:$C,0))</f>
        <v>8</v>
      </c>
      <c r="B89" t="s">
        <v>644</v>
      </c>
      <c r="C89">
        <f>INDEX(Album!$D:$D, MATCH(B89,Album!$C:$C,0))</f>
        <v>2010</v>
      </c>
      <c r="D89">
        <v>1</v>
      </c>
      <c r="E89" t="s">
        <v>570</v>
      </c>
      <c r="I89"/>
    </row>
    <row r="90" spans="1:9">
      <c r="A90" s="8">
        <f>INDEX(Album!$A:$A, MATCH(B90,Album!$C:$C,0))</f>
        <v>8</v>
      </c>
      <c r="B90" t="s">
        <v>644</v>
      </c>
      <c r="C90">
        <f>INDEX(Album!$D:$D, MATCH(B90,Album!$C:$C,0))</f>
        <v>2010</v>
      </c>
      <c r="D90">
        <v>2</v>
      </c>
      <c r="E90" t="s">
        <v>571</v>
      </c>
      <c r="I90"/>
    </row>
    <row r="91" spans="1:9">
      <c r="A91" s="8">
        <f>INDEX(Album!$A:$A, MATCH(B91,Album!$C:$C,0))</f>
        <v>8</v>
      </c>
      <c r="B91" t="s">
        <v>644</v>
      </c>
      <c r="C91">
        <f>INDEX(Album!$D:$D, MATCH(B91,Album!$C:$C,0))</f>
        <v>2010</v>
      </c>
      <c r="D91">
        <v>3</v>
      </c>
      <c r="E91" t="s">
        <v>125</v>
      </c>
      <c r="I91"/>
    </row>
    <row r="92" spans="1:9">
      <c r="A92" s="8">
        <f>INDEX(Album!$A:$A, MATCH(B92,Album!$C:$C,0))</f>
        <v>8</v>
      </c>
      <c r="B92" t="s">
        <v>644</v>
      </c>
      <c r="C92">
        <f>INDEX(Album!$D:$D, MATCH(B92,Album!$C:$C,0))</f>
        <v>2010</v>
      </c>
      <c r="D92">
        <v>4</v>
      </c>
      <c r="E92" t="s">
        <v>176</v>
      </c>
      <c r="I92"/>
    </row>
    <row r="93" spans="1:9">
      <c r="A93" s="8">
        <f>INDEX(Album!$A:$A, MATCH(B93,Album!$C:$C,0))</f>
        <v>8</v>
      </c>
      <c r="B93" t="s">
        <v>644</v>
      </c>
      <c r="C93">
        <f>INDEX(Album!$D:$D, MATCH(B93,Album!$C:$C,0))</f>
        <v>2010</v>
      </c>
      <c r="D93">
        <v>5</v>
      </c>
      <c r="E93" t="s">
        <v>198</v>
      </c>
      <c r="I93"/>
    </row>
    <row r="94" spans="1:9">
      <c r="A94" s="8">
        <f>INDEX(Album!$A:$A, MATCH(B94,Album!$C:$C,0))</f>
        <v>8</v>
      </c>
      <c r="B94" t="s">
        <v>644</v>
      </c>
      <c r="C94">
        <f>INDEX(Album!$D:$D, MATCH(B94,Album!$C:$C,0))</f>
        <v>2010</v>
      </c>
      <c r="D94">
        <v>6</v>
      </c>
      <c r="E94" t="s">
        <v>572</v>
      </c>
      <c r="I94"/>
    </row>
    <row r="95" spans="1:9">
      <c r="A95" s="8">
        <f>INDEX(Album!$A:$A, MATCH(B95,Album!$C:$C,0))</f>
        <v>8</v>
      </c>
      <c r="B95" t="s">
        <v>644</v>
      </c>
      <c r="C95">
        <f>INDEX(Album!$D:$D, MATCH(B95,Album!$C:$C,0))</f>
        <v>2010</v>
      </c>
      <c r="D95">
        <v>7</v>
      </c>
      <c r="E95" t="s">
        <v>154</v>
      </c>
      <c r="I95"/>
    </row>
    <row r="96" spans="1:9">
      <c r="A96" s="8">
        <f>INDEX(Album!$A:$A, MATCH(B96,Album!$C:$C,0))</f>
        <v>8</v>
      </c>
      <c r="B96" t="s">
        <v>644</v>
      </c>
      <c r="C96">
        <f>INDEX(Album!$D:$D, MATCH(B96,Album!$C:$C,0))</f>
        <v>2010</v>
      </c>
      <c r="D96">
        <v>8</v>
      </c>
      <c r="E96" t="s">
        <v>218</v>
      </c>
      <c r="I96"/>
    </row>
    <row r="97" spans="1:9">
      <c r="A97" s="8">
        <f>INDEX(Album!$A:$A, MATCH(B97,Album!$C:$C,0))</f>
        <v>8</v>
      </c>
      <c r="B97" t="s">
        <v>644</v>
      </c>
      <c r="C97">
        <f>INDEX(Album!$D:$D, MATCH(B97,Album!$C:$C,0))</f>
        <v>2010</v>
      </c>
      <c r="D97">
        <v>9</v>
      </c>
      <c r="E97" t="s">
        <v>573</v>
      </c>
      <c r="I97"/>
    </row>
    <row r="98" spans="1:9">
      <c r="A98" s="8">
        <f>INDEX(Album!$A:$A, MATCH(B98,Album!$C:$C,0))</f>
        <v>8</v>
      </c>
      <c r="B98" t="s">
        <v>644</v>
      </c>
      <c r="C98">
        <f>INDEX(Album!$D:$D, MATCH(B98,Album!$C:$C,0))</f>
        <v>2010</v>
      </c>
      <c r="D98">
        <v>10</v>
      </c>
      <c r="E98" t="s">
        <v>557</v>
      </c>
      <c r="I98"/>
    </row>
    <row r="99" spans="1:9">
      <c r="A99" s="8">
        <f>INDEX(Album!$A:$A, MATCH(B99,Album!$C:$C,0))</f>
        <v>9</v>
      </c>
      <c r="B99" t="s">
        <v>568</v>
      </c>
      <c r="C99">
        <f>INDEX(Album!$D:$D, MATCH(B99,Album!$C:$C,0))</f>
        <v>2011</v>
      </c>
      <c r="D99">
        <v>1</v>
      </c>
      <c r="E99" t="s">
        <v>136</v>
      </c>
      <c r="I99"/>
    </row>
    <row r="100" spans="1:9">
      <c r="A100" s="8">
        <f>INDEX(Album!$A:$A, MATCH(B100,Album!$C:$C,0))</f>
        <v>9</v>
      </c>
      <c r="B100" t="s">
        <v>568</v>
      </c>
      <c r="C100">
        <f>INDEX(Album!$D:$D, MATCH(B100,Album!$C:$C,0))</f>
        <v>2011</v>
      </c>
      <c r="D100">
        <v>2</v>
      </c>
      <c r="E100" t="s">
        <v>614</v>
      </c>
      <c r="I100"/>
    </row>
    <row r="101" spans="1:9">
      <c r="A101" s="8">
        <f>INDEX(Album!$A:$A, MATCH(B101,Album!$C:$C,0))</f>
        <v>9</v>
      </c>
      <c r="B101" t="s">
        <v>568</v>
      </c>
      <c r="C101">
        <f>INDEX(Album!$D:$D, MATCH(B101,Album!$C:$C,0))</f>
        <v>2011</v>
      </c>
      <c r="D101">
        <v>3</v>
      </c>
      <c r="E101" t="s">
        <v>615</v>
      </c>
      <c r="I101"/>
    </row>
    <row r="102" spans="1:9">
      <c r="A102" s="8">
        <f>INDEX(Album!$A:$A, MATCH(B102,Album!$C:$C,0))</f>
        <v>9</v>
      </c>
      <c r="B102" t="s">
        <v>568</v>
      </c>
      <c r="C102">
        <f>INDEX(Album!$D:$D, MATCH(B102,Album!$C:$C,0))</f>
        <v>2011</v>
      </c>
      <c r="D102">
        <v>4</v>
      </c>
      <c r="E102" t="s">
        <v>616</v>
      </c>
      <c r="H102" t="s">
        <v>565</v>
      </c>
      <c r="I102"/>
    </row>
    <row r="103" spans="1:9">
      <c r="A103" s="8">
        <f>INDEX(Album!$A:$A, MATCH(B103,Album!$C:$C,0))</f>
        <v>9</v>
      </c>
      <c r="B103" t="s">
        <v>568</v>
      </c>
      <c r="C103">
        <f>INDEX(Album!$D:$D, MATCH(B103,Album!$C:$C,0))</f>
        <v>2011</v>
      </c>
      <c r="D103">
        <v>5</v>
      </c>
      <c r="E103" t="s">
        <v>617</v>
      </c>
      <c r="I103"/>
    </row>
    <row r="104" spans="1:9">
      <c r="A104" s="8">
        <f>INDEX(Album!$A:$A, MATCH(B104,Album!$C:$C,0))</f>
        <v>9</v>
      </c>
      <c r="B104" t="s">
        <v>568</v>
      </c>
      <c r="C104">
        <f>INDEX(Album!$D:$D, MATCH(B104,Album!$C:$C,0))</f>
        <v>2011</v>
      </c>
      <c r="D104">
        <v>6</v>
      </c>
      <c r="E104" t="s">
        <v>568</v>
      </c>
      <c r="H104" t="s">
        <v>566</v>
      </c>
      <c r="I104"/>
    </row>
    <row r="105" spans="1:9">
      <c r="A105" s="8">
        <f>INDEX(Album!$A:$A, MATCH(B105,Album!$C:$C,0))</f>
        <v>9</v>
      </c>
      <c r="B105" t="s">
        <v>568</v>
      </c>
      <c r="C105">
        <f>INDEX(Album!$D:$D, MATCH(B105,Album!$C:$C,0))</f>
        <v>2011</v>
      </c>
      <c r="D105">
        <v>7</v>
      </c>
      <c r="E105" t="s">
        <v>618</v>
      </c>
      <c r="I105"/>
    </row>
    <row r="106" spans="1:9">
      <c r="A106" s="8">
        <f>INDEX(Album!$A:$A, MATCH(B106,Album!$C:$C,0))</f>
        <v>9</v>
      </c>
      <c r="B106" t="s">
        <v>568</v>
      </c>
      <c r="C106">
        <f>INDEX(Album!$D:$D, MATCH(B106,Album!$C:$C,0))</f>
        <v>2011</v>
      </c>
      <c r="D106">
        <v>8</v>
      </c>
      <c r="E106" t="s">
        <v>619</v>
      </c>
      <c r="I106"/>
    </row>
    <row r="107" spans="1:9">
      <c r="A107" s="8">
        <f>INDEX(Album!$A:$A, MATCH(B107,Album!$C:$C,0))</f>
        <v>9</v>
      </c>
      <c r="B107" t="s">
        <v>568</v>
      </c>
      <c r="C107">
        <f>INDEX(Album!$D:$D, MATCH(B107,Album!$C:$C,0))</f>
        <v>2011</v>
      </c>
      <c r="D107">
        <v>9</v>
      </c>
      <c r="E107" t="s">
        <v>620</v>
      </c>
      <c r="H107" t="s">
        <v>567</v>
      </c>
      <c r="I107"/>
    </row>
    <row r="108" spans="1:9">
      <c r="A108" s="8">
        <f>INDEX(Album!$A:$A, MATCH(B108,Album!$C:$C,0))</f>
        <v>9</v>
      </c>
      <c r="B108" t="s">
        <v>568</v>
      </c>
      <c r="C108">
        <f>INDEX(Album!$D:$D, MATCH(B108,Album!$C:$C,0))</f>
        <v>2011</v>
      </c>
      <c r="D108">
        <v>10</v>
      </c>
      <c r="E108" t="s">
        <v>621</v>
      </c>
      <c r="I108"/>
    </row>
    <row r="109" spans="1:9">
      <c r="A109" s="8">
        <f>INDEX(Album!$A:$A, MATCH(B109,Album!$C:$C,0))</f>
        <v>9</v>
      </c>
      <c r="B109" t="s">
        <v>568</v>
      </c>
      <c r="C109">
        <f>INDEX(Album!$D:$D, MATCH(B109,Album!$C:$C,0))</f>
        <v>2011</v>
      </c>
      <c r="D109">
        <v>11</v>
      </c>
      <c r="E109" t="s">
        <v>622</v>
      </c>
      <c r="I109"/>
    </row>
    <row r="110" spans="1:9">
      <c r="A110" s="8">
        <f>INDEX(Album!$A:$A, MATCH(B110,Album!$C:$C,0))</f>
        <v>9</v>
      </c>
      <c r="B110" t="s">
        <v>568</v>
      </c>
      <c r="C110">
        <f>INDEX(Album!$D:$D, MATCH(B110,Album!$C:$C,0))</f>
        <v>2011</v>
      </c>
      <c r="D110">
        <v>12</v>
      </c>
      <c r="E110" t="s">
        <v>623</v>
      </c>
      <c r="I110"/>
    </row>
    <row r="111" spans="1:9">
      <c r="A111" s="8">
        <f>INDEX(Album!$A:$A, MATCH(B111,Album!$C:$C,0))</f>
        <v>10</v>
      </c>
      <c r="B111" t="s">
        <v>569</v>
      </c>
      <c r="C111">
        <f>INDEX(Album!$D:$D, MATCH(B111,Album!$C:$C,0))</f>
        <v>2013</v>
      </c>
      <c r="D111">
        <v>1</v>
      </c>
      <c r="E111" t="s">
        <v>488</v>
      </c>
      <c r="I111"/>
    </row>
    <row r="112" spans="1:9">
      <c r="A112" s="8">
        <f>INDEX(Album!$A:$A, MATCH(B112,Album!$C:$C,0))</f>
        <v>10</v>
      </c>
      <c r="B112" t="s">
        <v>569</v>
      </c>
      <c r="C112">
        <f>INDEX(Album!$D:$D, MATCH(B112,Album!$C:$C,0))</f>
        <v>2013</v>
      </c>
      <c r="D112">
        <v>2</v>
      </c>
      <c r="E112" t="s">
        <v>569</v>
      </c>
      <c r="I112"/>
    </row>
    <row r="113" spans="1:23">
      <c r="A113" s="8">
        <f>INDEX(Album!$A:$A, MATCH(B113,Album!$C:$C,0))</f>
        <v>10</v>
      </c>
      <c r="B113" t="s">
        <v>569</v>
      </c>
      <c r="C113">
        <f>INDEX(Album!$D:$D, MATCH(B113,Album!$C:$C,0))</f>
        <v>2013</v>
      </c>
      <c r="D113">
        <v>3</v>
      </c>
      <c r="E113" t="s">
        <v>217</v>
      </c>
      <c r="I113"/>
    </row>
    <row r="114" spans="1:23">
      <c r="A114" s="8">
        <f>INDEX(Album!$A:$A, MATCH(B114,Album!$C:$C,0))</f>
        <v>10</v>
      </c>
      <c r="B114" t="s">
        <v>569</v>
      </c>
      <c r="C114">
        <f>INDEX(Album!$D:$D, MATCH(B114,Album!$C:$C,0))</f>
        <v>2013</v>
      </c>
      <c r="D114">
        <v>4</v>
      </c>
      <c r="E114" t="s">
        <v>624</v>
      </c>
      <c r="I114"/>
    </row>
    <row r="115" spans="1:23">
      <c r="A115" s="8">
        <f>INDEX(Album!$A:$A, MATCH(B115,Album!$C:$C,0))</f>
        <v>10</v>
      </c>
      <c r="B115" t="s">
        <v>569</v>
      </c>
      <c r="C115">
        <f>INDEX(Album!$D:$D, MATCH(B115,Album!$C:$C,0))</f>
        <v>2013</v>
      </c>
      <c r="D115">
        <v>5</v>
      </c>
      <c r="E115" t="s">
        <v>625</v>
      </c>
      <c r="I115"/>
    </row>
    <row r="116" spans="1:23">
      <c r="A116" s="8">
        <f>INDEX(Album!$A:$A, MATCH(B116,Album!$C:$C,0))</f>
        <v>10</v>
      </c>
      <c r="B116" t="s">
        <v>569</v>
      </c>
      <c r="C116">
        <f>INDEX(Album!$D:$D, MATCH(B116,Album!$C:$C,0))</f>
        <v>2013</v>
      </c>
      <c r="D116">
        <v>6</v>
      </c>
      <c r="E116" t="s">
        <v>626</v>
      </c>
      <c r="I116"/>
    </row>
    <row r="117" spans="1:23">
      <c r="A117" s="8">
        <f>INDEX(Album!$A:$A, MATCH(B117,Album!$C:$C,0))</f>
        <v>10</v>
      </c>
      <c r="B117" t="s">
        <v>569</v>
      </c>
      <c r="C117">
        <f>INDEX(Album!$D:$D, MATCH(B117,Album!$C:$C,0))</f>
        <v>2013</v>
      </c>
      <c r="D117">
        <v>7</v>
      </c>
      <c r="E117" t="s">
        <v>627</v>
      </c>
      <c r="I117"/>
    </row>
    <row r="118" spans="1:23">
      <c r="A118" s="8">
        <f>INDEX(Album!$A:$A, MATCH(B118,Album!$C:$C,0))</f>
        <v>10</v>
      </c>
      <c r="B118" t="s">
        <v>569</v>
      </c>
      <c r="C118">
        <f>INDEX(Album!$D:$D, MATCH(B118,Album!$C:$C,0))</f>
        <v>2013</v>
      </c>
      <c r="D118">
        <v>8</v>
      </c>
      <c r="E118" t="s">
        <v>628</v>
      </c>
      <c r="I118"/>
    </row>
    <row r="119" spans="1:23">
      <c r="A119" s="8">
        <f>INDEX(Album!$A:$A, MATCH(B119,Album!$C:$C,0))</f>
        <v>10</v>
      </c>
      <c r="B119" t="s">
        <v>569</v>
      </c>
      <c r="C119">
        <f>INDEX(Album!$D:$D, MATCH(B119,Album!$C:$C,0))</f>
        <v>2013</v>
      </c>
      <c r="D119">
        <v>9</v>
      </c>
      <c r="E119" t="s">
        <v>629</v>
      </c>
      <c r="I119"/>
    </row>
    <row r="120" spans="1:23">
      <c r="A120" s="8">
        <f>INDEX(Album!$A:$A, MATCH(B120,Album!$C:$C,0))</f>
        <v>10</v>
      </c>
      <c r="B120" t="s">
        <v>569</v>
      </c>
      <c r="C120">
        <f>INDEX(Album!$D:$D, MATCH(B120,Album!$C:$C,0))</f>
        <v>2013</v>
      </c>
      <c r="D120">
        <v>10</v>
      </c>
      <c r="E120" t="s">
        <v>630</v>
      </c>
      <c r="I120"/>
    </row>
    <row r="121" spans="1:23">
      <c r="A121" s="8">
        <f>INDEX(Album!$A:$A, MATCH(B121,Album!$C:$C,0))</f>
        <v>10</v>
      </c>
      <c r="B121" t="s">
        <v>569</v>
      </c>
      <c r="C121">
        <f>INDEX(Album!$D:$D, MATCH(B121,Album!$C:$C,0))</f>
        <v>2013</v>
      </c>
      <c r="D121">
        <v>11</v>
      </c>
      <c r="E121" t="s">
        <v>165</v>
      </c>
      <c r="I121"/>
    </row>
    <row r="122" spans="1:23">
      <c r="A122" s="8">
        <f>INDEX(Album!$A:$A, MATCH(B122,Album!$C:$C,0))</f>
        <v>11</v>
      </c>
      <c r="B122" t="s">
        <v>499</v>
      </c>
      <c r="C122">
        <f>INDEX(Album!$D:$D, MATCH(B122,Album!$C:$C,0))</f>
        <v>2014</v>
      </c>
      <c r="D122">
        <v>1</v>
      </c>
      <c r="E122" t="s">
        <v>105</v>
      </c>
      <c r="F122" t="s">
        <v>106</v>
      </c>
      <c r="G122" s="8">
        <v>6428767</v>
      </c>
      <c r="H122" t="s">
        <v>107</v>
      </c>
      <c r="I122" s="8" t="s">
        <v>0</v>
      </c>
      <c r="J122" s="8">
        <v>130</v>
      </c>
      <c r="L122" s="29"/>
      <c r="P122" s="2"/>
      <c r="Q122" s="2"/>
      <c r="R122" s="3"/>
      <c r="S122" s="4"/>
      <c r="T122" s="5"/>
      <c r="U122" s="3"/>
      <c r="V122" s="3"/>
      <c r="W122" s="1"/>
    </row>
    <row r="123" spans="1:23">
      <c r="A123" s="8">
        <f>INDEX(Album!$A:$A, MATCH(B123,Album!$C:$C,0))</f>
        <v>11</v>
      </c>
      <c r="B123" t="s">
        <v>499</v>
      </c>
      <c r="C123">
        <f>INDEX(Album!$D:$D, MATCH(B123,Album!$C:$C,0))</f>
        <v>2014</v>
      </c>
      <c r="D123">
        <v>2</v>
      </c>
      <c r="E123" t="s">
        <v>108</v>
      </c>
      <c r="F123" t="s">
        <v>106</v>
      </c>
      <c r="G123" s="8">
        <v>6333821</v>
      </c>
      <c r="H123" t="s">
        <v>109</v>
      </c>
      <c r="I123" s="8" t="s">
        <v>18</v>
      </c>
      <c r="J123" s="8">
        <v>99</v>
      </c>
      <c r="L123" s="29"/>
      <c r="P123" s="2"/>
      <c r="Q123" s="2"/>
      <c r="R123" s="3"/>
      <c r="S123" s="4"/>
      <c r="T123" s="5"/>
      <c r="U123" s="3"/>
      <c r="V123" s="3"/>
      <c r="W123" s="1"/>
    </row>
    <row r="124" spans="1:23">
      <c r="A124" s="8">
        <f>INDEX(Album!$A:$A, MATCH(B124,Album!$C:$C,0))</f>
        <v>11</v>
      </c>
      <c r="B124" t="s">
        <v>499</v>
      </c>
      <c r="C124">
        <f>INDEX(Album!$D:$D, MATCH(B124,Album!$C:$C,0))</f>
        <v>2014</v>
      </c>
      <c r="D124">
        <v>3</v>
      </c>
      <c r="E124" t="s">
        <v>110</v>
      </c>
      <c r="F124" t="s">
        <v>106</v>
      </c>
      <c r="G124" s="8">
        <v>5881130</v>
      </c>
      <c r="H124" t="s">
        <v>111</v>
      </c>
      <c r="I124" s="8" t="s">
        <v>4</v>
      </c>
      <c r="J124" s="8">
        <v>72</v>
      </c>
      <c r="L124" s="29"/>
      <c r="P124" s="2"/>
      <c r="Q124" s="2"/>
      <c r="R124" s="3"/>
      <c r="S124" s="4"/>
      <c r="T124" s="5"/>
      <c r="U124" s="3"/>
      <c r="V124" s="7"/>
      <c r="W124" s="1"/>
    </row>
    <row r="125" spans="1:23" s="1" customFormat="1">
      <c r="A125" s="8">
        <f>INDEX(Album!$A:$A, MATCH(B125,Album!$C:$C,0))</f>
        <v>11</v>
      </c>
      <c r="B125" t="s">
        <v>499</v>
      </c>
      <c r="C125">
        <f>INDEX(Album!$D:$D, MATCH(B125,Album!$C:$C,0))</f>
        <v>2014</v>
      </c>
      <c r="D125">
        <v>4</v>
      </c>
      <c r="E125" t="s">
        <v>112</v>
      </c>
      <c r="F125" t="s">
        <v>106</v>
      </c>
      <c r="G125" s="8">
        <v>5925687</v>
      </c>
      <c r="H125" t="s">
        <v>54</v>
      </c>
      <c r="I125" s="8" t="s">
        <v>4</v>
      </c>
      <c r="J125" s="8">
        <v>72</v>
      </c>
      <c r="K125" s="8"/>
      <c r="L125" s="29"/>
      <c r="M125" s="24"/>
      <c r="N125"/>
      <c r="O125"/>
      <c r="P125" s="2"/>
      <c r="Q125" s="2"/>
      <c r="R125" s="3"/>
      <c r="S125" s="3"/>
      <c r="T125" s="5"/>
      <c r="U125" s="3"/>
      <c r="V125" s="3"/>
    </row>
    <row r="126" spans="1:23" s="1" customFormat="1">
      <c r="A126" s="8">
        <f>INDEX(Album!$A:$A, MATCH(B126,Album!$C:$C,0))</f>
        <v>11</v>
      </c>
      <c r="B126" t="s">
        <v>499</v>
      </c>
      <c r="C126">
        <f>INDEX(Album!$D:$D, MATCH(B126,Album!$C:$C,0))</f>
        <v>2014</v>
      </c>
      <c r="D126">
        <v>5</v>
      </c>
      <c r="E126" t="s">
        <v>87</v>
      </c>
      <c r="F126" t="s">
        <v>113</v>
      </c>
      <c r="G126" s="8">
        <v>3350395</v>
      </c>
      <c r="H126" t="s">
        <v>113</v>
      </c>
      <c r="I126" s="8" t="s">
        <v>7</v>
      </c>
      <c r="J126" s="8">
        <v>64</v>
      </c>
      <c r="K126" s="8"/>
      <c r="L126" s="29"/>
      <c r="M126" s="24"/>
      <c r="N126"/>
      <c r="O126"/>
      <c r="P126" s="2"/>
      <c r="Q126" s="2"/>
      <c r="R126" s="3"/>
      <c r="S126" s="4"/>
      <c r="T126" s="5"/>
      <c r="U126" s="3"/>
      <c r="V126" s="3"/>
    </row>
    <row r="127" spans="1:23" s="1" customFormat="1">
      <c r="A127" s="8">
        <f>INDEX(Album!$A:$A, MATCH(B127,Album!$C:$C,0))</f>
        <v>11</v>
      </c>
      <c r="B127" t="s">
        <v>499</v>
      </c>
      <c r="C127">
        <f>INDEX(Album!$D:$D, MATCH(B127,Album!$C:$C,0))</f>
        <v>2014</v>
      </c>
      <c r="D127">
        <v>6</v>
      </c>
      <c r="E127" t="s">
        <v>114</v>
      </c>
      <c r="F127" t="s">
        <v>106</v>
      </c>
      <c r="G127" s="8">
        <v>5665521</v>
      </c>
      <c r="H127" t="s">
        <v>115</v>
      </c>
      <c r="I127" s="8" t="s">
        <v>20</v>
      </c>
      <c r="J127" s="8">
        <v>78</v>
      </c>
      <c r="K127" s="8"/>
      <c r="L127" s="29"/>
      <c r="M127" s="24"/>
      <c r="N127"/>
      <c r="O127"/>
      <c r="P127"/>
      <c r="Q127"/>
      <c r="R127"/>
      <c r="S127"/>
      <c r="T127"/>
      <c r="U127"/>
      <c r="V127"/>
      <c r="W127"/>
    </row>
    <row r="128" spans="1:23" s="1" customFormat="1">
      <c r="A128" s="8">
        <f>INDEX(Album!$A:$A, MATCH(B128,Album!$C:$C,0))</f>
        <v>11</v>
      </c>
      <c r="B128" t="s">
        <v>499</v>
      </c>
      <c r="C128">
        <f>INDEX(Album!$D:$D, MATCH(B128,Album!$C:$C,0))</f>
        <v>2014</v>
      </c>
      <c r="D128">
        <v>7</v>
      </c>
      <c r="E128" t="s">
        <v>79</v>
      </c>
      <c r="F128" t="s">
        <v>116</v>
      </c>
      <c r="G128" s="8">
        <v>7029505</v>
      </c>
      <c r="H128" t="s">
        <v>29</v>
      </c>
      <c r="I128" s="8" t="s">
        <v>20</v>
      </c>
      <c r="J128" s="8">
        <v>68</v>
      </c>
      <c r="K128" s="8"/>
      <c r="L128" s="29"/>
      <c r="M128" s="24"/>
      <c r="N128"/>
      <c r="O128"/>
      <c r="P128"/>
      <c r="Q128"/>
      <c r="R128"/>
      <c r="S128"/>
      <c r="T128"/>
      <c r="U128"/>
      <c r="V128"/>
      <c r="W128"/>
    </row>
    <row r="129" spans="1:23" s="1" customFormat="1">
      <c r="A129" s="8">
        <f>INDEX(Album!$A:$A, MATCH(B129,Album!$C:$C,0))</f>
        <v>11</v>
      </c>
      <c r="B129" t="s">
        <v>499</v>
      </c>
      <c r="C129">
        <f>INDEX(Album!$D:$D, MATCH(B129,Album!$C:$C,0))</f>
        <v>2014</v>
      </c>
      <c r="D129">
        <v>8</v>
      </c>
      <c r="E129" t="s">
        <v>117</v>
      </c>
      <c r="F129" t="s">
        <v>106</v>
      </c>
      <c r="G129" s="8">
        <v>6016351</v>
      </c>
      <c r="H129" t="s">
        <v>47</v>
      </c>
      <c r="I129" s="8" t="s">
        <v>0</v>
      </c>
      <c r="J129" s="8">
        <v>70</v>
      </c>
      <c r="K129" s="8"/>
      <c r="L129" s="29"/>
      <c r="M129" s="24"/>
      <c r="N129"/>
      <c r="O129"/>
      <c r="P129" s="2"/>
      <c r="Q129" s="2"/>
      <c r="R129" s="3"/>
      <c r="S129" s="4"/>
      <c r="T129" s="5"/>
      <c r="U129" s="3"/>
      <c r="V129" s="7"/>
    </row>
    <row r="130" spans="1:23" s="1" customFormat="1">
      <c r="A130" s="8">
        <f>INDEX(Album!$A:$A, MATCH(B130,Album!$C:$C,0))</f>
        <v>11</v>
      </c>
      <c r="B130" t="s">
        <v>499</v>
      </c>
      <c r="C130">
        <f>INDEX(Album!$D:$D, MATCH(B130,Album!$C:$C,0))</f>
        <v>2014</v>
      </c>
      <c r="D130">
        <v>9</v>
      </c>
      <c r="E130" t="s">
        <v>118</v>
      </c>
      <c r="F130" t="s">
        <v>119</v>
      </c>
      <c r="G130" s="8">
        <v>6440288</v>
      </c>
      <c r="H130" t="s">
        <v>53</v>
      </c>
      <c r="I130" s="8" t="s">
        <v>2</v>
      </c>
      <c r="J130" s="8">
        <v>74</v>
      </c>
      <c r="K130" s="8"/>
      <c r="L130" s="29"/>
      <c r="M130" s="24"/>
      <c r="N130"/>
      <c r="O130"/>
      <c r="P130" s="2"/>
      <c r="Q130" s="2"/>
      <c r="R130" s="3"/>
      <c r="S130" s="4"/>
      <c r="T130" s="5"/>
      <c r="U130" s="3"/>
      <c r="V130" s="7"/>
    </row>
    <row r="131" spans="1:23" s="1" customFormat="1">
      <c r="A131" s="8">
        <f>INDEX(Album!$A:$A, MATCH(B131,Album!$C:$C,0))</f>
        <v>11</v>
      </c>
      <c r="B131" t="s">
        <v>499</v>
      </c>
      <c r="C131">
        <f>INDEX(Album!$D:$D, MATCH(B131,Album!$C:$C,0))</f>
        <v>2014</v>
      </c>
      <c r="D131">
        <v>10</v>
      </c>
      <c r="E131" t="s">
        <v>120</v>
      </c>
      <c r="F131" t="s">
        <v>106</v>
      </c>
      <c r="G131" s="8">
        <v>4847027</v>
      </c>
      <c r="H131" t="s">
        <v>52</v>
      </c>
      <c r="I131" s="8" t="s">
        <v>2</v>
      </c>
      <c r="J131" s="8">
        <v>132</v>
      </c>
      <c r="K131" s="8"/>
      <c r="L131" s="29"/>
      <c r="M131" s="24"/>
      <c r="N131"/>
      <c r="O131"/>
      <c r="P131"/>
      <c r="Q131"/>
      <c r="R131"/>
      <c r="S131"/>
      <c r="T131"/>
      <c r="U131"/>
      <c r="V131"/>
      <c r="W131"/>
    </row>
    <row r="132" spans="1:23" s="1" customFormat="1">
      <c r="A132" s="8">
        <f>INDEX(Album!$A:$A, MATCH(B132,Album!$C:$C,0))</f>
        <v>12</v>
      </c>
      <c r="B132" t="s">
        <v>500</v>
      </c>
      <c r="C132">
        <f>INDEX(Album!$D:$D, MATCH(B132,Album!$C:$C,0))</f>
        <v>2014</v>
      </c>
      <c r="D132">
        <v>1</v>
      </c>
      <c r="E132" t="s">
        <v>121</v>
      </c>
      <c r="F132" t="s">
        <v>106</v>
      </c>
      <c r="G132" s="8">
        <v>6578772</v>
      </c>
      <c r="H132" t="s">
        <v>122</v>
      </c>
      <c r="I132" s="8" t="s">
        <v>15</v>
      </c>
      <c r="J132" s="8">
        <v>112</v>
      </c>
      <c r="K132" s="8"/>
      <c r="L132" s="29"/>
      <c r="M132" s="24"/>
      <c r="N132"/>
      <c r="O132"/>
      <c r="P132"/>
      <c r="Q132"/>
      <c r="R132"/>
      <c r="S132"/>
      <c r="T132"/>
      <c r="U132"/>
      <c r="V132"/>
      <c r="W132"/>
    </row>
    <row r="133" spans="1:23" s="1" customFormat="1">
      <c r="A133" s="8">
        <f>INDEX(Album!$A:$A, MATCH(B133,Album!$C:$C,0))</f>
        <v>12</v>
      </c>
      <c r="B133" t="s">
        <v>500</v>
      </c>
      <c r="C133">
        <f>INDEX(Album!$D:$D, MATCH(B133,Album!$C:$C,0))</f>
        <v>2014</v>
      </c>
      <c r="D133">
        <v>2</v>
      </c>
      <c r="E133" t="s">
        <v>123</v>
      </c>
      <c r="F133" t="s">
        <v>124</v>
      </c>
      <c r="G133" s="8">
        <v>4662491</v>
      </c>
      <c r="H133" t="s">
        <v>51</v>
      </c>
      <c r="I133" s="8" t="s">
        <v>15</v>
      </c>
      <c r="J133" s="8">
        <v>106</v>
      </c>
      <c r="K133" s="8"/>
      <c r="L133" s="29"/>
      <c r="M133" s="24"/>
      <c r="N133"/>
      <c r="O133"/>
      <c r="P133" s="2"/>
      <c r="Q133" s="2"/>
      <c r="R133" s="3"/>
      <c r="S133" s="4"/>
      <c r="T133" s="5"/>
      <c r="U133" s="3"/>
      <c r="V133" s="7"/>
    </row>
    <row r="134" spans="1:23" s="1" customFormat="1">
      <c r="A134" s="8">
        <f>INDEX(Album!$A:$A, MATCH(B134,Album!$C:$C,0))</f>
        <v>12</v>
      </c>
      <c r="B134" t="s">
        <v>500</v>
      </c>
      <c r="C134">
        <f>INDEX(Album!$D:$D, MATCH(B134,Album!$C:$C,0))</f>
        <v>2014</v>
      </c>
      <c r="D134">
        <v>3</v>
      </c>
      <c r="E134" t="s">
        <v>125</v>
      </c>
      <c r="F134" t="s">
        <v>106</v>
      </c>
      <c r="G134" s="8">
        <v>5639997</v>
      </c>
      <c r="H134" t="s">
        <v>107</v>
      </c>
      <c r="I134" s="8" t="s">
        <v>2</v>
      </c>
      <c r="J134" s="8">
        <v>83</v>
      </c>
      <c r="K134" s="8"/>
      <c r="L134" s="29"/>
      <c r="M134" s="24"/>
      <c r="N134"/>
      <c r="O134"/>
      <c r="P134"/>
      <c r="Q134"/>
      <c r="R134"/>
      <c r="S134"/>
      <c r="T134"/>
      <c r="U134"/>
      <c r="V134"/>
      <c r="W134"/>
    </row>
    <row r="135" spans="1:23">
      <c r="A135" s="8">
        <f>INDEX(Album!$A:$A, MATCH(B135,Album!$C:$C,0))</f>
        <v>12</v>
      </c>
      <c r="B135" t="s">
        <v>500</v>
      </c>
      <c r="C135">
        <f>INDEX(Album!$D:$D, MATCH(B135,Album!$C:$C,0))</f>
        <v>2014</v>
      </c>
      <c r="D135">
        <v>4</v>
      </c>
      <c r="E135" t="s">
        <v>126</v>
      </c>
      <c r="F135" t="s">
        <v>106</v>
      </c>
      <c r="G135" s="8">
        <v>7000689</v>
      </c>
      <c r="H135" t="s">
        <v>47</v>
      </c>
      <c r="I135" s="8" t="s">
        <v>2</v>
      </c>
      <c r="J135" s="8">
        <v>73</v>
      </c>
      <c r="L135" s="29"/>
      <c r="P135" s="2"/>
      <c r="Q135" s="2"/>
      <c r="R135" s="3"/>
      <c r="S135" s="3"/>
      <c r="T135" s="5"/>
      <c r="U135" s="3"/>
      <c r="V135" s="7"/>
      <c r="W135" s="1"/>
    </row>
    <row r="136" spans="1:23">
      <c r="A136" s="8">
        <f>INDEX(Album!$A:$A, MATCH(B136,Album!$C:$C,0))</f>
        <v>12</v>
      </c>
      <c r="B136" t="s">
        <v>500</v>
      </c>
      <c r="C136">
        <f>INDEX(Album!$D:$D, MATCH(B136,Album!$C:$C,0))</f>
        <v>2014</v>
      </c>
      <c r="D136">
        <v>5</v>
      </c>
      <c r="E136" t="s">
        <v>127</v>
      </c>
      <c r="F136" t="s">
        <v>106</v>
      </c>
      <c r="G136" s="8">
        <v>4348399</v>
      </c>
      <c r="H136" t="s">
        <v>53</v>
      </c>
      <c r="I136" s="8" t="s">
        <v>2</v>
      </c>
      <c r="J136" s="8">
        <v>84</v>
      </c>
      <c r="L136" s="29"/>
      <c r="P136" s="2"/>
      <c r="Q136" s="2"/>
      <c r="R136" s="3"/>
      <c r="S136" s="3"/>
      <c r="T136" s="5"/>
      <c r="U136" s="3"/>
      <c r="V136" s="3"/>
      <c r="W136" s="1"/>
    </row>
    <row r="137" spans="1:23">
      <c r="A137" s="8">
        <f>INDEX(Album!$A:$A, MATCH(B137,Album!$C:$C,0))</f>
        <v>12</v>
      </c>
      <c r="B137" t="s">
        <v>500</v>
      </c>
      <c r="C137">
        <f>INDEX(Album!$D:$D, MATCH(B137,Album!$C:$C,0))</f>
        <v>2014</v>
      </c>
      <c r="D137">
        <v>6</v>
      </c>
      <c r="E137" t="s">
        <v>128</v>
      </c>
      <c r="F137" t="s">
        <v>106</v>
      </c>
      <c r="G137" s="8">
        <v>825356</v>
      </c>
      <c r="H137" t="s">
        <v>50</v>
      </c>
      <c r="I137" s="8" t="s">
        <v>0</v>
      </c>
      <c r="J137" s="8">
        <v>128</v>
      </c>
      <c r="L137" s="29"/>
      <c r="P137" s="2"/>
      <c r="Q137" s="2"/>
      <c r="R137" s="3"/>
      <c r="S137" s="4"/>
      <c r="T137" s="5"/>
      <c r="U137" s="3"/>
      <c r="V137" s="7"/>
      <c r="W137" s="1"/>
    </row>
    <row r="138" spans="1:23">
      <c r="A138" s="8">
        <f>INDEX(Album!$A:$A, MATCH(B138,Album!$C:$C,0))</f>
        <v>12</v>
      </c>
      <c r="B138" t="s">
        <v>500</v>
      </c>
      <c r="C138">
        <f>INDEX(Album!$D:$D, MATCH(B138,Album!$C:$C,0))</f>
        <v>2014</v>
      </c>
      <c r="D138">
        <v>7</v>
      </c>
      <c r="E138" t="s">
        <v>129</v>
      </c>
      <c r="F138" t="s">
        <v>106</v>
      </c>
      <c r="G138" s="8">
        <v>17803</v>
      </c>
      <c r="H138" t="s">
        <v>130</v>
      </c>
      <c r="I138" s="8" t="s">
        <v>0</v>
      </c>
      <c r="J138" s="8">
        <v>68</v>
      </c>
      <c r="L138" s="29"/>
    </row>
    <row r="139" spans="1:23">
      <c r="A139" s="8">
        <f>INDEX(Album!$A:$A, MATCH(B139,Album!$C:$C,0))</f>
        <v>12</v>
      </c>
      <c r="B139" t="s">
        <v>500</v>
      </c>
      <c r="C139">
        <f>INDEX(Album!$D:$D, MATCH(B139,Album!$C:$C,0))</f>
        <v>2014</v>
      </c>
      <c r="D139">
        <v>8</v>
      </c>
      <c r="E139" t="s">
        <v>131</v>
      </c>
      <c r="F139" t="s">
        <v>106</v>
      </c>
      <c r="G139" s="8">
        <v>5677416</v>
      </c>
      <c r="H139" t="s">
        <v>53</v>
      </c>
      <c r="I139" s="8" t="s">
        <v>4</v>
      </c>
      <c r="J139" s="8">
        <v>106</v>
      </c>
      <c r="L139" s="29"/>
      <c r="P139" s="2"/>
      <c r="Q139" s="2"/>
      <c r="R139" s="3"/>
      <c r="S139" s="4"/>
      <c r="T139" s="5"/>
      <c r="U139" s="3"/>
      <c r="V139" s="7"/>
      <c r="W139" s="1"/>
    </row>
    <row r="140" spans="1:23">
      <c r="A140" s="8">
        <f>INDEX(Album!$A:$A, MATCH(B140,Album!$C:$C,0))</f>
        <v>12</v>
      </c>
      <c r="B140" t="s">
        <v>500</v>
      </c>
      <c r="C140">
        <f>INDEX(Album!$D:$D, MATCH(B140,Album!$C:$C,0))</f>
        <v>2014</v>
      </c>
      <c r="D140">
        <v>9</v>
      </c>
      <c r="E140" t="s">
        <v>132</v>
      </c>
      <c r="F140" t="s">
        <v>106</v>
      </c>
      <c r="G140" s="8">
        <v>2298355</v>
      </c>
      <c r="H140" t="s">
        <v>51</v>
      </c>
      <c r="I140" s="8" t="s">
        <v>4</v>
      </c>
      <c r="J140" s="8">
        <v>110</v>
      </c>
      <c r="L140" s="29"/>
      <c r="P140" s="2"/>
      <c r="Q140" s="2"/>
      <c r="R140" s="3"/>
      <c r="S140" s="4"/>
      <c r="T140" s="5"/>
      <c r="U140" s="3"/>
      <c r="V140" s="3"/>
      <c r="W140" s="1"/>
    </row>
    <row r="141" spans="1:23">
      <c r="A141" s="8">
        <f>INDEX(Album!$A:$A, MATCH(B141,Album!$C:$C,0))</f>
        <v>12</v>
      </c>
      <c r="B141" t="s">
        <v>500</v>
      </c>
      <c r="C141">
        <f>INDEX(Album!$D:$D, MATCH(B141,Album!$C:$C,0))</f>
        <v>2014</v>
      </c>
      <c r="D141">
        <v>10</v>
      </c>
      <c r="E141" t="s">
        <v>133</v>
      </c>
      <c r="F141" t="s">
        <v>106</v>
      </c>
      <c r="G141" s="8">
        <v>1097451</v>
      </c>
      <c r="H141" t="s">
        <v>47</v>
      </c>
      <c r="I141" s="8" t="s">
        <v>7</v>
      </c>
      <c r="J141" s="8">
        <v>79</v>
      </c>
      <c r="L141" s="29"/>
      <c r="P141" s="2"/>
      <c r="Q141" s="2"/>
      <c r="R141" s="3"/>
      <c r="S141" s="3"/>
      <c r="T141" s="5"/>
      <c r="U141" s="3"/>
      <c r="V141" s="7"/>
      <c r="W141" s="1"/>
    </row>
    <row r="142" spans="1:23">
      <c r="A142" s="8">
        <f>INDEX(Album!$A:$A, MATCH(B142,Album!$C:$C,0))</f>
        <v>13</v>
      </c>
      <c r="B142" t="s">
        <v>501</v>
      </c>
      <c r="C142">
        <f>INDEX(Album!$D:$D, MATCH(B142,Album!$C:$C,0))</f>
        <v>2014</v>
      </c>
      <c r="D142">
        <v>1</v>
      </c>
      <c r="E142" t="s">
        <v>134</v>
      </c>
      <c r="F142" t="s">
        <v>106</v>
      </c>
      <c r="G142" s="8">
        <v>7031125</v>
      </c>
      <c r="H142" t="s">
        <v>29</v>
      </c>
      <c r="I142" s="8" t="s">
        <v>22</v>
      </c>
      <c r="J142" s="8">
        <v>124</v>
      </c>
    </row>
    <row r="143" spans="1:23">
      <c r="A143" s="8">
        <f>INDEX(Album!$A:$A, MATCH(B143,Album!$C:$C,0))</f>
        <v>13</v>
      </c>
      <c r="B143" t="s">
        <v>501</v>
      </c>
      <c r="C143">
        <f>INDEX(Album!$D:$D, MATCH(B143,Album!$C:$C,0))</f>
        <v>2014</v>
      </c>
      <c r="D143">
        <v>2</v>
      </c>
      <c r="E143" t="s">
        <v>135</v>
      </c>
      <c r="F143" t="s">
        <v>106</v>
      </c>
      <c r="G143" s="8">
        <v>5806878</v>
      </c>
      <c r="H143" t="s">
        <v>53</v>
      </c>
      <c r="I143" s="8" t="s">
        <v>0</v>
      </c>
      <c r="J143" s="8">
        <v>96</v>
      </c>
      <c r="P143" s="2"/>
      <c r="Q143" s="2"/>
      <c r="R143" s="3"/>
      <c r="S143" s="3"/>
      <c r="T143" s="5"/>
      <c r="U143" s="3"/>
      <c r="V143" s="3"/>
      <c r="W143" s="1"/>
    </row>
    <row r="144" spans="1:23">
      <c r="A144" s="8">
        <f>INDEX(Album!$A:$A, MATCH(B144,Album!$C:$C,0))</f>
        <v>13</v>
      </c>
      <c r="B144" t="s">
        <v>501</v>
      </c>
      <c r="C144">
        <f>INDEX(Album!$D:$D, MATCH(B144,Album!$C:$C,0))</f>
        <v>2014</v>
      </c>
      <c r="D144">
        <v>3</v>
      </c>
      <c r="E144" t="s">
        <v>136</v>
      </c>
      <c r="F144" t="s">
        <v>106</v>
      </c>
      <c r="G144" s="8">
        <v>6186872</v>
      </c>
      <c r="H144" t="s">
        <v>137</v>
      </c>
      <c r="I144" s="8" t="s">
        <v>0</v>
      </c>
      <c r="J144" s="8">
        <v>111</v>
      </c>
    </row>
    <row r="145" spans="1:23">
      <c r="A145" s="8">
        <f>INDEX(Album!$A:$A, MATCH(B145,Album!$C:$C,0))</f>
        <v>13</v>
      </c>
      <c r="B145" t="s">
        <v>501</v>
      </c>
      <c r="C145">
        <f>INDEX(Album!$D:$D, MATCH(B145,Album!$C:$C,0))</f>
        <v>2014</v>
      </c>
      <c r="D145">
        <v>4</v>
      </c>
      <c r="E145" t="s">
        <v>138</v>
      </c>
      <c r="F145" t="s">
        <v>106</v>
      </c>
      <c r="G145" s="8">
        <v>14514</v>
      </c>
      <c r="H145" t="s">
        <v>139</v>
      </c>
      <c r="I145" s="8" t="s">
        <v>0</v>
      </c>
      <c r="J145" s="8">
        <v>56</v>
      </c>
    </row>
    <row r="146" spans="1:23">
      <c r="A146" s="8">
        <f>INDEX(Album!$A:$A, MATCH(B146,Album!$C:$C,0))</f>
        <v>13</v>
      </c>
      <c r="B146" t="s">
        <v>501</v>
      </c>
      <c r="C146">
        <f>INDEX(Album!$D:$D, MATCH(B146,Album!$C:$C,0))</f>
        <v>2014</v>
      </c>
      <c r="D146">
        <v>5</v>
      </c>
      <c r="E146" t="s">
        <v>140</v>
      </c>
      <c r="F146" t="s">
        <v>106</v>
      </c>
      <c r="G146" s="8">
        <v>5032549</v>
      </c>
      <c r="H146" t="s">
        <v>141</v>
      </c>
      <c r="I146" s="8" t="s">
        <v>2</v>
      </c>
      <c r="J146" s="8">
        <v>72.5</v>
      </c>
    </row>
    <row r="147" spans="1:23">
      <c r="A147" s="8">
        <f>INDEX(Album!$A:$A, MATCH(B147,Album!$C:$C,0))</f>
        <v>13</v>
      </c>
      <c r="B147" t="s">
        <v>501</v>
      </c>
      <c r="C147">
        <f>INDEX(Album!$D:$D, MATCH(B147,Album!$C:$C,0))</f>
        <v>2014</v>
      </c>
      <c r="D147">
        <v>6</v>
      </c>
      <c r="E147" t="s">
        <v>142</v>
      </c>
      <c r="F147" t="s">
        <v>106</v>
      </c>
      <c r="G147" s="8">
        <v>5997055</v>
      </c>
      <c r="H147" t="s">
        <v>47</v>
      </c>
      <c r="I147" s="8" t="s">
        <v>2</v>
      </c>
      <c r="J147" s="8">
        <v>70</v>
      </c>
    </row>
    <row r="148" spans="1:23">
      <c r="A148" s="8">
        <f>INDEX(Album!$A:$A, MATCH(B148,Album!$C:$C,0))</f>
        <v>13</v>
      </c>
      <c r="B148" t="s">
        <v>501</v>
      </c>
      <c r="C148">
        <f>INDEX(Album!$D:$D, MATCH(B148,Album!$C:$C,0))</f>
        <v>2014</v>
      </c>
      <c r="D148">
        <v>7</v>
      </c>
      <c r="E148" t="s">
        <v>143</v>
      </c>
      <c r="F148" t="s">
        <v>106</v>
      </c>
      <c r="G148" s="8">
        <v>1406918</v>
      </c>
      <c r="H148" t="s">
        <v>107</v>
      </c>
      <c r="I148" s="8" t="s">
        <v>4</v>
      </c>
      <c r="J148" s="8">
        <v>80</v>
      </c>
      <c r="P148" s="2"/>
      <c r="Q148" s="2"/>
      <c r="R148" s="3"/>
      <c r="S148" s="4"/>
      <c r="T148" s="5"/>
      <c r="U148" s="3"/>
      <c r="V148" s="7"/>
      <c r="W148" s="1"/>
    </row>
    <row r="149" spans="1:23">
      <c r="A149" s="8">
        <f>INDEX(Album!$A:$A, MATCH(B149,Album!$C:$C,0))</f>
        <v>13</v>
      </c>
      <c r="B149" t="s">
        <v>501</v>
      </c>
      <c r="C149">
        <f>INDEX(Album!$D:$D, MATCH(B149,Album!$C:$C,0))</f>
        <v>2014</v>
      </c>
      <c r="D149">
        <v>8</v>
      </c>
      <c r="E149" t="s">
        <v>144</v>
      </c>
      <c r="F149" t="s">
        <v>106</v>
      </c>
      <c r="G149" s="8">
        <v>2306412</v>
      </c>
      <c r="H149" t="s">
        <v>137</v>
      </c>
      <c r="I149" s="8" t="s">
        <v>21</v>
      </c>
      <c r="J149" s="8">
        <v>68</v>
      </c>
      <c r="P149" s="2"/>
      <c r="Q149" s="2"/>
      <c r="R149" s="3"/>
      <c r="S149" s="3"/>
      <c r="T149" s="3"/>
      <c r="U149" s="3"/>
      <c r="V149" s="3"/>
      <c r="W149" s="1"/>
    </row>
    <row r="150" spans="1:23">
      <c r="A150" s="8">
        <f>INDEX(Album!$A:$A, MATCH(B150,Album!$C:$C,0))</f>
        <v>13</v>
      </c>
      <c r="B150" t="s">
        <v>501</v>
      </c>
      <c r="C150">
        <f>INDEX(Album!$D:$D, MATCH(B150,Album!$C:$C,0))</f>
        <v>2014</v>
      </c>
      <c r="D150">
        <v>9</v>
      </c>
      <c r="E150" t="s">
        <v>145</v>
      </c>
      <c r="F150" t="s">
        <v>106</v>
      </c>
      <c r="G150" s="8">
        <v>3915912</v>
      </c>
      <c r="H150" t="s">
        <v>52</v>
      </c>
      <c r="I150" s="8" t="s">
        <v>21</v>
      </c>
      <c r="J150" s="8">
        <v>120</v>
      </c>
      <c r="P150" s="2"/>
      <c r="Q150" s="2"/>
      <c r="R150" s="3"/>
      <c r="S150" s="4"/>
      <c r="T150" s="3"/>
      <c r="U150" s="3"/>
      <c r="V150" s="3"/>
      <c r="W150" s="1"/>
    </row>
    <row r="151" spans="1:23">
      <c r="A151" s="8">
        <f>INDEX(Album!$A:$A, MATCH(B151,Album!$C:$C,0))</f>
        <v>13</v>
      </c>
      <c r="B151" t="s">
        <v>501</v>
      </c>
      <c r="C151">
        <f>INDEX(Album!$D:$D, MATCH(B151,Album!$C:$C,0))</f>
        <v>2014</v>
      </c>
      <c r="D151">
        <v>10</v>
      </c>
      <c r="E151" t="s">
        <v>146</v>
      </c>
      <c r="F151" t="s">
        <v>106</v>
      </c>
      <c r="G151" s="8">
        <v>3798438</v>
      </c>
      <c r="H151" t="s">
        <v>47</v>
      </c>
      <c r="I151" s="8" t="s">
        <v>4</v>
      </c>
      <c r="J151" s="8">
        <v>114</v>
      </c>
      <c r="P151" s="2"/>
      <c r="Q151" s="2"/>
      <c r="R151" s="3"/>
      <c r="S151" s="3"/>
      <c r="T151" s="5"/>
      <c r="U151" s="3"/>
      <c r="V151" s="7"/>
      <c r="W151" s="1"/>
    </row>
    <row r="152" spans="1:23">
      <c r="A152" s="8">
        <f>INDEX(Album!$A:$A, MATCH(B152,Album!$C:$C,0))</f>
        <v>14</v>
      </c>
      <c r="B152" t="s">
        <v>502</v>
      </c>
      <c r="C152">
        <f>INDEX(Album!$D:$D, MATCH(B152,Album!$C:$C,0))</f>
        <v>2014</v>
      </c>
      <c r="D152">
        <v>1</v>
      </c>
      <c r="E152" t="s">
        <v>147</v>
      </c>
      <c r="F152" t="s">
        <v>148</v>
      </c>
      <c r="G152" s="8">
        <v>7029507</v>
      </c>
      <c r="H152" t="s">
        <v>53</v>
      </c>
      <c r="I152" s="8" t="s">
        <v>15</v>
      </c>
      <c r="J152" s="8">
        <v>104</v>
      </c>
    </row>
    <row r="153" spans="1:23">
      <c r="A153" s="8">
        <f>INDEX(Album!$A:$A, MATCH(B153,Album!$C:$C,0))</f>
        <v>14</v>
      </c>
      <c r="B153" t="s">
        <v>502</v>
      </c>
      <c r="C153">
        <f>INDEX(Album!$D:$D, MATCH(B153,Album!$C:$C,0))</f>
        <v>2014</v>
      </c>
      <c r="D153">
        <v>2</v>
      </c>
      <c r="E153" t="s">
        <v>149</v>
      </c>
      <c r="F153" t="s">
        <v>106</v>
      </c>
      <c r="G153" s="8">
        <v>5636866</v>
      </c>
      <c r="H153" t="s">
        <v>107</v>
      </c>
      <c r="I153" s="8" t="s">
        <v>9</v>
      </c>
      <c r="J153" s="8">
        <v>118</v>
      </c>
    </row>
    <row r="154" spans="1:23">
      <c r="A154" s="8">
        <f>INDEX(Album!$A:$A, MATCH(B154,Album!$C:$C,0))</f>
        <v>14</v>
      </c>
      <c r="B154" t="s">
        <v>502</v>
      </c>
      <c r="C154">
        <f>INDEX(Album!$D:$D, MATCH(B154,Album!$C:$C,0))</f>
        <v>2014</v>
      </c>
      <c r="D154">
        <v>3</v>
      </c>
      <c r="E154" t="s">
        <v>150</v>
      </c>
      <c r="F154" t="s">
        <v>106</v>
      </c>
      <c r="G154" s="8">
        <v>4158039</v>
      </c>
      <c r="H154" t="s">
        <v>53</v>
      </c>
      <c r="I154" s="8" t="s">
        <v>0</v>
      </c>
      <c r="J154" s="8">
        <v>77</v>
      </c>
    </row>
    <row r="155" spans="1:23">
      <c r="A155" s="8">
        <f>INDEX(Album!$A:$A, MATCH(B155,Album!$C:$C,0))</f>
        <v>14</v>
      </c>
      <c r="B155" t="s">
        <v>502</v>
      </c>
      <c r="C155">
        <f>INDEX(Album!$D:$D, MATCH(B155,Album!$C:$C,0))</f>
        <v>2014</v>
      </c>
      <c r="D155">
        <v>4</v>
      </c>
      <c r="E155" t="s">
        <v>151</v>
      </c>
      <c r="F155" t="s">
        <v>106</v>
      </c>
      <c r="G155" s="8">
        <v>5925649</v>
      </c>
      <c r="H155" t="s">
        <v>47</v>
      </c>
      <c r="I155" s="8" t="s">
        <v>2</v>
      </c>
      <c r="J155" s="8">
        <v>86</v>
      </c>
    </row>
    <row r="156" spans="1:23">
      <c r="A156" s="8">
        <f>INDEX(Album!$A:$A, MATCH(B156,Album!$C:$C,0))</f>
        <v>14</v>
      </c>
      <c r="B156" t="s">
        <v>502</v>
      </c>
      <c r="C156">
        <f>INDEX(Album!$D:$D, MATCH(B156,Album!$C:$C,0))</f>
        <v>2014</v>
      </c>
      <c r="D156">
        <v>5</v>
      </c>
      <c r="E156" t="s">
        <v>152</v>
      </c>
      <c r="F156" t="s">
        <v>106</v>
      </c>
      <c r="G156" s="8">
        <v>5881037</v>
      </c>
      <c r="H156" t="s">
        <v>113</v>
      </c>
      <c r="I156" s="8" t="s">
        <v>2</v>
      </c>
      <c r="J156" s="8">
        <v>72</v>
      </c>
    </row>
    <row r="157" spans="1:23">
      <c r="A157" s="8">
        <f>INDEX(Album!$A:$A, MATCH(B157,Album!$C:$C,0))</f>
        <v>14</v>
      </c>
      <c r="B157" t="s">
        <v>502</v>
      </c>
      <c r="C157">
        <f>INDEX(Album!$D:$D, MATCH(B157,Album!$C:$C,0))</f>
        <v>2014</v>
      </c>
      <c r="D157">
        <v>6</v>
      </c>
      <c r="E157" t="s">
        <v>153</v>
      </c>
      <c r="F157" t="s">
        <v>106</v>
      </c>
      <c r="G157" s="8">
        <v>3266032</v>
      </c>
      <c r="H157" t="s">
        <v>52</v>
      </c>
      <c r="I157" s="8" t="s">
        <v>2</v>
      </c>
      <c r="J157" s="8">
        <v>69</v>
      </c>
      <c r="P157" s="2"/>
      <c r="Q157" s="2"/>
      <c r="R157" s="3"/>
      <c r="S157" s="3"/>
      <c r="T157" s="5"/>
      <c r="U157" s="3"/>
      <c r="V157" s="7"/>
      <c r="W157" s="1"/>
    </row>
    <row r="158" spans="1:23">
      <c r="A158" s="8">
        <f>INDEX(Album!$A:$A, MATCH(B158,Album!$C:$C,0))</f>
        <v>14</v>
      </c>
      <c r="B158" t="s">
        <v>502</v>
      </c>
      <c r="C158">
        <f>INDEX(Album!$D:$D, MATCH(B158,Album!$C:$C,0))</f>
        <v>2014</v>
      </c>
      <c r="D158">
        <v>7</v>
      </c>
      <c r="E158" t="s">
        <v>154</v>
      </c>
      <c r="F158" t="s">
        <v>106</v>
      </c>
      <c r="G158" s="8">
        <v>5627772</v>
      </c>
      <c r="H158" t="s">
        <v>137</v>
      </c>
      <c r="I158" s="8" t="s">
        <v>2</v>
      </c>
      <c r="J158" s="8">
        <v>58</v>
      </c>
    </row>
    <row r="159" spans="1:23">
      <c r="A159" s="8">
        <f>INDEX(Album!$A:$A, MATCH(B159,Album!$C:$C,0))</f>
        <v>14</v>
      </c>
      <c r="B159" t="s">
        <v>502</v>
      </c>
      <c r="C159">
        <f>INDEX(Album!$D:$D, MATCH(B159,Album!$C:$C,0))</f>
        <v>2014</v>
      </c>
      <c r="D159">
        <v>8</v>
      </c>
      <c r="E159" t="s">
        <v>155</v>
      </c>
      <c r="F159" t="s">
        <v>106</v>
      </c>
      <c r="G159" s="8">
        <v>4873981</v>
      </c>
      <c r="H159" t="s">
        <v>107</v>
      </c>
      <c r="I159" s="8" t="s">
        <v>15</v>
      </c>
      <c r="J159" s="8">
        <v>77</v>
      </c>
      <c r="P159" s="2"/>
      <c r="Q159" s="2"/>
      <c r="R159" s="3"/>
      <c r="S159" s="3"/>
      <c r="T159" s="5"/>
      <c r="U159" s="3"/>
      <c r="V159" s="7"/>
      <c r="W159" s="1"/>
    </row>
    <row r="160" spans="1:23">
      <c r="A160" s="8">
        <f>INDEX(Album!$A:$A, MATCH(B160,Album!$C:$C,0))</f>
        <v>14</v>
      </c>
      <c r="B160" t="s">
        <v>502</v>
      </c>
      <c r="C160">
        <f>INDEX(Album!$D:$D, MATCH(B160,Album!$C:$C,0))</f>
        <v>2014</v>
      </c>
      <c r="D160">
        <v>9</v>
      </c>
      <c r="E160" t="s">
        <v>156</v>
      </c>
      <c r="F160" t="s">
        <v>157</v>
      </c>
      <c r="G160" s="8">
        <v>7029513</v>
      </c>
      <c r="H160" t="s">
        <v>29</v>
      </c>
      <c r="I160" s="8" t="s">
        <v>26</v>
      </c>
      <c r="J160" s="8">
        <v>68</v>
      </c>
    </row>
    <row r="161" spans="1:23">
      <c r="A161" s="8">
        <f>INDEX(Album!$A:$A, MATCH(B161,Album!$C:$C,0))</f>
        <v>14</v>
      </c>
      <c r="B161" t="s">
        <v>502</v>
      </c>
      <c r="C161">
        <f>INDEX(Album!$D:$D, MATCH(B161,Album!$C:$C,0))</f>
        <v>2014</v>
      </c>
      <c r="D161">
        <v>10</v>
      </c>
      <c r="E161" t="s">
        <v>158</v>
      </c>
      <c r="F161" t="s">
        <v>159</v>
      </c>
      <c r="G161" s="8">
        <v>4158022</v>
      </c>
      <c r="H161" t="s">
        <v>160</v>
      </c>
      <c r="I161" s="8" t="s">
        <v>18</v>
      </c>
      <c r="J161" s="8">
        <v>115</v>
      </c>
    </row>
    <row r="162" spans="1:23">
      <c r="A162" s="8">
        <f>INDEX(Album!$A:$A, MATCH(B162,Album!$C:$C,0))</f>
        <v>15</v>
      </c>
      <c r="B162" t="s">
        <v>503</v>
      </c>
      <c r="C162">
        <f>INDEX(Album!$D:$D, MATCH(B162,Album!$C:$C,0))</f>
        <v>2014</v>
      </c>
      <c r="D162">
        <v>1</v>
      </c>
      <c r="E162" t="s">
        <v>161</v>
      </c>
      <c r="F162" t="s">
        <v>106</v>
      </c>
      <c r="G162" s="8">
        <v>6158927</v>
      </c>
      <c r="H162" t="s">
        <v>107</v>
      </c>
      <c r="I162" s="8" t="s">
        <v>2</v>
      </c>
      <c r="J162" s="8">
        <v>68</v>
      </c>
      <c r="P162" s="2"/>
      <c r="Q162" s="2"/>
      <c r="R162" s="3"/>
      <c r="S162" s="3"/>
      <c r="T162" s="5"/>
      <c r="U162" s="3"/>
      <c r="V162" s="7"/>
      <c r="W162" s="1"/>
    </row>
    <row r="163" spans="1:23">
      <c r="A163" s="8">
        <f>INDEX(Album!$A:$A, MATCH(B163,Album!$C:$C,0))</f>
        <v>15</v>
      </c>
      <c r="B163" t="s">
        <v>503</v>
      </c>
      <c r="C163">
        <f>INDEX(Album!$D:$D, MATCH(B163,Album!$C:$C,0))</f>
        <v>2014</v>
      </c>
      <c r="D163">
        <v>2</v>
      </c>
      <c r="E163" t="s">
        <v>162</v>
      </c>
      <c r="F163" t="s">
        <v>106</v>
      </c>
      <c r="G163" s="8">
        <v>5207587</v>
      </c>
      <c r="H163" t="s">
        <v>163</v>
      </c>
      <c r="I163" s="8" t="s">
        <v>2</v>
      </c>
      <c r="J163" s="8">
        <v>71</v>
      </c>
    </row>
    <row r="164" spans="1:23">
      <c r="A164" s="8">
        <f>INDEX(Album!$A:$A, MATCH(B164,Album!$C:$C,0))</f>
        <v>15</v>
      </c>
      <c r="B164" t="s">
        <v>503</v>
      </c>
      <c r="C164">
        <f>INDEX(Album!$D:$D, MATCH(B164,Album!$C:$C,0))</f>
        <v>2014</v>
      </c>
      <c r="D164">
        <v>3</v>
      </c>
      <c r="E164" t="s">
        <v>164</v>
      </c>
      <c r="F164" t="s">
        <v>106</v>
      </c>
      <c r="G164" s="8">
        <v>5124055</v>
      </c>
      <c r="H164" t="s">
        <v>109</v>
      </c>
      <c r="I164" s="8" t="s">
        <v>0</v>
      </c>
      <c r="J164" s="8">
        <v>79</v>
      </c>
    </row>
    <row r="165" spans="1:23">
      <c r="A165" s="8">
        <f>INDEX(Album!$A:$A, MATCH(B165,Album!$C:$C,0))</f>
        <v>15</v>
      </c>
      <c r="B165" t="s">
        <v>503</v>
      </c>
      <c r="C165">
        <f>INDEX(Album!$D:$D, MATCH(B165,Album!$C:$C,0))</f>
        <v>2014</v>
      </c>
      <c r="D165">
        <v>4</v>
      </c>
      <c r="E165" t="s">
        <v>165</v>
      </c>
      <c r="F165" t="s">
        <v>106</v>
      </c>
      <c r="G165" s="8">
        <v>6590798</v>
      </c>
      <c r="H165" t="s">
        <v>137</v>
      </c>
      <c r="I165" s="8" t="s">
        <v>0</v>
      </c>
      <c r="J165" s="8">
        <v>58</v>
      </c>
    </row>
    <row r="166" spans="1:23">
      <c r="A166" s="8">
        <f>INDEX(Album!$A:$A, MATCH(B166,Album!$C:$C,0))</f>
        <v>15</v>
      </c>
      <c r="B166" t="s">
        <v>503</v>
      </c>
      <c r="C166">
        <f>INDEX(Album!$D:$D, MATCH(B166,Album!$C:$C,0))</f>
        <v>2014</v>
      </c>
      <c r="D166">
        <v>5</v>
      </c>
      <c r="E166" t="s">
        <v>166</v>
      </c>
      <c r="F166" t="s">
        <v>106</v>
      </c>
      <c r="G166" s="8">
        <v>3040980</v>
      </c>
      <c r="H166" t="s">
        <v>47</v>
      </c>
      <c r="I166" s="8" t="s">
        <v>15</v>
      </c>
      <c r="J166" s="8">
        <v>71</v>
      </c>
    </row>
    <row r="167" spans="1:23">
      <c r="A167" s="8">
        <f>INDEX(Album!$A:$A, MATCH(B167,Album!$C:$C,0))</f>
        <v>15</v>
      </c>
      <c r="B167" t="s">
        <v>503</v>
      </c>
      <c r="C167">
        <f>INDEX(Album!$D:$D, MATCH(B167,Album!$C:$C,0))</f>
        <v>2014</v>
      </c>
      <c r="D167">
        <v>6</v>
      </c>
      <c r="E167" t="s">
        <v>167</v>
      </c>
      <c r="F167" t="s">
        <v>106</v>
      </c>
      <c r="G167" s="8">
        <v>5880784</v>
      </c>
      <c r="H167" t="s">
        <v>111</v>
      </c>
      <c r="I167" s="8" t="s">
        <v>15</v>
      </c>
      <c r="J167" s="8">
        <v>78</v>
      </c>
    </row>
    <row r="168" spans="1:23">
      <c r="A168" s="8">
        <f>INDEX(Album!$A:$A, MATCH(B168,Album!$C:$C,0))</f>
        <v>15</v>
      </c>
      <c r="B168" t="s">
        <v>503</v>
      </c>
      <c r="C168">
        <f>INDEX(Album!$D:$D, MATCH(B168,Album!$C:$C,0))</f>
        <v>2014</v>
      </c>
      <c r="D168">
        <v>7</v>
      </c>
      <c r="E168" t="s">
        <v>168</v>
      </c>
      <c r="F168" t="s">
        <v>106</v>
      </c>
      <c r="G168" s="8">
        <v>2060208</v>
      </c>
      <c r="H168" t="s">
        <v>53</v>
      </c>
      <c r="I168" s="8" t="s">
        <v>15</v>
      </c>
      <c r="J168" s="8">
        <v>73</v>
      </c>
    </row>
    <row r="169" spans="1:23">
      <c r="A169" s="8">
        <f>INDEX(Album!$A:$A, MATCH(B169,Album!$C:$C,0))</f>
        <v>15</v>
      </c>
      <c r="B169" t="s">
        <v>503</v>
      </c>
      <c r="C169">
        <f>INDEX(Album!$D:$D, MATCH(B169,Album!$C:$C,0))</f>
        <v>2014</v>
      </c>
      <c r="D169">
        <v>8</v>
      </c>
      <c r="E169" t="s">
        <v>169</v>
      </c>
      <c r="F169" t="s">
        <v>106</v>
      </c>
      <c r="G169" s="8">
        <v>4689508</v>
      </c>
      <c r="H169" t="s">
        <v>113</v>
      </c>
      <c r="I169" s="8" t="s">
        <v>20</v>
      </c>
      <c r="J169" s="8">
        <v>70</v>
      </c>
      <c r="P169" s="2"/>
      <c r="Q169" s="2"/>
      <c r="R169" s="3"/>
      <c r="S169" s="4"/>
      <c r="T169" s="3"/>
      <c r="U169" s="3"/>
      <c r="V169" s="7"/>
      <c r="W169" s="1"/>
    </row>
    <row r="170" spans="1:23">
      <c r="A170" s="8">
        <f>INDEX(Album!$A:$A, MATCH(B170,Album!$C:$C,0))</f>
        <v>15</v>
      </c>
      <c r="B170" t="s">
        <v>503</v>
      </c>
      <c r="C170">
        <f>INDEX(Album!$D:$D, MATCH(B170,Album!$C:$C,0))</f>
        <v>2014</v>
      </c>
      <c r="D170">
        <v>9</v>
      </c>
      <c r="E170" t="s">
        <v>170</v>
      </c>
      <c r="F170" t="s">
        <v>106</v>
      </c>
      <c r="G170" s="8">
        <v>5393329</v>
      </c>
      <c r="H170" t="s">
        <v>171</v>
      </c>
      <c r="I170" s="8" t="s">
        <v>9</v>
      </c>
      <c r="J170" s="8">
        <v>75</v>
      </c>
      <c r="P170" s="2"/>
      <c r="Q170" s="2"/>
      <c r="R170" s="3"/>
      <c r="S170" s="4"/>
      <c r="T170" s="5"/>
      <c r="U170" s="3"/>
      <c r="V170" s="3"/>
      <c r="W170" s="1"/>
    </row>
    <row r="171" spans="1:23">
      <c r="A171" s="8">
        <f>INDEX(Album!$A:$A, MATCH(B171,Album!$C:$C,0))</f>
        <v>15</v>
      </c>
      <c r="B171" t="s">
        <v>503</v>
      </c>
      <c r="C171">
        <f>INDEX(Album!$D:$D, MATCH(B171,Album!$C:$C,0))</f>
        <v>2014</v>
      </c>
      <c r="D171">
        <v>10</v>
      </c>
      <c r="E171" t="s">
        <v>172</v>
      </c>
      <c r="F171" t="s">
        <v>106</v>
      </c>
      <c r="G171" s="8">
        <v>3148435</v>
      </c>
      <c r="H171" t="s">
        <v>53</v>
      </c>
      <c r="I171" s="8" t="s">
        <v>7</v>
      </c>
      <c r="J171" s="8">
        <v>88</v>
      </c>
      <c r="P171" s="2"/>
      <c r="Q171" s="2"/>
      <c r="R171" s="3"/>
      <c r="S171" s="4"/>
      <c r="T171" s="5"/>
      <c r="U171" s="3"/>
      <c r="V171" s="3"/>
      <c r="W171" s="1"/>
    </row>
    <row r="172" spans="1:23">
      <c r="A172" s="8">
        <f>INDEX(Album!$A:$A, MATCH(B172,Album!$C:$C,0))</f>
        <v>16</v>
      </c>
      <c r="B172" t="s">
        <v>504</v>
      </c>
      <c r="C172">
        <f>INDEX(Album!$D:$D, MATCH(B172,Album!$C:$C,0))</f>
        <v>2014</v>
      </c>
      <c r="D172">
        <v>1</v>
      </c>
      <c r="E172" t="s">
        <v>173</v>
      </c>
      <c r="F172" t="s">
        <v>106</v>
      </c>
      <c r="G172" s="8">
        <v>16880</v>
      </c>
      <c r="H172" t="s">
        <v>174</v>
      </c>
      <c r="I172" s="8" t="s">
        <v>15</v>
      </c>
      <c r="J172" s="8">
        <v>118</v>
      </c>
      <c r="P172" s="2"/>
      <c r="Q172" s="2"/>
      <c r="R172" s="3"/>
      <c r="S172" s="4"/>
      <c r="T172" s="3"/>
      <c r="U172" s="3"/>
      <c r="V172" s="3"/>
      <c r="W172" s="1"/>
    </row>
    <row r="173" spans="1:23">
      <c r="A173" s="8">
        <f>INDEX(Album!$A:$A, MATCH(B173,Album!$C:$C,0))</f>
        <v>16</v>
      </c>
      <c r="B173" t="s">
        <v>504</v>
      </c>
      <c r="C173">
        <f>INDEX(Album!$D:$D, MATCH(B173,Album!$C:$C,0))</f>
        <v>2014</v>
      </c>
      <c r="D173">
        <v>2</v>
      </c>
      <c r="E173" t="s">
        <v>175</v>
      </c>
      <c r="F173" t="s">
        <v>106</v>
      </c>
      <c r="G173" s="8">
        <v>7029241</v>
      </c>
      <c r="H173" t="s">
        <v>137</v>
      </c>
      <c r="I173" s="8" t="s">
        <v>15</v>
      </c>
      <c r="J173" s="8">
        <v>70</v>
      </c>
    </row>
    <row r="174" spans="1:23">
      <c r="A174" s="8">
        <f>INDEX(Album!$A:$A, MATCH(B174,Album!$C:$C,0))</f>
        <v>16</v>
      </c>
      <c r="B174" t="s">
        <v>504</v>
      </c>
      <c r="C174">
        <f>INDEX(Album!$D:$D, MATCH(B174,Album!$C:$C,0))</f>
        <v>2014</v>
      </c>
      <c r="D174">
        <v>3</v>
      </c>
      <c r="E174" t="s">
        <v>176</v>
      </c>
      <c r="F174" t="s">
        <v>106</v>
      </c>
      <c r="G174" s="8">
        <v>4447960</v>
      </c>
      <c r="H174" t="s">
        <v>177</v>
      </c>
      <c r="I174" s="8" t="s">
        <v>7</v>
      </c>
      <c r="J174" s="8">
        <v>64</v>
      </c>
      <c r="P174" s="2"/>
      <c r="Q174" s="2"/>
      <c r="R174" s="3"/>
      <c r="S174" s="4"/>
      <c r="T174" s="3"/>
      <c r="U174" s="3"/>
      <c r="V174" s="7"/>
      <c r="W174" s="1"/>
    </row>
    <row r="175" spans="1:23">
      <c r="A175" s="8">
        <f>INDEX(Album!$A:$A, MATCH(B175,Album!$C:$C,0))</f>
        <v>16</v>
      </c>
      <c r="B175" t="s">
        <v>504</v>
      </c>
      <c r="C175">
        <f>INDEX(Album!$D:$D, MATCH(B175,Album!$C:$C,0))</f>
        <v>2014</v>
      </c>
      <c r="D175">
        <v>4</v>
      </c>
      <c r="E175" t="s">
        <v>178</v>
      </c>
      <c r="F175" t="s">
        <v>106</v>
      </c>
      <c r="G175" s="8">
        <v>18723</v>
      </c>
      <c r="H175" t="s">
        <v>29</v>
      </c>
      <c r="I175" s="8" t="s">
        <v>7</v>
      </c>
      <c r="J175" s="8">
        <v>85</v>
      </c>
      <c r="P175" s="2"/>
      <c r="Q175" s="2"/>
      <c r="R175" s="3"/>
      <c r="S175" s="4"/>
      <c r="T175" s="3"/>
      <c r="U175" s="3"/>
      <c r="V175" s="7"/>
      <c r="W175" s="1"/>
    </row>
    <row r="176" spans="1:23">
      <c r="A176" s="8">
        <f>INDEX(Album!$A:$A, MATCH(B176,Album!$C:$C,0))</f>
        <v>16</v>
      </c>
      <c r="B176" t="s">
        <v>504</v>
      </c>
      <c r="C176">
        <f>INDEX(Album!$D:$D, MATCH(B176,Album!$C:$C,0))</f>
        <v>2014</v>
      </c>
      <c r="D176">
        <v>5</v>
      </c>
      <c r="E176" t="s">
        <v>179</v>
      </c>
      <c r="F176" t="s">
        <v>106</v>
      </c>
      <c r="G176" s="8">
        <v>6521035</v>
      </c>
      <c r="H176" t="s">
        <v>52</v>
      </c>
      <c r="I176" s="8" t="s">
        <v>18</v>
      </c>
      <c r="J176" s="8">
        <v>74</v>
      </c>
    </row>
    <row r="177" spans="1:23">
      <c r="A177" s="8">
        <f>INDEX(Album!$A:$A, MATCH(B177,Album!$C:$C,0))</f>
        <v>16</v>
      </c>
      <c r="B177" t="s">
        <v>504</v>
      </c>
      <c r="C177">
        <f>INDEX(Album!$D:$D, MATCH(B177,Album!$C:$C,0))</f>
        <v>2014</v>
      </c>
      <c r="D177">
        <v>6</v>
      </c>
      <c r="E177" t="s">
        <v>180</v>
      </c>
      <c r="F177" t="s">
        <v>106</v>
      </c>
      <c r="G177" s="8">
        <v>4491002</v>
      </c>
      <c r="H177" t="s">
        <v>181</v>
      </c>
      <c r="I177" s="8" t="s">
        <v>18</v>
      </c>
      <c r="J177" s="8">
        <v>113</v>
      </c>
    </row>
    <row r="178" spans="1:23">
      <c r="A178" s="8">
        <f>INDEX(Album!$A:$A, MATCH(B178,Album!$C:$C,0))</f>
        <v>16</v>
      </c>
      <c r="B178" t="s">
        <v>504</v>
      </c>
      <c r="C178">
        <f>INDEX(Album!$D:$D, MATCH(B178,Album!$C:$C,0))</f>
        <v>2014</v>
      </c>
      <c r="D178">
        <v>7</v>
      </c>
      <c r="E178" t="s">
        <v>182</v>
      </c>
      <c r="F178" t="s">
        <v>183</v>
      </c>
      <c r="G178" s="8">
        <v>3148428</v>
      </c>
      <c r="H178" t="s">
        <v>53</v>
      </c>
      <c r="I178" s="8" t="s">
        <v>18</v>
      </c>
      <c r="J178" s="8">
        <v>123</v>
      </c>
      <c r="P178" s="2"/>
      <c r="Q178" s="2"/>
      <c r="R178" s="3"/>
      <c r="S178" s="4"/>
      <c r="T178" s="5"/>
      <c r="U178" s="3"/>
      <c r="V178" s="7"/>
      <c r="W178" s="1"/>
    </row>
    <row r="179" spans="1:23">
      <c r="A179" s="8">
        <f>INDEX(Album!$A:$A, MATCH(B179,Album!$C:$C,0))</f>
        <v>16</v>
      </c>
      <c r="B179" t="s">
        <v>504</v>
      </c>
      <c r="C179">
        <f>INDEX(Album!$D:$D, MATCH(B179,Album!$C:$C,0))</f>
        <v>2014</v>
      </c>
      <c r="D179">
        <v>8</v>
      </c>
      <c r="E179" t="s">
        <v>184</v>
      </c>
      <c r="F179" t="s">
        <v>106</v>
      </c>
      <c r="G179" s="8">
        <v>5508444</v>
      </c>
      <c r="H179" t="s">
        <v>185</v>
      </c>
      <c r="I179" s="8" t="s">
        <v>26</v>
      </c>
      <c r="J179" s="8">
        <v>71</v>
      </c>
      <c r="P179" s="2"/>
      <c r="Q179" s="2"/>
      <c r="R179" s="3"/>
      <c r="S179" s="4"/>
      <c r="T179" s="5"/>
      <c r="U179" s="3"/>
      <c r="V179" s="7"/>
      <c r="W179" s="1"/>
    </row>
    <row r="180" spans="1:23">
      <c r="A180" s="8">
        <f>INDEX(Album!$A:$A, MATCH(B180,Album!$C:$C,0))</f>
        <v>16</v>
      </c>
      <c r="B180" t="s">
        <v>504</v>
      </c>
      <c r="C180">
        <f>INDEX(Album!$D:$D, MATCH(B180,Album!$C:$C,0))</f>
        <v>2014</v>
      </c>
      <c r="D180">
        <v>9</v>
      </c>
      <c r="E180" t="s">
        <v>186</v>
      </c>
      <c r="F180" t="s">
        <v>106</v>
      </c>
      <c r="G180" s="8">
        <v>4785828</v>
      </c>
      <c r="H180" t="s">
        <v>107</v>
      </c>
      <c r="I180" s="8" t="s">
        <v>0</v>
      </c>
      <c r="J180" s="8">
        <v>72</v>
      </c>
      <c r="P180" s="2"/>
      <c r="Q180" s="2"/>
      <c r="R180" s="3"/>
      <c r="S180" s="4"/>
      <c r="T180" s="5"/>
      <c r="U180" s="3"/>
      <c r="V180" s="3"/>
      <c r="W180" s="1"/>
    </row>
    <row r="181" spans="1:23">
      <c r="A181" s="8">
        <f>INDEX(Album!$A:$A, MATCH(B181,Album!$C:$C,0))</f>
        <v>16</v>
      </c>
      <c r="B181" t="s">
        <v>504</v>
      </c>
      <c r="C181">
        <f>INDEX(Album!$D:$D, MATCH(B181,Album!$C:$C,0))</f>
        <v>2014</v>
      </c>
      <c r="D181">
        <v>10</v>
      </c>
      <c r="E181" t="s">
        <v>187</v>
      </c>
      <c r="F181" t="s">
        <v>106</v>
      </c>
      <c r="G181" s="8">
        <v>4477026</v>
      </c>
      <c r="H181" t="s">
        <v>54</v>
      </c>
      <c r="I181" s="8" t="s">
        <v>0</v>
      </c>
      <c r="J181" s="8">
        <v>114</v>
      </c>
      <c r="P181" s="2"/>
      <c r="Q181" s="2"/>
      <c r="R181" s="3"/>
      <c r="S181" s="4"/>
      <c r="T181" s="5"/>
      <c r="U181" s="3"/>
      <c r="V181" s="7"/>
      <c r="W181" s="1"/>
    </row>
    <row r="182" spans="1:23">
      <c r="A182" s="8">
        <f>INDEX(Album!$A:$A, MATCH(B182,Album!$C:$C,0))</f>
        <v>17</v>
      </c>
      <c r="B182" t="s">
        <v>505</v>
      </c>
      <c r="C182">
        <f>INDEX(Album!$D:$D, MATCH(B182,Album!$C:$C,0))</f>
        <v>2014</v>
      </c>
      <c r="D182">
        <v>1</v>
      </c>
      <c r="E182" t="s">
        <v>188</v>
      </c>
      <c r="F182" t="s">
        <v>106</v>
      </c>
      <c r="G182" s="8">
        <v>5124024</v>
      </c>
      <c r="H182" t="s">
        <v>109</v>
      </c>
      <c r="I182" s="8" t="s">
        <v>21</v>
      </c>
      <c r="J182" s="8">
        <v>80</v>
      </c>
    </row>
    <row r="183" spans="1:23">
      <c r="A183" s="8">
        <f>INDEX(Album!$A:$A, MATCH(B183,Album!$C:$C,0))</f>
        <v>17</v>
      </c>
      <c r="B183" t="s">
        <v>505</v>
      </c>
      <c r="C183">
        <f>INDEX(Album!$D:$D, MATCH(B183,Album!$C:$C,0))</f>
        <v>2014</v>
      </c>
      <c r="D183">
        <v>2</v>
      </c>
      <c r="E183" t="s">
        <v>123</v>
      </c>
      <c r="F183" t="s">
        <v>106</v>
      </c>
      <c r="G183" s="8">
        <v>4785835</v>
      </c>
      <c r="H183" t="s">
        <v>107</v>
      </c>
      <c r="I183" s="8" t="s">
        <v>7</v>
      </c>
      <c r="J183" s="8">
        <v>73.5</v>
      </c>
      <c r="P183" s="2"/>
      <c r="Q183" s="2"/>
      <c r="R183" s="3"/>
      <c r="S183" s="4"/>
      <c r="T183" s="5"/>
      <c r="U183" s="3"/>
      <c r="V183" s="3"/>
      <c r="W183" s="1"/>
    </row>
    <row r="184" spans="1:23">
      <c r="A184" s="8">
        <f>INDEX(Album!$A:$A, MATCH(B184,Album!$C:$C,0))</f>
        <v>17</v>
      </c>
      <c r="B184" t="s">
        <v>505</v>
      </c>
      <c r="C184">
        <f>INDEX(Album!$D:$D, MATCH(B184,Album!$C:$C,0))</f>
        <v>2014</v>
      </c>
      <c r="D184">
        <v>3</v>
      </c>
      <c r="E184" t="s">
        <v>189</v>
      </c>
      <c r="F184" t="s">
        <v>106</v>
      </c>
      <c r="G184" s="8">
        <v>4591782</v>
      </c>
      <c r="H184" t="s">
        <v>107</v>
      </c>
      <c r="I184" s="8" t="s">
        <v>2</v>
      </c>
      <c r="J184" s="8">
        <v>75</v>
      </c>
      <c r="P184" s="2"/>
      <c r="Q184" s="2"/>
      <c r="R184" s="3"/>
      <c r="S184" s="3"/>
      <c r="T184" s="5"/>
      <c r="U184" s="3"/>
      <c r="V184" s="3"/>
      <c r="W184" s="1"/>
    </row>
    <row r="185" spans="1:23">
      <c r="A185" s="8">
        <f>INDEX(Album!$A:$A, MATCH(B185,Album!$C:$C,0))</f>
        <v>17</v>
      </c>
      <c r="B185" t="s">
        <v>505</v>
      </c>
      <c r="C185">
        <f>INDEX(Album!$D:$D, MATCH(B185,Album!$C:$C,0))</f>
        <v>2014</v>
      </c>
      <c r="D185">
        <v>4</v>
      </c>
      <c r="E185" t="s">
        <v>190</v>
      </c>
      <c r="F185" t="s">
        <v>106</v>
      </c>
      <c r="G185" s="8">
        <v>1383</v>
      </c>
      <c r="H185" t="s">
        <v>191</v>
      </c>
      <c r="I185" s="8" t="s">
        <v>2</v>
      </c>
      <c r="J185" s="8">
        <v>68</v>
      </c>
    </row>
    <row r="186" spans="1:23">
      <c r="A186" s="8">
        <f>INDEX(Album!$A:$A, MATCH(B186,Album!$C:$C,0))</f>
        <v>17</v>
      </c>
      <c r="B186" t="s">
        <v>505</v>
      </c>
      <c r="C186">
        <f>INDEX(Album!$D:$D, MATCH(B186,Album!$C:$C,0))</f>
        <v>2014</v>
      </c>
      <c r="D186">
        <v>5</v>
      </c>
      <c r="E186" t="s">
        <v>192</v>
      </c>
      <c r="F186" t="s">
        <v>106</v>
      </c>
      <c r="G186" s="8">
        <v>5060793</v>
      </c>
      <c r="H186" t="s">
        <v>107</v>
      </c>
      <c r="I186" s="8" t="s">
        <v>0</v>
      </c>
      <c r="J186" s="8">
        <v>109</v>
      </c>
    </row>
    <row r="187" spans="1:23">
      <c r="A187" s="8">
        <f>INDEX(Album!$A:$A, MATCH(B187,Album!$C:$C,0))</f>
        <v>17</v>
      </c>
      <c r="B187" t="s">
        <v>505</v>
      </c>
      <c r="C187">
        <f>INDEX(Album!$D:$D, MATCH(B187,Album!$C:$C,0))</f>
        <v>2014</v>
      </c>
      <c r="D187">
        <v>6</v>
      </c>
      <c r="E187" t="s">
        <v>193</v>
      </c>
      <c r="F187" t="s">
        <v>106</v>
      </c>
      <c r="G187" s="8">
        <v>164361</v>
      </c>
      <c r="H187" t="s">
        <v>194</v>
      </c>
      <c r="I187" s="8" t="s">
        <v>0</v>
      </c>
      <c r="J187" s="8">
        <v>65</v>
      </c>
    </row>
    <row r="188" spans="1:23">
      <c r="A188" s="8">
        <f>INDEX(Album!$A:$A, MATCH(B188,Album!$C:$C,0))</f>
        <v>17</v>
      </c>
      <c r="B188" t="s">
        <v>505</v>
      </c>
      <c r="C188">
        <f>INDEX(Album!$D:$D, MATCH(B188,Album!$C:$C,0))</f>
        <v>2014</v>
      </c>
      <c r="D188">
        <v>7</v>
      </c>
      <c r="E188" t="s">
        <v>195</v>
      </c>
      <c r="F188" t="s">
        <v>106</v>
      </c>
      <c r="G188" s="8">
        <v>5710744</v>
      </c>
      <c r="H188" t="s">
        <v>196</v>
      </c>
      <c r="I188" s="8" t="s">
        <v>15</v>
      </c>
      <c r="J188" s="8">
        <v>65</v>
      </c>
    </row>
    <row r="189" spans="1:23">
      <c r="A189" s="8">
        <f>INDEX(Album!$A:$A, MATCH(B189,Album!$C:$C,0))</f>
        <v>17</v>
      </c>
      <c r="B189" t="s">
        <v>505</v>
      </c>
      <c r="C189">
        <f>INDEX(Album!$D:$D, MATCH(B189,Album!$C:$C,0))</f>
        <v>2014</v>
      </c>
      <c r="D189">
        <v>8</v>
      </c>
      <c r="E189" t="s">
        <v>197</v>
      </c>
      <c r="F189" t="s">
        <v>106</v>
      </c>
      <c r="G189" s="8">
        <v>5627758</v>
      </c>
      <c r="H189" t="s">
        <v>137</v>
      </c>
      <c r="I189" s="8" t="s">
        <v>22</v>
      </c>
      <c r="J189" s="8">
        <v>124</v>
      </c>
    </row>
    <row r="190" spans="1:23">
      <c r="A190" s="8">
        <f>INDEX(Album!$A:$A, MATCH(B190,Album!$C:$C,0))</f>
        <v>17</v>
      </c>
      <c r="B190" t="s">
        <v>505</v>
      </c>
      <c r="C190">
        <f>INDEX(Album!$D:$D, MATCH(B190,Album!$C:$C,0))</f>
        <v>2014</v>
      </c>
      <c r="D190">
        <v>9</v>
      </c>
      <c r="E190" t="s">
        <v>198</v>
      </c>
      <c r="F190" t="s">
        <v>106</v>
      </c>
      <c r="G190" s="8">
        <v>4556538</v>
      </c>
      <c r="H190" t="s">
        <v>199</v>
      </c>
      <c r="I190" s="8" t="s">
        <v>4</v>
      </c>
      <c r="J190" s="8">
        <v>113</v>
      </c>
    </row>
    <row r="191" spans="1:23">
      <c r="A191" s="8">
        <f>INDEX(Album!$A:$A, MATCH(B191,Album!$C:$C,0))</f>
        <v>17</v>
      </c>
      <c r="B191" t="s">
        <v>505</v>
      </c>
      <c r="C191">
        <f>INDEX(Album!$D:$D, MATCH(B191,Album!$C:$C,0))</f>
        <v>2014</v>
      </c>
      <c r="D191">
        <v>10</v>
      </c>
      <c r="E191" t="s">
        <v>200</v>
      </c>
      <c r="F191" t="s">
        <v>106</v>
      </c>
      <c r="G191" s="8">
        <v>5409079</v>
      </c>
      <c r="H191" t="s">
        <v>107</v>
      </c>
      <c r="I191" s="8" t="s">
        <v>4</v>
      </c>
      <c r="J191" s="8">
        <v>68</v>
      </c>
    </row>
    <row r="192" spans="1:23">
      <c r="A192" s="8">
        <f>INDEX(Album!$A:$A, MATCH(B192,Album!$C:$C,0))</f>
        <v>18</v>
      </c>
      <c r="B192" t="s">
        <v>506</v>
      </c>
      <c r="C192">
        <f>INDEX(Album!$D:$D, MATCH(B192,Album!$C:$C,0))</f>
        <v>2014</v>
      </c>
      <c r="D192">
        <v>1</v>
      </c>
      <c r="E192" t="s">
        <v>201</v>
      </c>
      <c r="F192" t="s">
        <v>106</v>
      </c>
      <c r="G192" s="8">
        <v>4705248</v>
      </c>
      <c r="H192" t="s">
        <v>107</v>
      </c>
      <c r="I192" s="8" t="s">
        <v>4</v>
      </c>
      <c r="J192" s="8">
        <v>74</v>
      </c>
      <c r="P192" s="2"/>
      <c r="Q192" s="2"/>
      <c r="R192" s="3"/>
      <c r="S192" s="4"/>
      <c r="T192" s="5"/>
      <c r="U192" s="3"/>
      <c r="V192" s="3"/>
      <c r="W192" s="1"/>
    </row>
    <row r="193" spans="1:23">
      <c r="A193" s="8">
        <f>INDEX(Album!$A:$A, MATCH(B193,Album!$C:$C,0))</f>
        <v>18</v>
      </c>
      <c r="B193" t="s">
        <v>506</v>
      </c>
      <c r="C193">
        <f>INDEX(Album!$D:$D, MATCH(B193,Album!$C:$C,0))</f>
        <v>2014</v>
      </c>
      <c r="D193">
        <v>2</v>
      </c>
      <c r="E193" t="s">
        <v>202</v>
      </c>
      <c r="F193" t="s">
        <v>106</v>
      </c>
      <c r="G193" s="8">
        <v>4403076</v>
      </c>
      <c r="H193" t="s">
        <v>53</v>
      </c>
      <c r="I193" s="8" t="s">
        <v>4</v>
      </c>
      <c r="J193" s="8">
        <v>90</v>
      </c>
    </row>
    <row r="194" spans="1:23">
      <c r="A194" s="8">
        <f>INDEX(Album!$A:$A, MATCH(B194,Album!$C:$C,0))</f>
        <v>18</v>
      </c>
      <c r="B194" t="s">
        <v>506</v>
      </c>
      <c r="C194">
        <f>INDEX(Album!$D:$D, MATCH(B194,Album!$C:$C,0))</f>
        <v>2014</v>
      </c>
      <c r="D194">
        <v>3</v>
      </c>
      <c r="E194" t="s">
        <v>203</v>
      </c>
      <c r="F194" t="s">
        <v>106</v>
      </c>
      <c r="G194" s="8">
        <v>1866132</v>
      </c>
      <c r="H194" t="s">
        <v>107</v>
      </c>
      <c r="I194" s="8" t="s">
        <v>4</v>
      </c>
      <c r="J194" s="8">
        <v>70</v>
      </c>
    </row>
    <row r="195" spans="1:23">
      <c r="A195" s="8">
        <f>INDEX(Album!$A:$A, MATCH(B195,Album!$C:$C,0))</f>
        <v>18</v>
      </c>
      <c r="B195" t="s">
        <v>506</v>
      </c>
      <c r="C195">
        <f>INDEX(Album!$D:$D, MATCH(B195,Album!$C:$C,0))</f>
        <v>2014</v>
      </c>
      <c r="D195">
        <v>4</v>
      </c>
      <c r="E195" t="s">
        <v>204</v>
      </c>
      <c r="F195" t="s">
        <v>106</v>
      </c>
      <c r="G195" s="8">
        <v>4329411</v>
      </c>
      <c r="H195" t="s">
        <v>47</v>
      </c>
      <c r="I195" s="8" t="s">
        <v>2</v>
      </c>
      <c r="J195" s="8">
        <v>77</v>
      </c>
    </row>
    <row r="196" spans="1:23">
      <c r="A196" s="8">
        <f>INDEX(Album!$A:$A, MATCH(B196,Album!$C:$C,0))</f>
        <v>18</v>
      </c>
      <c r="B196" t="s">
        <v>506</v>
      </c>
      <c r="C196">
        <f>INDEX(Album!$D:$D, MATCH(B196,Album!$C:$C,0))</f>
        <v>2014</v>
      </c>
      <c r="D196">
        <v>5</v>
      </c>
      <c r="E196" t="s">
        <v>205</v>
      </c>
      <c r="F196" t="s">
        <v>106</v>
      </c>
      <c r="G196" s="8">
        <v>4447984</v>
      </c>
      <c r="H196" t="s">
        <v>177</v>
      </c>
      <c r="I196" s="8" t="s">
        <v>2</v>
      </c>
      <c r="J196" s="8">
        <v>81</v>
      </c>
    </row>
    <row r="197" spans="1:23">
      <c r="A197" s="8">
        <f>INDEX(Album!$A:$A, MATCH(B197,Album!$C:$C,0))</f>
        <v>18</v>
      </c>
      <c r="B197" t="s">
        <v>506</v>
      </c>
      <c r="C197">
        <f>INDEX(Album!$D:$D, MATCH(B197,Album!$C:$C,0))</f>
        <v>2014</v>
      </c>
      <c r="D197">
        <v>6</v>
      </c>
      <c r="E197" t="s">
        <v>206</v>
      </c>
      <c r="F197" t="s">
        <v>106</v>
      </c>
      <c r="G197" s="8">
        <v>4674166</v>
      </c>
      <c r="H197" t="s">
        <v>47</v>
      </c>
      <c r="I197" s="8" t="s">
        <v>2</v>
      </c>
      <c r="J197" s="8">
        <v>80</v>
      </c>
    </row>
    <row r="198" spans="1:23">
      <c r="A198" s="8">
        <f>INDEX(Album!$A:$A, MATCH(B198,Album!$C:$C,0))</f>
        <v>18</v>
      </c>
      <c r="B198" t="s">
        <v>506</v>
      </c>
      <c r="C198">
        <f>INDEX(Album!$D:$D, MATCH(B198,Album!$C:$C,0))</f>
        <v>2014</v>
      </c>
      <c r="D198">
        <v>7</v>
      </c>
      <c r="E198" t="s">
        <v>207</v>
      </c>
      <c r="F198" t="s">
        <v>106</v>
      </c>
      <c r="G198" s="8">
        <v>3599479</v>
      </c>
      <c r="H198" t="s">
        <v>53</v>
      </c>
      <c r="I198" s="8" t="s">
        <v>0</v>
      </c>
      <c r="J198" s="8">
        <v>75</v>
      </c>
    </row>
    <row r="199" spans="1:23">
      <c r="A199" s="8">
        <f>INDEX(Album!$A:$A, MATCH(B199,Album!$C:$C,0))</f>
        <v>18</v>
      </c>
      <c r="B199" t="s">
        <v>506</v>
      </c>
      <c r="C199">
        <f>INDEX(Album!$D:$D, MATCH(B199,Album!$C:$C,0))</f>
        <v>2014</v>
      </c>
      <c r="D199">
        <v>8</v>
      </c>
      <c r="E199" t="s">
        <v>81</v>
      </c>
      <c r="F199" t="s">
        <v>208</v>
      </c>
      <c r="G199" s="8">
        <v>4768151</v>
      </c>
      <c r="H199" t="s">
        <v>53</v>
      </c>
      <c r="I199" s="8" t="s">
        <v>0</v>
      </c>
      <c r="J199" s="8">
        <v>63</v>
      </c>
      <c r="P199" s="2"/>
      <c r="Q199" s="2"/>
      <c r="R199" s="3"/>
      <c r="S199" s="3"/>
      <c r="T199" s="5"/>
      <c r="U199" s="3"/>
      <c r="V199" s="7"/>
      <c r="W199" s="1"/>
    </row>
    <row r="200" spans="1:23">
      <c r="A200" s="8">
        <f>INDEX(Album!$A:$A, MATCH(B200,Album!$C:$C,0))</f>
        <v>18</v>
      </c>
      <c r="B200" t="s">
        <v>506</v>
      </c>
      <c r="C200">
        <f>INDEX(Album!$D:$D, MATCH(B200,Album!$C:$C,0))</f>
        <v>2014</v>
      </c>
      <c r="D200">
        <v>9</v>
      </c>
      <c r="E200" t="s">
        <v>209</v>
      </c>
      <c r="F200" t="s">
        <v>106</v>
      </c>
      <c r="G200" s="8">
        <v>5553530</v>
      </c>
      <c r="H200" t="s">
        <v>54</v>
      </c>
      <c r="I200" s="8" t="s">
        <v>15</v>
      </c>
      <c r="J200" s="8">
        <v>120</v>
      </c>
    </row>
    <row r="201" spans="1:23">
      <c r="A201" s="8">
        <f>INDEX(Album!$A:$A, MATCH(B201,Album!$C:$C,0))</f>
        <v>18</v>
      </c>
      <c r="B201" t="s">
        <v>506</v>
      </c>
      <c r="C201">
        <f>INDEX(Album!$D:$D, MATCH(B201,Album!$C:$C,0))</f>
        <v>2014</v>
      </c>
      <c r="D201">
        <v>10</v>
      </c>
      <c r="E201" t="s">
        <v>210</v>
      </c>
      <c r="F201" t="s">
        <v>106</v>
      </c>
      <c r="G201" s="8">
        <v>4325556</v>
      </c>
      <c r="H201" t="s">
        <v>137</v>
      </c>
      <c r="I201" s="8" t="s">
        <v>9</v>
      </c>
      <c r="J201" s="8">
        <v>58</v>
      </c>
    </row>
    <row r="202" spans="1:23">
      <c r="A202" s="8">
        <f>INDEX(Album!$A:$A, MATCH(B202,Album!$C:$C,0))</f>
        <v>19</v>
      </c>
      <c r="B202" t="s">
        <v>507</v>
      </c>
      <c r="C202">
        <f>INDEX(Album!$D:$D, MATCH(B202,Album!$C:$C,0))</f>
        <v>2014</v>
      </c>
      <c r="D202">
        <v>1</v>
      </c>
      <c r="E202" t="s">
        <v>211</v>
      </c>
      <c r="F202" t="s">
        <v>106</v>
      </c>
      <c r="G202" s="8">
        <v>5295221</v>
      </c>
      <c r="H202" t="s">
        <v>212</v>
      </c>
      <c r="I202" s="8" t="s">
        <v>4</v>
      </c>
      <c r="J202" s="8">
        <v>110</v>
      </c>
    </row>
    <row r="203" spans="1:23">
      <c r="A203" s="8">
        <f>INDEX(Album!$A:$A, MATCH(B203,Album!$C:$C,0))</f>
        <v>19</v>
      </c>
      <c r="B203" t="s">
        <v>507</v>
      </c>
      <c r="C203">
        <f>INDEX(Album!$D:$D, MATCH(B203,Album!$C:$C,0))</f>
        <v>2014</v>
      </c>
      <c r="D203">
        <v>2</v>
      </c>
      <c r="E203" t="s">
        <v>213</v>
      </c>
      <c r="F203" t="s">
        <v>204</v>
      </c>
      <c r="G203" s="8">
        <v>7029516</v>
      </c>
      <c r="H203" t="s">
        <v>137</v>
      </c>
      <c r="I203" s="8" t="s">
        <v>4</v>
      </c>
      <c r="J203" s="8">
        <v>58</v>
      </c>
    </row>
    <row r="204" spans="1:23">
      <c r="A204" s="8">
        <f>INDEX(Album!$A:$A, MATCH(B204,Album!$C:$C,0))</f>
        <v>19</v>
      </c>
      <c r="B204" t="s">
        <v>507</v>
      </c>
      <c r="C204">
        <f>INDEX(Album!$D:$D, MATCH(B204,Album!$C:$C,0))</f>
        <v>2014</v>
      </c>
      <c r="D204">
        <v>3</v>
      </c>
      <c r="E204" t="s">
        <v>214</v>
      </c>
      <c r="F204" t="s">
        <v>106</v>
      </c>
      <c r="G204" s="8">
        <v>2296522</v>
      </c>
      <c r="H204" t="s">
        <v>47</v>
      </c>
      <c r="I204" s="8" t="s">
        <v>0</v>
      </c>
      <c r="J204" s="8">
        <v>67</v>
      </c>
      <c r="P204" s="2"/>
      <c r="Q204" s="2"/>
      <c r="R204" s="3"/>
      <c r="S204" s="3"/>
      <c r="T204" s="5"/>
      <c r="U204" s="3"/>
      <c r="V204" s="7"/>
      <c r="W204" s="1"/>
    </row>
    <row r="205" spans="1:23">
      <c r="A205" s="8">
        <f>INDEX(Album!$A:$A, MATCH(B205,Album!$C:$C,0))</f>
        <v>19</v>
      </c>
      <c r="B205" t="s">
        <v>507</v>
      </c>
      <c r="C205">
        <f>INDEX(Album!$D:$D, MATCH(B205,Album!$C:$C,0))</f>
        <v>2014</v>
      </c>
      <c r="D205">
        <v>4</v>
      </c>
      <c r="E205" t="s">
        <v>215</v>
      </c>
      <c r="F205" t="s">
        <v>106</v>
      </c>
      <c r="G205" s="8">
        <v>4705176</v>
      </c>
      <c r="H205" t="s">
        <v>107</v>
      </c>
      <c r="I205" s="8" t="s">
        <v>2</v>
      </c>
      <c r="J205" s="8">
        <v>71</v>
      </c>
      <c r="P205" s="2"/>
      <c r="Q205" s="2"/>
      <c r="R205" s="3"/>
      <c r="S205" s="4"/>
      <c r="T205" s="5"/>
      <c r="U205" s="3"/>
      <c r="V205" s="3"/>
      <c r="W205" s="1"/>
    </row>
    <row r="206" spans="1:23">
      <c r="A206" s="8">
        <f>INDEX(Album!$A:$A, MATCH(B206,Album!$C:$C,0))</f>
        <v>19</v>
      </c>
      <c r="B206" t="s">
        <v>507</v>
      </c>
      <c r="C206">
        <f>INDEX(Album!$D:$D, MATCH(B206,Album!$C:$C,0))</f>
        <v>2014</v>
      </c>
      <c r="D206">
        <v>5</v>
      </c>
      <c r="E206" t="s">
        <v>216</v>
      </c>
      <c r="F206" t="s">
        <v>106</v>
      </c>
      <c r="G206" s="8">
        <v>5060810</v>
      </c>
      <c r="H206" t="s">
        <v>107</v>
      </c>
      <c r="I206" s="8" t="s">
        <v>2</v>
      </c>
      <c r="J206" s="8">
        <v>68</v>
      </c>
      <c r="P206" s="2"/>
      <c r="Q206" s="2"/>
      <c r="R206" s="3"/>
      <c r="S206" s="4"/>
      <c r="T206" s="5"/>
      <c r="U206" s="3"/>
      <c r="V206" s="3"/>
      <c r="W206" s="1"/>
    </row>
    <row r="207" spans="1:23">
      <c r="A207" s="8">
        <f>INDEX(Album!$A:$A, MATCH(B207,Album!$C:$C,0))</f>
        <v>19</v>
      </c>
      <c r="B207" t="s">
        <v>507</v>
      </c>
      <c r="C207">
        <f>INDEX(Album!$D:$D, MATCH(B207,Album!$C:$C,0))</f>
        <v>2014</v>
      </c>
      <c r="D207">
        <v>6</v>
      </c>
      <c r="E207" t="s">
        <v>217</v>
      </c>
      <c r="F207" t="s">
        <v>106</v>
      </c>
      <c r="G207" s="8">
        <v>6590839</v>
      </c>
      <c r="H207" t="s">
        <v>137</v>
      </c>
      <c r="I207" s="8" t="s">
        <v>2</v>
      </c>
      <c r="J207" s="8">
        <v>78</v>
      </c>
    </row>
    <row r="208" spans="1:23">
      <c r="A208" s="8">
        <f>INDEX(Album!$A:$A, MATCH(B208,Album!$C:$C,0))</f>
        <v>19</v>
      </c>
      <c r="B208" t="s">
        <v>507</v>
      </c>
      <c r="C208">
        <f>INDEX(Album!$D:$D, MATCH(B208,Album!$C:$C,0))</f>
        <v>2014</v>
      </c>
      <c r="D208">
        <v>7</v>
      </c>
      <c r="E208" t="s">
        <v>218</v>
      </c>
      <c r="F208" t="s">
        <v>106</v>
      </c>
      <c r="G208" s="8">
        <v>5242683</v>
      </c>
      <c r="H208" t="s">
        <v>54</v>
      </c>
      <c r="I208" s="8" t="s">
        <v>7</v>
      </c>
      <c r="J208" s="8">
        <v>83</v>
      </c>
    </row>
    <row r="209" spans="1:23">
      <c r="A209" s="8">
        <f>INDEX(Album!$A:$A, MATCH(B209,Album!$C:$C,0))</f>
        <v>19</v>
      </c>
      <c r="B209" t="s">
        <v>507</v>
      </c>
      <c r="C209">
        <f>INDEX(Album!$D:$D, MATCH(B209,Album!$C:$C,0))</f>
        <v>2014</v>
      </c>
      <c r="D209">
        <v>8</v>
      </c>
      <c r="E209" t="s">
        <v>219</v>
      </c>
      <c r="F209" t="s">
        <v>106</v>
      </c>
      <c r="G209" s="8">
        <v>17827</v>
      </c>
      <c r="H209" t="s">
        <v>220</v>
      </c>
      <c r="I209" s="8" t="s">
        <v>0</v>
      </c>
      <c r="J209" s="8">
        <v>71</v>
      </c>
    </row>
    <row r="210" spans="1:23">
      <c r="A210" s="8">
        <f>INDEX(Album!$A:$A, MATCH(B210,Album!$C:$C,0))</f>
        <v>19</v>
      </c>
      <c r="B210" t="s">
        <v>507</v>
      </c>
      <c r="C210">
        <f>INDEX(Album!$D:$D, MATCH(B210,Album!$C:$C,0))</f>
        <v>2014</v>
      </c>
      <c r="D210">
        <v>9</v>
      </c>
      <c r="E210" t="s">
        <v>221</v>
      </c>
      <c r="F210" t="s">
        <v>106</v>
      </c>
      <c r="G210" s="8">
        <v>5720105</v>
      </c>
      <c r="H210" t="s">
        <v>222</v>
      </c>
      <c r="I210" s="8" t="s">
        <v>15</v>
      </c>
      <c r="J210" s="8">
        <v>73</v>
      </c>
    </row>
    <row r="211" spans="1:23">
      <c r="A211" s="8">
        <f>INDEX(Album!$A:$A, MATCH(B211,Album!$C:$C,0))</f>
        <v>19</v>
      </c>
      <c r="B211" t="s">
        <v>507</v>
      </c>
      <c r="C211">
        <f>INDEX(Album!$D:$D, MATCH(B211,Album!$C:$C,0))</f>
        <v>2014</v>
      </c>
      <c r="D211">
        <v>10</v>
      </c>
      <c r="E211" t="s">
        <v>223</v>
      </c>
      <c r="F211" t="s">
        <v>106</v>
      </c>
      <c r="G211" s="8">
        <v>4611679</v>
      </c>
      <c r="H211" t="s">
        <v>51</v>
      </c>
      <c r="I211" s="8" t="s">
        <v>18</v>
      </c>
      <c r="J211" s="8">
        <v>74</v>
      </c>
    </row>
    <row r="212" spans="1:23">
      <c r="A212" s="8">
        <f>INDEX(Album!$A:$A, MATCH(B212,Album!$C:$C,0))</f>
        <v>20</v>
      </c>
      <c r="B212" t="s">
        <v>32</v>
      </c>
      <c r="C212">
        <f>INDEX(Album!$D:$D, MATCH(B212,Album!$C:$C,0))</f>
        <v>2014</v>
      </c>
      <c r="D212">
        <v>1</v>
      </c>
      <c r="E212" t="s">
        <v>224</v>
      </c>
      <c r="F212" t="s">
        <v>106</v>
      </c>
      <c r="G212" s="8">
        <v>5894275</v>
      </c>
      <c r="H212" t="s">
        <v>107</v>
      </c>
      <c r="I212" s="8" t="s">
        <v>15</v>
      </c>
      <c r="J212" s="8">
        <v>77</v>
      </c>
    </row>
    <row r="213" spans="1:23">
      <c r="A213" s="8">
        <f>INDEX(Album!$A:$A, MATCH(B213,Album!$C:$C,0))</f>
        <v>20</v>
      </c>
      <c r="B213" t="s">
        <v>32</v>
      </c>
      <c r="C213">
        <f>INDEX(Album!$D:$D, MATCH(B213,Album!$C:$C,0))</f>
        <v>2014</v>
      </c>
      <c r="D213">
        <v>2</v>
      </c>
      <c r="E213" t="s">
        <v>225</v>
      </c>
      <c r="F213" t="s">
        <v>106</v>
      </c>
      <c r="G213" s="8">
        <v>5337172</v>
      </c>
      <c r="H213" t="s">
        <v>226</v>
      </c>
      <c r="I213" s="8" t="s">
        <v>18</v>
      </c>
      <c r="J213" s="8">
        <v>118</v>
      </c>
      <c r="P213" s="2"/>
      <c r="Q213" s="2"/>
      <c r="R213" s="3"/>
      <c r="S213" s="4"/>
      <c r="T213" s="5"/>
      <c r="U213" s="3"/>
      <c r="V213" s="7"/>
      <c r="W213" s="1"/>
    </row>
    <row r="214" spans="1:23">
      <c r="A214" s="8">
        <f>INDEX(Album!$A:$A, MATCH(B214,Album!$C:$C,0))</f>
        <v>20</v>
      </c>
      <c r="B214" t="s">
        <v>32</v>
      </c>
      <c r="C214">
        <f>INDEX(Album!$D:$D, MATCH(B214,Album!$C:$C,0))</f>
        <v>2014</v>
      </c>
      <c r="D214">
        <v>3</v>
      </c>
      <c r="E214" t="s">
        <v>227</v>
      </c>
      <c r="F214" t="s">
        <v>106</v>
      </c>
      <c r="G214" s="8">
        <v>7000686</v>
      </c>
      <c r="H214" t="s">
        <v>47</v>
      </c>
      <c r="I214" s="8" t="s">
        <v>18</v>
      </c>
      <c r="J214" s="8">
        <v>78</v>
      </c>
    </row>
    <row r="215" spans="1:23">
      <c r="A215" s="8">
        <f>INDEX(Album!$A:$A, MATCH(B215,Album!$C:$C,0))</f>
        <v>20</v>
      </c>
      <c r="B215" t="s">
        <v>32</v>
      </c>
      <c r="C215">
        <f>INDEX(Album!$D:$D, MATCH(B215,Album!$C:$C,0))</f>
        <v>2014</v>
      </c>
      <c r="D215">
        <v>4</v>
      </c>
      <c r="E215" t="s">
        <v>228</v>
      </c>
      <c r="F215" t="s">
        <v>106</v>
      </c>
      <c r="G215" s="8">
        <v>7029242</v>
      </c>
      <c r="H215" t="s">
        <v>137</v>
      </c>
      <c r="I215" s="8" t="s">
        <v>18</v>
      </c>
      <c r="J215" s="8">
        <v>66</v>
      </c>
    </row>
    <row r="216" spans="1:23">
      <c r="A216" s="8">
        <f>INDEX(Album!$A:$A, MATCH(B216,Album!$C:$C,0))</f>
        <v>20</v>
      </c>
      <c r="B216" t="s">
        <v>32</v>
      </c>
      <c r="C216">
        <f>INDEX(Album!$D:$D, MATCH(B216,Album!$C:$C,0))</f>
        <v>2014</v>
      </c>
      <c r="D216">
        <v>5</v>
      </c>
      <c r="E216" t="s">
        <v>229</v>
      </c>
      <c r="F216" t="s">
        <v>106</v>
      </c>
      <c r="G216" s="8">
        <v>4219071</v>
      </c>
      <c r="H216" t="s">
        <v>230</v>
      </c>
      <c r="I216" s="8" t="s">
        <v>2</v>
      </c>
      <c r="J216" s="8">
        <v>70</v>
      </c>
      <c r="P216" s="2"/>
      <c r="Q216" s="2"/>
      <c r="R216" s="3"/>
      <c r="S216" s="4"/>
      <c r="T216" s="5"/>
      <c r="U216" s="3"/>
      <c r="V216" s="7"/>
      <c r="W216" s="1"/>
    </row>
    <row r="217" spans="1:23">
      <c r="A217" s="8">
        <f>INDEX(Album!$A:$A, MATCH(B217,Album!$C:$C,0))</f>
        <v>20</v>
      </c>
      <c r="B217" t="s">
        <v>32</v>
      </c>
      <c r="C217">
        <f>INDEX(Album!$D:$D, MATCH(B217,Album!$C:$C,0))</f>
        <v>2014</v>
      </c>
      <c r="D217">
        <v>6</v>
      </c>
      <c r="E217" t="s">
        <v>231</v>
      </c>
      <c r="F217" t="s">
        <v>106</v>
      </c>
      <c r="G217" s="8">
        <v>5183443</v>
      </c>
      <c r="H217" t="s">
        <v>53</v>
      </c>
      <c r="I217" s="8" t="s">
        <v>4</v>
      </c>
      <c r="J217" s="8">
        <v>86</v>
      </c>
      <c r="P217" s="2"/>
      <c r="Q217" s="2"/>
      <c r="R217" s="3"/>
      <c r="S217" s="4"/>
      <c r="T217" s="5"/>
      <c r="U217" s="3"/>
      <c r="V217" s="7"/>
      <c r="W217" s="1"/>
    </row>
    <row r="218" spans="1:23">
      <c r="A218" s="8">
        <f>INDEX(Album!$A:$A, MATCH(B218,Album!$C:$C,0))</f>
        <v>20</v>
      </c>
      <c r="B218" t="s">
        <v>32</v>
      </c>
      <c r="C218">
        <f>INDEX(Album!$D:$D, MATCH(B218,Album!$C:$C,0))</f>
        <v>2014</v>
      </c>
      <c r="D218">
        <v>7</v>
      </c>
      <c r="E218" t="s">
        <v>232</v>
      </c>
      <c r="F218" t="s">
        <v>106</v>
      </c>
      <c r="G218" s="8">
        <v>5183450</v>
      </c>
      <c r="H218" t="s">
        <v>53</v>
      </c>
      <c r="I218" s="8" t="s">
        <v>4</v>
      </c>
      <c r="J218" s="8">
        <v>77</v>
      </c>
      <c r="P218" s="2"/>
      <c r="Q218" s="2"/>
      <c r="R218" s="3"/>
      <c r="S218" s="3"/>
      <c r="T218" s="5"/>
      <c r="U218" s="3"/>
      <c r="V218" s="3"/>
      <c r="W218" s="1"/>
    </row>
    <row r="219" spans="1:23">
      <c r="A219" s="8">
        <f>INDEX(Album!$A:$A, MATCH(B219,Album!$C:$C,0))</f>
        <v>20</v>
      </c>
      <c r="B219" t="s">
        <v>32</v>
      </c>
      <c r="C219">
        <f>INDEX(Album!$D:$D, MATCH(B219,Album!$C:$C,0))</f>
        <v>2014</v>
      </c>
      <c r="D219">
        <v>8</v>
      </c>
      <c r="E219" t="s">
        <v>233</v>
      </c>
      <c r="F219" t="s">
        <v>106</v>
      </c>
      <c r="G219" s="8">
        <v>3118757</v>
      </c>
      <c r="H219" t="s">
        <v>234</v>
      </c>
      <c r="I219" s="8" t="s">
        <v>0</v>
      </c>
      <c r="J219" s="8">
        <v>84</v>
      </c>
      <c r="P219" s="2"/>
      <c r="Q219" s="2"/>
      <c r="R219" s="3"/>
      <c r="S219" s="4"/>
      <c r="T219" s="5"/>
      <c r="U219" s="3"/>
      <c r="V219" s="7"/>
      <c r="W219" s="1"/>
    </row>
    <row r="220" spans="1:23">
      <c r="A220" s="8">
        <f>INDEX(Album!$A:$A, MATCH(B220,Album!$C:$C,0))</f>
        <v>20</v>
      </c>
      <c r="B220" t="s">
        <v>32</v>
      </c>
      <c r="C220">
        <f>INDEX(Album!$D:$D, MATCH(B220,Album!$C:$C,0))</f>
        <v>2014</v>
      </c>
      <c r="D220">
        <v>9</v>
      </c>
      <c r="E220" t="s">
        <v>235</v>
      </c>
      <c r="F220" t="s">
        <v>236</v>
      </c>
      <c r="G220" s="8">
        <v>2456623</v>
      </c>
      <c r="H220" t="s">
        <v>107</v>
      </c>
      <c r="I220" s="8" t="s">
        <v>20</v>
      </c>
      <c r="J220" s="8">
        <v>70</v>
      </c>
      <c r="P220" s="2"/>
      <c r="Q220" s="2"/>
      <c r="R220" s="3"/>
      <c r="S220" s="4"/>
      <c r="T220" s="5"/>
      <c r="U220" s="3"/>
      <c r="V220" s="7"/>
      <c r="W220" s="1"/>
    </row>
    <row r="221" spans="1:23">
      <c r="A221" s="8">
        <f>INDEX(Album!$A:$A, MATCH(B221,Album!$C:$C,0))</f>
        <v>20</v>
      </c>
      <c r="B221" t="s">
        <v>32</v>
      </c>
      <c r="C221">
        <f>INDEX(Album!$D:$D, MATCH(B221,Album!$C:$C,0))</f>
        <v>2014</v>
      </c>
      <c r="D221">
        <v>10</v>
      </c>
      <c r="E221" t="s">
        <v>237</v>
      </c>
      <c r="F221" t="s">
        <v>106</v>
      </c>
      <c r="G221" s="8">
        <v>1558110</v>
      </c>
      <c r="H221" t="s">
        <v>48</v>
      </c>
      <c r="I221" s="8" t="s">
        <v>12</v>
      </c>
      <c r="J221" s="8">
        <v>65</v>
      </c>
      <c r="P221" s="2"/>
      <c r="Q221" s="2"/>
      <c r="R221" s="3"/>
      <c r="S221" s="3"/>
      <c r="T221" s="5"/>
      <c r="U221" s="3"/>
      <c r="V221" s="7"/>
      <c r="W221" s="1"/>
    </row>
    <row r="222" spans="1:23">
      <c r="A222" s="8">
        <f>INDEX(Album!$A:$A, MATCH(B222,Album!$C:$C,0))</f>
        <v>21</v>
      </c>
      <c r="B222" t="s">
        <v>509</v>
      </c>
      <c r="C222">
        <f>INDEX(Album!$D:$D, MATCH(B222,Album!$C:$C,0))</f>
        <v>2015</v>
      </c>
      <c r="D222">
        <v>1</v>
      </c>
      <c r="E222" t="s">
        <v>459</v>
      </c>
      <c r="F222" t="s">
        <v>460</v>
      </c>
      <c r="G222" s="8">
        <v>7053138</v>
      </c>
      <c r="H222" t="s">
        <v>137</v>
      </c>
      <c r="I222" t="s">
        <v>7</v>
      </c>
      <c r="J222">
        <v>69</v>
      </c>
      <c r="K222"/>
    </row>
    <row r="223" spans="1:23">
      <c r="A223" s="8">
        <f>INDEX(Album!$A:$A, MATCH(B223,Album!$C:$C,0))</f>
        <v>21</v>
      </c>
      <c r="B223" t="s">
        <v>509</v>
      </c>
      <c r="C223">
        <f>INDEX(Album!$D:$D, MATCH(B223,Album!$C:$C,0))</f>
        <v>2015</v>
      </c>
      <c r="D223">
        <v>2</v>
      </c>
      <c r="E223" t="s">
        <v>461</v>
      </c>
      <c r="F223" t="s">
        <v>462</v>
      </c>
      <c r="G223" s="8">
        <v>7054933</v>
      </c>
      <c r="H223" t="s">
        <v>137</v>
      </c>
      <c r="I223" t="s">
        <v>7</v>
      </c>
      <c r="J223">
        <v>106</v>
      </c>
      <c r="K223"/>
    </row>
    <row r="224" spans="1:23">
      <c r="A224" s="8">
        <f>INDEX(Album!$A:$A, MATCH(B224,Album!$C:$C,0))</f>
        <v>21</v>
      </c>
      <c r="B224" t="s">
        <v>509</v>
      </c>
      <c r="C224">
        <f>INDEX(Album!$D:$D, MATCH(B224,Album!$C:$C,0))</f>
        <v>2015</v>
      </c>
      <c r="D224">
        <v>3</v>
      </c>
      <c r="E224" t="s">
        <v>463</v>
      </c>
      <c r="F224" t="s">
        <v>464</v>
      </c>
      <c r="G224" s="8">
        <v>7054932</v>
      </c>
      <c r="H224" t="s">
        <v>137</v>
      </c>
      <c r="I224" t="s">
        <v>20</v>
      </c>
      <c r="J224">
        <v>57</v>
      </c>
      <c r="K224"/>
    </row>
    <row r="225" spans="1:23">
      <c r="A225" s="8">
        <f>INDEX(Album!$A:$A, MATCH(B225,Album!$C:$C,0))</f>
        <v>21</v>
      </c>
      <c r="B225" t="s">
        <v>509</v>
      </c>
      <c r="C225">
        <f>INDEX(Album!$D:$D, MATCH(B225,Album!$C:$C,0))</f>
        <v>2015</v>
      </c>
      <c r="D225">
        <v>4</v>
      </c>
      <c r="E225" t="s">
        <v>465</v>
      </c>
      <c r="F225" t="s">
        <v>466</v>
      </c>
      <c r="G225" s="8">
        <v>7054928</v>
      </c>
      <c r="H225" t="s">
        <v>137</v>
      </c>
      <c r="I225" t="s">
        <v>20</v>
      </c>
      <c r="J225">
        <v>97</v>
      </c>
      <c r="K225"/>
    </row>
    <row r="226" spans="1:23">
      <c r="A226" s="8">
        <f>INDEX(Album!$A:$A, MATCH(B226,Album!$C:$C,0))</f>
        <v>21</v>
      </c>
      <c r="B226" t="s">
        <v>509</v>
      </c>
      <c r="C226">
        <f>INDEX(Album!$D:$D, MATCH(B226,Album!$C:$C,0))</f>
        <v>2015</v>
      </c>
      <c r="D226">
        <v>5</v>
      </c>
      <c r="E226" t="s">
        <v>467</v>
      </c>
      <c r="F226" t="s">
        <v>468</v>
      </c>
      <c r="G226" s="8">
        <v>7054936</v>
      </c>
      <c r="H226" t="s">
        <v>137</v>
      </c>
      <c r="I226" t="s">
        <v>20</v>
      </c>
      <c r="J226">
        <v>107</v>
      </c>
      <c r="K226"/>
    </row>
    <row r="227" spans="1:23">
      <c r="A227" s="8">
        <f>INDEX(Album!$A:$A, MATCH(B227,Album!$C:$C,0))</f>
        <v>21</v>
      </c>
      <c r="B227" t="s">
        <v>509</v>
      </c>
      <c r="C227">
        <f>INDEX(Album!$D:$D, MATCH(B227,Album!$C:$C,0))</f>
        <v>2015</v>
      </c>
      <c r="D227">
        <v>6</v>
      </c>
      <c r="E227" t="s">
        <v>469</v>
      </c>
      <c r="F227" t="s">
        <v>470</v>
      </c>
      <c r="G227" s="8">
        <v>7054935</v>
      </c>
      <c r="H227" t="s">
        <v>137</v>
      </c>
      <c r="I227" t="s">
        <v>20</v>
      </c>
      <c r="J227">
        <v>123</v>
      </c>
      <c r="K227"/>
    </row>
    <row r="228" spans="1:23">
      <c r="A228" s="8">
        <f>INDEX(Album!$A:$A, MATCH(B228,Album!$C:$C,0))</f>
        <v>21</v>
      </c>
      <c r="B228" t="s">
        <v>509</v>
      </c>
      <c r="C228">
        <f>INDEX(Album!$D:$D, MATCH(B228,Album!$C:$C,0))</f>
        <v>2015</v>
      </c>
      <c r="D228">
        <v>7</v>
      </c>
      <c r="E228" t="s">
        <v>471</v>
      </c>
      <c r="F228" t="s">
        <v>472</v>
      </c>
      <c r="G228" s="8" t="s">
        <v>46</v>
      </c>
      <c r="H228" t="s">
        <v>137</v>
      </c>
      <c r="I228" t="s">
        <v>15</v>
      </c>
      <c r="J228">
        <v>62</v>
      </c>
      <c r="K228"/>
    </row>
    <row r="229" spans="1:23">
      <c r="A229" s="8">
        <f>INDEX(Album!$A:$A, MATCH(B229,Album!$C:$C,0))</f>
        <v>21</v>
      </c>
      <c r="B229" t="s">
        <v>509</v>
      </c>
      <c r="C229">
        <f>INDEX(Album!$D:$D, MATCH(B229,Album!$C:$C,0))</f>
        <v>2015</v>
      </c>
      <c r="D229">
        <v>8</v>
      </c>
      <c r="E229" t="s">
        <v>473</v>
      </c>
      <c r="F229" t="s">
        <v>474</v>
      </c>
      <c r="G229" s="8">
        <v>7054927</v>
      </c>
      <c r="H229" t="s">
        <v>137</v>
      </c>
      <c r="I229" t="s">
        <v>4</v>
      </c>
      <c r="J229">
        <v>73</v>
      </c>
      <c r="K229"/>
    </row>
    <row r="230" spans="1:23">
      <c r="A230" s="8">
        <f>INDEX(Album!$A:$A, MATCH(B230,Album!$C:$C,0))</f>
        <v>21</v>
      </c>
      <c r="B230" t="s">
        <v>509</v>
      </c>
      <c r="C230">
        <f>INDEX(Album!$D:$D, MATCH(B230,Album!$C:$C,0))</f>
        <v>2015</v>
      </c>
      <c r="D230">
        <v>9</v>
      </c>
      <c r="E230" t="s">
        <v>475</v>
      </c>
      <c r="F230" t="s">
        <v>476</v>
      </c>
      <c r="G230" s="8">
        <v>7054929</v>
      </c>
      <c r="H230" t="s">
        <v>137</v>
      </c>
      <c r="I230" t="s">
        <v>4</v>
      </c>
      <c r="J230">
        <v>123</v>
      </c>
      <c r="K230"/>
    </row>
    <row r="231" spans="1:23">
      <c r="A231" s="8">
        <f>INDEX(Album!$A:$A, MATCH(B231,Album!$C:$C,0))</f>
        <v>21</v>
      </c>
      <c r="B231" t="s">
        <v>509</v>
      </c>
      <c r="C231">
        <f>INDEX(Album!$D:$D, MATCH(B231,Album!$C:$C,0))</f>
        <v>2015</v>
      </c>
      <c r="D231">
        <v>10</v>
      </c>
      <c r="E231" t="s">
        <v>477</v>
      </c>
      <c r="F231" t="s">
        <v>106</v>
      </c>
      <c r="G231" s="8">
        <v>7057211</v>
      </c>
      <c r="H231" t="s">
        <v>137</v>
      </c>
      <c r="I231" t="s">
        <v>4</v>
      </c>
      <c r="J231">
        <v>60</v>
      </c>
      <c r="K231"/>
    </row>
    <row r="232" spans="1:23">
      <c r="A232" s="8">
        <f>INDEX(Album!$A:$A, MATCH(B232,Album!$C:$C,0))</f>
        <v>21</v>
      </c>
      <c r="B232" t="s">
        <v>509</v>
      </c>
      <c r="C232">
        <f>INDEX(Album!$D:$D, MATCH(B232,Album!$C:$C,0))</f>
        <v>2015</v>
      </c>
      <c r="D232">
        <v>11</v>
      </c>
      <c r="E232" t="s">
        <v>478</v>
      </c>
      <c r="F232" t="s">
        <v>479</v>
      </c>
      <c r="G232" s="8">
        <v>7054931</v>
      </c>
      <c r="H232" t="s">
        <v>137</v>
      </c>
      <c r="I232" t="s">
        <v>2</v>
      </c>
      <c r="J232">
        <v>69</v>
      </c>
      <c r="K232"/>
    </row>
    <row r="233" spans="1:23">
      <c r="A233" s="8">
        <f>INDEX(Album!$A:$A, MATCH(B233,Album!$C:$C,0))</f>
        <v>21</v>
      </c>
      <c r="B233" t="s">
        <v>509</v>
      </c>
      <c r="C233">
        <f>INDEX(Album!$D:$D, MATCH(B233,Album!$C:$C,0))</f>
        <v>2015</v>
      </c>
      <c r="D233">
        <v>12</v>
      </c>
      <c r="E233" t="s">
        <v>480</v>
      </c>
      <c r="F233" t="s">
        <v>481</v>
      </c>
      <c r="G233" s="8">
        <v>7054930</v>
      </c>
      <c r="H233" t="s">
        <v>137</v>
      </c>
      <c r="I233" t="s">
        <v>2</v>
      </c>
      <c r="J233">
        <v>55</v>
      </c>
      <c r="K233"/>
    </row>
    <row r="234" spans="1:23">
      <c r="A234" s="8">
        <f>INDEX(Album!$A:$A, MATCH(B234,Album!$C:$C,0))</f>
        <v>22</v>
      </c>
      <c r="B234" s="8" t="s">
        <v>29</v>
      </c>
      <c r="C234">
        <f>INDEX(Album!$D:$D, MATCH(B234,Album!$C:$C,0))</f>
        <v>2015</v>
      </c>
      <c r="D234" s="8">
        <v>1</v>
      </c>
      <c r="E234" t="s">
        <v>238</v>
      </c>
      <c r="F234" t="s">
        <v>106</v>
      </c>
      <c r="G234" s="8">
        <v>7041770</v>
      </c>
      <c r="H234" t="s">
        <v>137</v>
      </c>
      <c r="I234" s="8" t="s">
        <v>20</v>
      </c>
      <c r="J234" s="8">
        <v>61</v>
      </c>
      <c r="M234" s="23"/>
      <c r="N234" s="1"/>
      <c r="O234" s="1"/>
      <c r="P234" s="1"/>
      <c r="Q234" s="6"/>
      <c r="R234" s="6"/>
      <c r="S234" s="6"/>
      <c r="T234" s="6"/>
      <c r="U234" s="6"/>
      <c r="V234" s="6"/>
      <c r="W234" s="1"/>
    </row>
    <row r="235" spans="1:23">
      <c r="A235" s="8">
        <f>INDEX(Album!$A:$A, MATCH(B235,Album!$C:$C,0))</f>
        <v>22</v>
      </c>
      <c r="B235" s="8" t="s">
        <v>29</v>
      </c>
      <c r="C235">
        <f>INDEX(Album!$D:$D, MATCH(B235,Album!$C:$C,0))</f>
        <v>2015</v>
      </c>
      <c r="D235" s="8">
        <v>2</v>
      </c>
      <c r="E235" t="s">
        <v>239</v>
      </c>
      <c r="F235" t="s">
        <v>106</v>
      </c>
      <c r="G235" s="8">
        <v>7030072</v>
      </c>
      <c r="H235" t="s">
        <v>185</v>
      </c>
      <c r="I235" s="8" t="s">
        <v>20</v>
      </c>
      <c r="J235" s="8">
        <v>63</v>
      </c>
      <c r="M235" s="23"/>
      <c r="N235" s="1"/>
      <c r="O235" s="1"/>
      <c r="P235" s="1"/>
      <c r="Q235" s="6"/>
      <c r="R235" s="6"/>
      <c r="S235" s="6"/>
      <c r="T235" s="6"/>
      <c r="U235" s="6"/>
      <c r="V235" s="6"/>
      <c r="W235" s="1"/>
    </row>
    <row r="236" spans="1:23">
      <c r="A236" s="8">
        <f>INDEX(Album!$A:$A, MATCH(B236,Album!$C:$C,0))</f>
        <v>22</v>
      </c>
      <c r="B236" s="8" t="s">
        <v>29</v>
      </c>
      <c r="C236">
        <f>INDEX(Album!$D:$D, MATCH(B236,Album!$C:$C,0))</f>
        <v>2015</v>
      </c>
      <c r="D236" s="8">
        <v>3</v>
      </c>
      <c r="E236" t="s">
        <v>240</v>
      </c>
      <c r="F236" t="s">
        <v>106</v>
      </c>
      <c r="G236" s="8">
        <v>7018338</v>
      </c>
      <c r="H236" t="s">
        <v>107</v>
      </c>
      <c r="I236" s="8" t="s">
        <v>2</v>
      </c>
      <c r="J236" s="8">
        <v>72</v>
      </c>
      <c r="M236" s="23"/>
      <c r="N236" s="1"/>
      <c r="O236" s="1"/>
      <c r="P236" s="1"/>
      <c r="Q236" s="6"/>
      <c r="R236" s="6"/>
      <c r="S236" s="6"/>
      <c r="T236" s="6"/>
      <c r="U236" s="6"/>
      <c r="V236" s="6"/>
      <c r="W236" s="1"/>
    </row>
    <row r="237" spans="1:23">
      <c r="A237" s="8">
        <f>INDEX(Album!$A:$A, MATCH(B237,Album!$C:$C,0))</f>
        <v>22</v>
      </c>
      <c r="B237" s="8" t="s">
        <v>29</v>
      </c>
      <c r="C237">
        <f>INDEX(Album!$D:$D, MATCH(B237,Album!$C:$C,0))</f>
        <v>2015</v>
      </c>
      <c r="D237" s="8">
        <v>4</v>
      </c>
      <c r="E237" t="s">
        <v>241</v>
      </c>
      <c r="F237" t="s">
        <v>106</v>
      </c>
      <c r="G237" s="8">
        <v>6428750</v>
      </c>
      <c r="H237" t="s">
        <v>242</v>
      </c>
      <c r="I237" s="8" t="s">
        <v>2</v>
      </c>
      <c r="J237" s="8">
        <v>127</v>
      </c>
      <c r="M237" s="23"/>
      <c r="P237" s="2"/>
      <c r="Q237" s="2"/>
      <c r="R237" s="3"/>
      <c r="S237" s="4"/>
      <c r="T237" s="5"/>
      <c r="U237" s="3"/>
      <c r="V237" s="3"/>
      <c r="W237" s="1"/>
    </row>
    <row r="238" spans="1:23">
      <c r="A238" s="8">
        <f>INDEX(Album!$A:$A, MATCH(B238,Album!$C:$C,0))</f>
        <v>22</v>
      </c>
      <c r="B238" s="8" t="s">
        <v>29</v>
      </c>
      <c r="C238">
        <f>INDEX(Album!$D:$D, MATCH(B238,Album!$C:$C,0))</f>
        <v>2015</v>
      </c>
      <c r="D238" s="8">
        <v>5</v>
      </c>
      <c r="E238" t="s">
        <v>182</v>
      </c>
      <c r="F238" t="s">
        <v>243</v>
      </c>
      <c r="G238" s="8">
        <v>7001228</v>
      </c>
      <c r="H238" t="s">
        <v>177</v>
      </c>
      <c r="I238" s="8" t="s">
        <v>2</v>
      </c>
      <c r="J238" s="8">
        <v>74</v>
      </c>
      <c r="M238" s="23"/>
      <c r="P238" s="2"/>
      <c r="Q238" s="2"/>
      <c r="R238" s="3"/>
      <c r="S238" s="3"/>
      <c r="T238" s="5"/>
      <c r="U238" s="3"/>
      <c r="V238" s="7"/>
      <c r="W238" s="1"/>
    </row>
    <row r="239" spans="1:23">
      <c r="A239" s="8">
        <f>INDEX(Album!$A:$A, MATCH(B239,Album!$C:$C,0))</f>
        <v>22</v>
      </c>
      <c r="B239" s="8" t="s">
        <v>29</v>
      </c>
      <c r="C239">
        <f>INDEX(Album!$D:$D, MATCH(B239,Album!$C:$C,0))</f>
        <v>2015</v>
      </c>
      <c r="D239" s="8">
        <v>6</v>
      </c>
      <c r="E239" t="s">
        <v>244</v>
      </c>
      <c r="F239" t="s">
        <v>106</v>
      </c>
      <c r="G239" s="8">
        <v>7028829</v>
      </c>
      <c r="H239" t="s">
        <v>53</v>
      </c>
      <c r="I239" s="8" t="s">
        <v>2</v>
      </c>
      <c r="J239" s="8">
        <v>81</v>
      </c>
      <c r="M239" s="23"/>
      <c r="N239" s="1"/>
      <c r="O239" s="1"/>
      <c r="P239" s="1"/>
      <c r="Q239" s="6"/>
      <c r="R239" s="6"/>
      <c r="S239" s="6"/>
      <c r="T239" s="6"/>
      <c r="U239" s="6"/>
      <c r="V239" s="6"/>
      <c r="W239" s="1"/>
    </row>
    <row r="240" spans="1:23">
      <c r="A240" s="8">
        <f>INDEX(Album!$A:$A, MATCH(B240,Album!$C:$C,0))</f>
        <v>22</v>
      </c>
      <c r="B240" s="8" t="s">
        <v>29</v>
      </c>
      <c r="C240">
        <f>INDEX(Album!$D:$D, MATCH(B240,Album!$C:$C,0))</f>
        <v>2015</v>
      </c>
      <c r="D240" s="8">
        <v>7</v>
      </c>
      <c r="E240" t="s">
        <v>245</v>
      </c>
      <c r="F240" t="s">
        <v>106</v>
      </c>
      <c r="G240" s="8">
        <v>7016414</v>
      </c>
      <c r="H240" t="s">
        <v>111</v>
      </c>
      <c r="I240" s="8" t="s">
        <v>2</v>
      </c>
      <c r="J240" s="8">
        <v>77</v>
      </c>
      <c r="M240" s="23"/>
      <c r="N240" s="1"/>
      <c r="O240" s="1"/>
      <c r="P240" s="1"/>
      <c r="Q240" s="6"/>
      <c r="R240" s="6"/>
      <c r="S240" s="6"/>
      <c r="T240" s="6"/>
      <c r="U240" s="6"/>
      <c r="V240" s="6"/>
      <c r="W240" s="1"/>
    </row>
    <row r="241" spans="1:23">
      <c r="A241" s="8">
        <f>INDEX(Album!$A:$A, MATCH(B241,Album!$C:$C,0))</f>
        <v>22</v>
      </c>
      <c r="B241" s="8" t="s">
        <v>29</v>
      </c>
      <c r="C241">
        <f>INDEX(Album!$D:$D, MATCH(B241,Album!$C:$C,0))</f>
        <v>2015</v>
      </c>
      <c r="D241" s="8">
        <v>8</v>
      </c>
      <c r="E241" t="s">
        <v>246</v>
      </c>
      <c r="F241" t="s">
        <v>106</v>
      </c>
      <c r="G241" s="8">
        <v>7003306</v>
      </c>
      <c r="H241" t="s">
        <v>247</v>
      </c>
      <c r="I241" s="8" t="s">
        <v>15</v>
      </c>
      <c r="J241" s="8">
        <v>138</v>
      </c>
      <c r="M241" s="23"/>
      <c r="N241" s="1"/>
      <c r="O241" s="1"/>
      <c r="P241" s="1"/>
      <c r="Q241" s="6"/>
      <c r="R241" s="6"/>
      <c r="S241" s="6"/>
      <c r="T241" s="6"/>
      <c r="U241" s="6"/>
      <c r="V241" s="6"/>
      <c r="W241" s="1"/>
    </row>
    <row r="242" spans="1:23">
      <c r="A242" s="8">
        <f>INDEX(Album!$A:$A, MATCH(B242,Album!$C:$C,0))</f>
        <v>22</v>
      </c>
      <c r="B242" s="8" t="s">
        <v>29</v>
      </c>
      <c r="C242">
        <f>INDEX(Album!$D:$D, MATCH(B242,Album!$C:$C,0))</f>
        <v>2015</v>
      </c>
      <c r="D242" s="8">
        <v>9</v>
      </c>
      <c r="E242" t="s">
        <v>248</v>
      </c>
      <c r="F242" t="s">
        <v>106</v>
      </c>
      <c r="G242" s="8">
        <v>6460220</v>
      </c>
      <c r="H242" t="s">
        <v>111</v>
      </c>
      <c r="I242" s="8" t="s">
        <v>15</v>
      </c>
      <c r="J242" s="8">
        <v>72</v>
      </c>
      <c r="M242" s="23"/>
      <c r="P242" s="2"/>
      <c r="Q242" s="2"/>
      <c r="R242" s="3"/>
      <c r="S242" s="9"/>
      <c r="T242" s="5"/>
      <c r="U242" s="3"/>
      <c r="V242" s="7"/>
      <c r="W242" s="1"/>
    </row>
    <row r="243" spans="1:23">
      <c r="A243" s="8">
        <f>INDEX(Album!$A:$A, MATCH(B243,Album!$C:$C,0))</f>
        <v>22</v>
      </c>
      <c r="B243" s="8" t="s">
        <v>29</v>
      </c>
      <c r="C243">
        <f>INDEX(Album!$D:$D, MATCH(B243,Album!$C:$C,0))</f>
        <v>2015</v>
      </c>
      <c r="D243" s="8">
        <v>10</v>
      </c>
      <c r="E243" t="s">
        <v>249</v>
      </c>
      <c r="F243" t="s">
        <v>106</v>
      </c>
      <c r="G243" s="8">
        <v>6476063</v>
      </c>
      <c r="H243" t="s">
        <v>107</v>
      </c>
      <c r="I243" s="8" t="s">
        <v>4</v>
      </c>
      <c r="J243" s="8">
        <v>71</v>
      </c>
      <c r="M243" s="23"/>
      <c r="P243" s="2"/>
      <c r="Q243" s="2"/>
      <c r="R243" s="3"/>
      <c r="S243" s="3"/>
      <c r="T243" s="5"/>
      <c r="U243" s="3"/>
      <c r="V243" s="3"/>
      <c r="W243" s="1"/>
    </row>
    <row r="244" spans="1:23">
      <c r="A244" s="8">
        <f>INDEX(Album!$A:$A, MATCH(B244,Album!$C:$C,0))</f>
        <v>23</v>
      </c>
      <c r="B244" t="s">
        <v>645</v>
      </c>
      <c r="C244">
        <f>INDEX(Album!$D:$D, MATCH(B244,Album!$C:$C,0))</f>
        <v>2016</v>
      </c>
      <c r="D244" s="8">
        <v>1</v>
      </c>
      <c r="E244" t="s">
        <v>516</v>
      </c>
      <c r="M244" s="23"/>
      <c r="P244" s="2"/>
      <c r="Q244" s="2"/>
      <c r="R244" s="3"/>
      <c r="S244" s="3"/>
      <c r="T244" s="5"/>
      <c r="U244" s="3"/>
      <c r="V244" s="3"/>
      <c r="W244" s="1"/>
    </row>
    <row r="245" spans="1:23">
      <c r="A245" s="8">
        <f>INDEX(Album!$A:$A, MATCH(B245,Album!$C:$C,0))</f>
        <v>23</v>
      </c>
      <c r="B245" t="s">
        <v>645</v>
      </c>
      <c r="C245">
        <f>INDEX(Album!$D:$D, MATCH(B245,Album!$C:$C,0))</f>
        <v>2016</v>
      </c>
      <c r="D245" s="8">
        <v>2</v>
      </c>
      <c r="E245" t="s">
        <v>517</v>
      </c>
      <c r="M245" s="23"/>
      <c r="P245" s="2"/>
      <c r="Q245" s="2"/>
      <c r="R245" s="3"/>
      <c r="S245" s="3"/>
      <c r="T245" s="5"/>
      <c r="U245" s="3"/>
      <c r="V245" s="3"/>
      <c r="W245" s="1"/>
    </row>
    <row r="246" spans="1:23">
      <c r="A246" s="8">
        <f>INDEX(Album!$A:$A, MATCH(B246,Album!$C:$C,0))</f>
        <v>23</v>
      </c>
      <c r="B246" t="s">
        <v>645</v>
      </c>
      <c r="C246">
        <f>INDEX(Album!$D:$D, MATCH(B246,Album!$C:$C,0))</f>
        <v>2016</v>
      </c>
      <c r="D246" s="8">
        <v>3</v>
      </c>
      <c r="E246" t="s">
        <v>518</v>
      </c>
      <c r="M246" s="23"/>
      <c r="P246" s="2"/>
      <c r="Q246" s="2"/>
      <c r="R246" s="3"/>
      <c r="S246" s="3"/>
      <c r="T246" s="5"/>
      <c r="U246" s="3"/>
      <c r="V246" s="3"/>
      <c r="W246" s="1"/>
    </row>
    <row r="247" spans="1:23">
      <c r="A247" s="8">
        <f>INDEX(Album!$A:$A, MATCH(B247,Album!$C:$C,0))</f>
        <v>23</v>
      </c>
      <c r="B247" t="s">
        <v>645</v>
      </c>
      <c r="C247">
        <f>INDEX(Album!$D:$D, MATCH(B247,Album!$C:$C,0))</f>
        <v>2016</v>
      </c>
      <c r="D247" s="8">
        <v>4</v>
      </c>
      <c r="E247" t="s">
        <v>519</v>
      </c>
      <c r="M247" s="23"/>
      <c r="P247" s="2"/>
      <c r="Q247" s="2"/>
      <c r="R247" s="3"/>
      <c r="S247" s="3"/>
      <c r="T247" s="5"/>
      <c r="U247" s="3"/>
      <c r="V247" s="3"/>
      <c r="W247" s="1"/>
    </row>
    <row r="248" spans="1:23">
      <c r="A248" s="8">
        <f>INDEX(Album!$A:$A, MATCH(B248,Album!$C:$C,0))</f>
        <v>23</v>
      </c>
      <c r="B248" t="s">
        <v>645</v>
      </c>
      <c r="C248">
        <f>INDEX(Album!$D:$D, MATCH(B248,Album!$C:$C,0))</f>
        <v>2016</v>
      </c>
      <c r="D248" s="8">
        <v>5</v>
      </c>
      <c r="E248" t="s">
        <v>520</v>
      </c>
      <c r="M248" s="23"/>
      <c r="P248" s="2"/>
      <c r="Q248" s="2"/>
      <c r="R248" s="3"/>
      <c r="S248" s="3"/>
      <c r="T248" s="5"/>
      <c r="U248" s="3"/>
      <c r="V248" s="3"/>
      <c r="W248" s="1"/>
    </row>
    <row r="249" spans="1:23">
      <c r="A249" s="8">
        <f>INDEX(Album!$A:$A, MATCH(B249,Album!$C:$C,0))</f>
        <v>23</v>
      </c>
      <c r="B249" t="s">
        <v>645</v>
      </c>
      <c r="C249">
        <f>INDEX(Album!$D:$D, MATCH(B249,Album!$C:$C,0))</f>
        <v>2016</v>
      </c>
      <c r="D249" s="8">
        <v>6</v>
      </c>
      <c r="E249" t="s">
        <v>521</v>
      </c>
      <c r="M249" s="23"/>
      <c r="P249" s="2"/>
      <c r="Q249" s="2"/>
      <c r="R249" s="3"/>
      <c r="S249" s="3"/>
      <c r="T249" s="5"/>
      <c r="U249" s="3"/>
      <c r="V249" s="3"/>
      <c r="W249" s="1"/>
    </row>
    <row r="250" spans="1:23">
      <c r="A250" s="8">
        <f>INDEX(Album!$A:$A, MATCH(B250,Album!$C:$C,0))</f>
        <v>23</v>
      </c>
      <c r="B250" t="s">
        <v>645</v>
      </c>
      <c r="C250">
        <f>INDEX(Album!$D:$D, MATCH(B250,Album!$C:$C,0))</f>
        <v>2016</v>
      </c>
      <c r="D250" s="8">
        <v>7</v>
      </c>
      <c r="E250" t="s">
        <v>522</v>
      </c>
      <c r="M250" s="23"/>
      <c r="P250" s="2"/>
      <c r="Q250" s="2"/>
      <c r="R250" s="3"/>
      <c r="S250" s="3"/>
      <c r="T250" s="5"/>
      <c r="U250" s="3"/>
      <c r="V250" s="3"/>
      <c r="W250" s="1"/>
    </row>
    <row r="251" spans="1:23">
      <c r="A251" s="8">
        <f>INDEX(Album!$A:$A, MATCH(B251,Album!$C:$C,0))</f>
        <v>23</v>
      </c>
      <c r="B251" t="s">
        <v>645</v>
      </c>
      <c r="C251">
        <f>INDEX(Album!$D:$D, MATCH(B251,Album!$C:$C,0))</f>
        <v>2016</v>
      </c>
      <c r="D251" s="8">
        <v>8</v>
      </c>
      <c r="E251" t="s">
        <v>523</v>
      </c>
      <c r="M251" s="23"/>
      <c r="P251" s="2"/>
      <c r="Q251" s="2"/>
      <c r="R251" s="3"/>
      <c r="S251" s="3"/>
      <c r="T251" s="5"/>
      <c r="U251" s="3"/>
      <c r="V251" s="3"/>
      <c r="W251" s="1"/>
    </row>
    <row r="252" spans="1:23">
      <c r="A252" s="8">
        <f>INDEX(Album!$A:$A, MATCH(B252,Album!$C:$C,0))</f>
        <v>23</v>
      </c>
      <c r="B252" t="s">
        <v>645</v>
      </c>
      <c r="C252">
        <f>INDEX(Album!$D:$D, MATCH(B252,Album!$C:$C,0))</f>
        <v>2016</v>
      </c>
      <c r="D252" s="8">
        <v>9</v>
      </c>
      <c r="E252" t="s">
        <v>524</v>
      </c>
      <c r="M252" s="23"/>
      <c r="P252" s="2"/>
      <c r="Q252" s="2"/>
      <c r="R252" s="3"/>
      <c r="S252" s="3"/>
      <c r="T252" s="5"/>
      <c r="U252" s="3"/>
      <c r="V252" s="3"/>
      <c r="W252" s="1"/>
    </row>
    <row r="253" spans="1:23">
      <c r="A253" s="8">
        <f>INDEX(Album!$A:$A, MATCH(B253,Album!$C:$C,0))</f>
        <v>23</v>
      </c>
      <c r="B253" t="s">
        <v>645</v>
      </c>
      <c r="C253">
        <f>INDEX(Album!$D:$D, MATCH(B253,Album!$C:$C,0))</f>
        <v>2016</v>
      </c>
      <c r="D253" s="8">
        <v>10</v>
      </c>
      <c r="E253" t="s">
        <v>250</v>
      </c>
      <c r="M253" s="23"/>
      <c r="P253" s="2"/>
      <c r="Q253" s="2"/>
      <c r="R253" s="3"/>
      <c r="S253" s="3"/>
      <c r="T253" s="5"/>
      <c r="U253" s="3"/>
      <c r="V253" s="3"/>
      <c r="W253" s="1"/>
    </row>
    <row r="254" spans="1:23">
      <c r="A254" s="8">
        <f>INDEX(Album!$A:$A, MATCH(B254,Album!$C:$C,0))</f>
        <v>23</v>
      </c>
      <c r="B254" t="s">
        <v>645</v>
      </c>
      <c r="C254">
        <f>INDEX(Album!$D:$D, MATCH(B254,Album!$C:$C,0))</f>
        <v>2016</v>
      </c>
      <c r="D254" s="8">
        <v>11</v>
      </c>
      <c r="E254" t="s">
        <v>287</v>
      </c>
      <c r="M254" s="23"/>
      <c r="P254" s="2"/>
      <c r="Q254" s="2"/>
      <c r="R254" s="3"/>
      <c r="S254" s="3"/>
      <c r="T254" s="5"/>
      <c r="U254" s="3"/>
      <c r="V254" s="3"/>
      <c r="W254" s="1"/>
    </row>
    <row r="255" spans="1:23">
      <c r="A255" s="8">
        <f>INDEX(Album!$A:$A, MATCH(B255,Album!$C:$C,0))</f>
        <v>23</v>
      </c>
      <c r="B255" t="s">
        <v>645</v>
      </c>
      <c r="C255">
        <f>INDEX(Album!$D:$D, MATCH(B255,Album!$C:$C,0))</f>
        <v>2016</v>
      </c>
      <c r="D255" s="8">
        <v>12</v>
      </c>
      <c r="E255" t="s">
        <v>261</v>
      </c>
      <c r="M255" s="23"/>
      <c r="P255" s="2"/>
      <c r="Q255" s="2"/>
      <c r="R255" s="3"/>
      <c r="S255" s="3"/>
      <c r="T255" s="5"/>
      <c r="U255" s="3"/>
      <c r="V255" s="3"/>
      <c r="W255" s="1"/>
    </row>
    <row r="256" spans="1:23">
      <c r="A256" s="8">
        <f>INDEX(Album!$A:$A, MATCH(B256,Album!$C:$C,0))</f>
        <v>23</v>
      </c>
      <c r="B256" t="s">
        <v>645</v>
      </c>
      <c r="C256">
        <f>INDEX(Album!$D:$D, MATCH(B256,Album!$C:$C,0))</f>
        <v>2016</v>
      </c>
      <c r="D256" s="8">
        <v>13</v>
      </c>
      <c r="E256" t="s">
        <v>136</v>
      </c>
      <c r="M256" s="23"/>
      <c r="P256" s="2"/>
      <c r="Q256" s="2"/>
      <c r="R256" s="3"/>
      <c r="S256" s="3"/>
      <c r="T256" s="5"/>
      <c r="U256" s="3"/>
      <c r="V256" s="3"/>
      <c r="W256" s="1"/>
    </row>
    <row r="257" spans="1:23">
      <c r="A257" s="8">
        <f>INDEX(Album!$A:$A, MATCH(B257,Album!$C:$C,0))</f>
        <v>24</v>
      </c>
      <c r="B257" t="s">
        <v>33</v>
      </c>
      <c r="C257">
        <f>INDEX(Album!$D:$D, MATCH(B257,Album!$C:$C,0))</f>
        <v>2016</v>
      </c>
      <c r="D257">
        <v>1</v>
      </c>
      <c r="E257" t="s">
        <v>250</v>
      </c>
      <c r="F257" t="s">
        <v>106</v>
      </c>
      <c r="G257" s="8">
        <v>7051511</v>
      </c>
      <c r="H257" t="s">
        <v>251</v>
      </c>
      <c r="I257" s="8" t="s">
        <v>20</v>
      </c>
      <c r="J257" s="8">
        <v>70</v>
      </c>
      <c r="P257" s="2"/>
      <c r="Q257" s="2"/>
      <c r="R257" s="3"/>
      <c r="S257" s="4"/>
      <c r="T257" s="5"/>
      <c r="U257" s="3"/>
      <c r="V257" s="3"/>
      <c r="W257" s="1"/>
    </row>
    <row r="258" spans="1:23">
      <c r="A258" s="8">
        <f>INDEX(Album!$A:$A, MATCH(B258,Album!$C:$C,0))</f>
        <v>24</v>
      </c>
      <c r="B258" t="s">
        <v>33</v>
      </c>
      <c r="C258">
        <f>INDEX(Album!$D:$D, MATCH(B258,Album!$C:$C,0))</f>
        <v>2016</v>
      </c>
      <c r="D258">
        <v>2</v>
      </c>
      <c r="E258" t="s">
        <v>252</v>
      </c>
      <c r="F258" t="s">
        <v>106</v>
      </c>
      <c r="G258" s="8">
        <v>6304702</v>
      </c>
      <c r="H258" t="s">
        <v>253</v>
      </c>
      <c r="I258" s="8" t="s">
        <v>20</v>
      </c>
      <c r="J258" s="8">
        <v>95</v>
      </c>
    </row>
    <row r="259" spans="1:23">
      <c r="A259" s="8">
        <f>INDEX(Album!$A:$A, MATCH(B259,Album!$C:$C,0))</f>
        <v>24</v>
      </c>
      <c r="B259" t="s">
        <v>33</v>
      </c>
      <c r="C259">
        <f>INDEX(Album!$D:$D, MATCH(B259,Album!$C:$C,0))</f>
        <v>2016</v>
      </c>
      <c r="D259">
        <v>3</v>
      </c>
      <c r="E259" t="s">
        <v>254</v>
      </c>
      <c r="F259" t="s">
        <v>106</v>
      </c>
      <c r="G259" s="8">
        <v>7054178</v>
      </c>
      <c r="H259" t="s">
        <v>255</v>
      </c>
      <c r="I259" s="8" t="s">
        <v>2</v>
      </c>
      <c r="J259" s="8">
        <v>70</v>
      </c>
      <c r="P259" s="2"/>
      <c r="Q259" s="2"/>
      <c r="R259" s="3"/>
      <c r="S259" s="4"/>
      <c r="T259" s="3"/>
      <c r="U259" s="3"/>
      <c r="V259" s="3"/>
      <c r="W259" s="1"/>
    </row>
    <row r="260" spans="1:23">
      <c r="A260" s="8">
        <f>INDEX(Album!$A:$A, MATCH(B260,Album!$C:$C,0))</f>
        <v>24</v>
      </c>
      <c r="B260" t="s">
        <v>33</v>
      </c>
      <c r="C260">
        <f>INDEX(Album!$D:$D, MATCH(B260,Album!$C:$C,0))</f>
        <v>2016</v>
      </c>
      <c r="D260">
        <v>4</v>
      </c>
      <c r="E260" t="s">
        <v>256</v>
      </c>
      <c r="F260" t="s">
        <v>106</v>
      </c>
      <c r="G260" s="8">
        <v>7036612</v>
      </c>
      <c r="H260" t="s">
        <v>257</v>
      </c>
      <c r="I260" s="8" t="s">
        <v>15</v>
      </c>
      <c r="J260" s="8">
        <v>72.5</v>
      </c>
      <c r="P260" s="2"/>
      <c r="Q260" s="2"/>
      <c r="R260" s="3"/>
      <c r="S260" s="4"/>
      <c r="T260" s="5"/>
      <c r="U260" s="3"/>
      <c r="V260" s="3"/>
      <c r="W260" s="1"/>
    </row>
    <row r="261" spans="1:23">
      <c r="A261" s="8">
        <f>INDEX(Album!$A:$A, MATCH(B261,Album!$C:$C,0))</f>
        <v>24</v>
      </c>
      <c r="B261" t="s">
        <v>33</v>
      </c>
      <c r="C261">
        <f>INDEX(Album!$D:$D, MATCH(B261,Album!$C:$C,0))</f>
        <v>2016</v>
      </c>
      <c r="D261">
        <v>5</v>
      </c>
      <c r="E261" t="s">
        <v>258</v>
      </c>
      <c r="F261" t="s">
        <v>106</v>
      </c>
      <c r="G261" s="8">
        <v>6087919</v>
      </c>
      <c r="H261" t="s">
        <v>259</v>
      </c>
      <c r="I261" s="8" t="s">
        <v>15</v>
      </c>
      <c r="J261" s="8">
        <v>72</v>
      </c>
    </row>
    <row r="262" spans="1:23">
      <c r="A262" s="8">
        <f>INDEX(Album!$A:$A, MATCH(B262,Album!$C:$C,0))</f>
        <v>24</v>
      </c>
      <c r="B262" t="s">
        <v>33</v>
      </c>
      <c r="C262">
        <f>INDEX(Album!$D:$D, MATCH(B262,Album!$C:$C,0))</f>
        <v>2016</v>
      </c>
      <c r="D262">
        <v>6</v>
      </c>
      <c r="E262" t="s">
        <v>258</v>
      </c>
      <c r="F262" t="s">
        <v>260</v>
      </c>
      <c r="G262" s="8">
        <v>6087919</v>
      </c>
      <c r="H262" t="s">
        <v>259</v>
      </c>
      <c r="I262" s="8" t="s">
        <v>20</v>
      </c>
      <c r="J262" s="8">
        <v>72</v>
      </c>
    </row>
    <row r="263" spans="1:23">
      <c r="A263" s="8">
        <f>INDEX(Album!$A:$A, MATCH(B263,Album!$C:$C,0))</f>
        <v>24</v>
      </c>
      <c r="B263" t="s">
        <v>33</v>
      </c>
      <c r="C263">
        <f>INDEX(Album!$D:$D, MATCH(B263,Album!$C:$C,0))</f>
        <v>2016</v>
      </c>
      <c r="D263">
        <v>7</v>
      </c>
      <c r="E263" t="s">
        <v>261</v>
      </c>
      <c r="F263" t="s">
        <v>106</v>
      </c>
      <c r="G263" s="8">
        <v>7030123</v>
      </c>
      <c r="H263" t="s">
        <v>262</v>
      </c>
      <c r="I263" s="8" t="s">
        <v>15</v>
      </c>
      <c r="J263" s="8">
        <v>74</v>
      </c>
      <c r="P263" s="2"/>
      <c r="Q263" s="2"/>
      <c r="R263" s="3"/>
      <c r="S263" s="4"/>
      <c r="T263" s="5"/>
      <c r="U263" s="3"/>
      <c r="V263" s="7"/>
      <c r="W263" s="1"/>
    </row>
    <row r="264" spans="1:23">
      <c r="A264" s="8">
        <f>INDEX(Album!$A:$A, MATCH(B264,Album!$C:$C,0))</f>
        <v>24</v>
      </c>
      <c r="B264" t="s">
        <v>33</v>
      </c>
      <c r="C264">
        <f>INDEX(Album!$D:$D, MATCH(B264,Album!$C:$C,0))</f>
        <v>2016</v>
      </c>
      <c r="D264">
        <v>8</v>
      </c>
      <c r="E264" t="s">
        <v>263</v>
      </c>
      <c r="F264" t="s">
        <v>264</v>
      </c>
      <c r="G264" s="8">
        <v>7017786</v>
      </c>
      <c r="H264" t="s">
        <v>53</v>
      </c>
      <c r="I264" s="8" t="s">
        <v>0</v>
      </c>
      <c r="J264" s="8">
        <v>73</v>
      </c>
      <c r="P264" s="2"/>
      <c r="Q264" s="2"/>
      <c r="R264" s="3"/>
      <c r="S264" s="3"/>
      <c r="T264" s="3"/>
      <c r="U264" s="3"/>
      <c r="V264" s="3"/>
      <c r="W264" s="1"/>
    </row>
    <row r="265" spans="1:23">
      <c r="A265" s="8">
        <f>INDEX(Album!$A:$A, MATCH(B265,Album!$C:$C,0))</f>
        <v>24</v>
      </c>
      <c r="B265" t="s">
        <v>33</v>
      </c>
      <c r="C265">
        <f>INDEX(Album!$D:$D, MATCH(B265,Album!$C:$C,0))</f>
        <v>2016</v>
      </c>
      <c r="D265">
        <v>9</v>
      </c>
      <c r="E265" t="s">
        <v>265</v>
      </c>
      <c r="F265" t="s">
        <v>106</v>
      </c>
      <c r="G265" s="8">
        <v>7032344</v>
      </c>
      <c r="H265" t="s">
        <v>266</v>
      </c>
      <c r="I265" s="8" t="s">
        <v>4</v>
      </c>
      <c r="J265" s="8">
        <v>78</v>
      </c>
    </row>
    <row r="266" spans="1:23">
      <c r="A266" s="8">
        <f>INDEX(Album!$A:$A, MATCH(B266,Album!$C:$C,0))</f>
        <v>24</v>
      </c>
      <c r="B266" t="s">
        <v>33</v>
      </c>
      <c r="C266">
        <f>INDEX(Album!$D:$D, MATCH(B266,Album!$C:$C,0))</f>
        <v>2016</v>
      </c>
      <c r="D266">
        <v>10</v>
      </c>
      <c r="E266" t="s">
        <v>267</v>
      </c>
      <c r="F266" t="s">
        <v>106</v>
      </c>
      <c r="G266" s="8">
        <v>6011370</v>
      </c>
      <c r="H266" t="s">
        <v>268</v>
      </c>
      <c r="I266" s="8" t="s">
        <v>4</v>
      </c>
      <c r="J266" s="8">
        <v>70</v>
      </c>
    </row>
    <row r="267" spans="1:23">
      <c r="A267" s="8">
        <f>INDEX(Album!$A:$A, MATCH(B267,Album!$C:$C,0))</f>
        <v>24</v>
      </c>
      <c r="B267" t="s">
        <v>33</v>
      </c>
      <c r="C267">
        <f>INDEX(Album!$D:$D, MATCH(B267,Album!$C:$C,0))</f>
        <v>2016</v>
      </c>
      <c r="D267">
        <v>11</v>
      </c>
      <c r="E267" t="s">
        <v>269</v>
      </c>
      <c r="F267" t="s">
        <v>106</v>
      </c>
      <c r="G267" s="8">
        <v>6327734</v>
      </c>
      <c r="H267" t="s">
        <v>268</v>
      </c>
      <c r="I267" s="8" t="s">
        <v>4</v>
      </c>
      <c r="J267" s="8">
        <v>76.5</v>
      </c>
    </row>
    <row r="268" spans="1:23">
      <c r="A268" s="8">
        <f>INDEX(Album!$A:$A, MATCH(B268,Album!$C:$C,0))</f>
        <v>25</v>
      </c>
      <c r="B268" s="8" t="s">
        <v>498</v>
      </c>
      <c r="C268">
        <f>INDEX(Album!$D:$D, MATCH(B268,Album!$C:$C,0))</f>
        <v>2017</v>
      </c>
      <c r="D268" s="8">
        <v>1</v>
      </c>
      <c r="E268" t="s">
        <v>3</v>
      </c>
      <c r="F268" t="s">
        <v>106</v>
      </c>
      <c r="G268" s="8">
        <v>27721</v>
      </c>
      <c r="H268" t="s">
        <v>106</v>
      </c>
      <c r="I268" t="s">
        <v>0</v>
      </c>
      <c r="J268">
        <v>100</v>
      </c>
      <c r="K268"/>
    </row>
    <row r="269" spans="1:23">
      <c r="A269" s="8">
        <f>INDEX(Album!$A:$A, MATCH(B269,Album!$C:$C,0))</f>
        <v>25</v>
      </c>
      <c r="B269" s="8" t="s">
        <v>498</v>
      </c>
      <c r="C269">
        <f>INDEX(Album!$D:$D, MATCH(B269,Album!$C:$C,0))</f>
        <v>2017</v>
      </c>
      <c r="D269" s="8">
        <v>2</v>
      </c>
      <c r="E269" t="s">
        <v>1</v>
      </c>
      <c r="F269" t="s">
        <v>106</v>
      </c>
      <c r="G269" s="8">
        <v>31054</v>
      </c>
      <c r="H269" t="s">
        <v>106</v>
      </c>
      <c r="I269" t="s">
        <v>0</v>
      </c>
      <c r="J269">
        <v>82</v>
      </c>
      <c r="K269"/>
    </row>
    <row r="270" spans="1:23">
      <c r="A270" s="8">
        <f>INDEX(Album!$A:$A, MATCH(B270,Album!$C:$C,0))</f>
        <v>25</v>
      </c>
      <c r="B270" s="8" t="s">
        <v>498</v>
      </c>
      <c r="C270">
        <f>INDEX(Album!$D:$D, MATCH(B270,Album!$C:$C,0))</f>
        <v>2017</v>
      </c>
      <c r="D270" s="8">
        <v>3</v>
      </c>
      <c r="E270" t="s">
        <v>5</v>
      </c>
      <c r="F270" t="s">
        <v>106</v>
      </c>
      <c r="G270" s="8">
        <v>29080</v>
      </c>
      <c r="H270" t="s">
        <v>106</v>
      </c>
      <c r="I270" t="s">
        <v>4</v>
      </c>
      <c r="J270">
        <v>60</v>
      </c>
      <c r="K270"/>
    </row>
    <row r="271" spans="1:23">
      <c r="A271" s="8">
        <f>INDEX(Album!$A:$A, MATCH(B271,Album!$C:$C,0))</f>
        <v>25</v>
      </c>
      <c r="B271" s="8" t="s">
        <v>498</v>
      </c>
      <c r="C271">
        <f>INDEX(Album!$D:$D, MATCH(B271,Album!$C:$C,0))</f>
        <v>2017</v>
      </c>
      <c r="D271" s="8">
        <v>4</v>
      </c>
      <c r="E271" t="s">
        <v>446</v>
      </c>
      <c r="F271" t="s">
        <v>116</v>
      </c>
      <c r="G271" s="8">
        <v>32015</v>
      </c>
      <c r="H271" t="s">
        <v>137</v>
      </c>
      <c r="I271" t="s">
        <v>2</v>
      </c>
      <c r="J271">
        <v>102</v>
      </c>
      <c r="K271"/>
    </row>
    <row r="272" spans="1:23">
      <c r="A272" s="8">
        <f>INDEX(Album!$A:$A, MATCH(B272,Album!$C:$C,0))</f>
        <v>25</v>
      </c>
      <c r="B272" s="8" t="s">
        <v>498</v>
      </c>
      <c r="C272">
        <f>INDEX(Album!$D:$D, MATCH(B272,Album!$C:$C,0))</f>
        <v>2017</v>
      </c>
      <c r="D272" s="8">
        <v>5</v>
      </c>
      <c r="E272" t="s">
        <v>8</v>
      </c>
      <c r="F272" t="s">
        <v>106</v>
      </c>
      <c r="G272" s="8">
        <v>24016</v>
      </c>
      <c r="H272" t="s">
        <v>106</v>
      </c>
      <c r="I272" t="s">
        <v>2</v>
      </c>
      <c r="J272">
        <v>110</v>
      </c>
      <c r="K272"/>
    </row>
    <row r="273" spans="1:11">
      <c r="A273" s="8">
        <f>INDEX(Album!$A:$A, MATCH(B273,Album!$C:$C,0))</f>
        <v>25</v>
      </c>
      <c r="B273" s="8" t="s">
        <v>498</v>
      </c>
      <c r="C273">
        <f>INDEX(Album!$D:$D, MATCH(B273,Album!$C:$C,0))</f>
        <v>2017</v>
      </c>
      <c r="D273" s="8">
        <v>6</v>
      </c>
      <c r="E273" t="s">
        <v>6</v>
      </c>
      <c r="F273" t="s">
        <v>106</v>
      </c>
      <c r="G273" s="8">
        <v>27862</v>
      </c>
      <c r="H273" t="s">
        <v>106</v>
      </c>
      <c r="I273" t="s">
        <v>2</v>
      </c>
      <c r="J273">
        <v>86</v>
      </c>
      <c r="K273"/>
    </row>
    <row r="274" spans="1:11">
      <c r="A274" s="8">
        <f>INDEX(Album!$A:$A, MATCH(B274,Album!$C:$C,0))</f>
        <v>25</v>
      </c>
      <c r="B274" s="8" t="s">
        <v>498</v>
      </c>
      <c r="C274">
        <f>INDEX(Album!$D:$D, MATCH(B274,Album!$C:$C,0))</f>
        <v>2017</v>
      </c>
      <c r="D274" s="8">
        <v>7</v>
      </c>
      <c r="E274" t="s">
        <v>447</v>
      </c>
      <c r="F274" t="s">
        <v>116</v>
      </c>
      <c r="G274" s="8">
        <v>31047</v>
      </c>
      <c r="H274" t="s">
        <v>137</v>
      </c>
      <c r="I274" t="s">
        <v>2</v>
      </c>
      <c r="J274">
        <v>79</v>
      </c>
      <c r="K274"/>
    </row>
    <row r="275" spans="1:11">
      <c r="A275" s="8">
        <f>INDEX(Album!$A:$A, MATCH(B275,Album!$C:$C,0))</f>
        <v>25</v>
      </c>
      <c r="B275" s="8" t="s">
        <v>498</v>
      </c>
      <c r="C275">
        <f>INDEX(Album!$D:$D, MATCH(B275,Album!$C:$C,0))</f>
        <v>2017</v>
      </c>
      <c r="D275" s="8">
        <v>8</v>
      </c>
      <c r="E275" t="s">
        <v>448</v>
      </c>
      <c r="F275" t="s">
        <v>116</v>
      </c>
      <c r="G275" s="8">
        <v>31982</v>
      </c>
      <c r="H275" t="s">
        <v>137</v>
      </c>
      <c r="I275" t="s">
        <v>0</v>
      </c>
      <c r="J275">
        <v>63</v>
      </c>
      <c r="K275"/>
    </row>
    <row r="276" spans="1:11">
      <c r="A276" s="8">
        <f>INDEX(Album!$A:$A, MATCH(B276,Album!$C:$C,0))</f>
        <v>25</v>
      </c>
      <c r="B276" s="8" t="s">
        <v>498</v>
      </c>
      <c r="C276">
        <f>INDEX(Album!$D:$D, MATCH(B276,Album!$C:$C,0))</f>
        <v>2017</v>
      </c>
      <c r="D276" s="8">
        <v>9</v>
      </c>
      <c r="E276" t="s">
        <v>449</v>
      </c>
      <c r="F276" t="s">
        <v>116</v>
      </c>
      <c r="H276" t="s">
        <v>137</v>
      </c>
      <c r="I276" t="s">
        <v>7</v>
      </c>
      <c r="J276">
        <v>106</v>
      </c>
      <c r="K276"/>
    </row>
    <row r="277" spans="1:11">
      <c r="A277" s="8">
        <f>INDEX(Album!$A:$A, MATCH(B277,Album!$C:$C,0))</f>
        <v>25</v>
      </c>
      <c r="B277" s="8" t="s">
        <v>498</v>
      </c>
      <c r="C277">
        <f>INDEX(Album!$D:$D, MATCH(B277,Album!$C:$C,0))</f>
        <v>2017</v>
      </c>
      <c r="D277" s="8">
        <v>10</v>
      </c>
      <c r="E277" t="s">
        <v>450</v>
      </c>
      <c r="F277" t="s">
        <v>106</v>
      </c>
      <c r="H277" t="s">
        <v>451</v>
      </c>
      <c r="I277" t="s">
        <v>7</v>
      </c>
      <c r="J277">
        <v>73</v>
      </c>
      <c r="K277"/>
    </row>
    <row r="278" spans="1:11">
      <c r="A278" s="8">
        <f>INDEX(Album!$A:$A, MATCH(B278,Album!$C:$C,0))</f>
        <v>26</v>
      </c>
      <c r="B278" t="s">
        <v>71</v>
      </c>
      <c r="C278">
        <f>INDEX(Album!$D:$D, MATCH(B278,Album!$C:$C,0))</f>
        <v>2017</v>
      </c>
      <c r="D278" s="8">
        <v>1</v>
      </c>
      <c r="E278" t="s">
        <v>11</v>
      </c>
      <c r="F278" t="s">
        <v>106</v>
      </c>
      <c r="G278" s="8">
        <v>31999</v>
      </c>
      <c r="H278" t="s">
        <v>106</v>
      </c>
      <c r="I278" t="s">
        <v>2</v>
      </c>
      <c r="J278">
        <v>68</v>
      </c>
      <c r="K278"/>
    </row>
    <row r="279" spans="1:11">
      <c r="A279" s="8">
        <f>INDEX(Album!$A:$A, MATCH(B279,Album!$C:$C,0))</f>
        <v>26</v>
      </c>
      <c r="B279" t="s">
        <v>71</v>
      </c>
      <c r="C279">
        <f>INDEX(Album!$D:$D, MATCH(B279,Album!$C:$C,0))</f>
        <v>2017</v>
      </c>
      <c r="D279" s="8">
        <v>2</v>
      </c>
      <c r="E279" t="s">
        <v>452</v>
      </c>
      <c r="F279" t="s">
        <v>438</v>
      </c>
      <c r="G279" s="8">
        <v>7036006</v>
      </c>
      <c r="H279" t="s">
        <v>109</v>
      </c>
      <c r="I279" t="s">
        <v>2</v>
      </c>
      <c r="J279">
        <v>145</v>
      </c>
      <c r="K279"/>
    </row>
    <row r="280" spans="1:11">
      <c r="A280" s="8">
        <f>INDEX(Album!$A:$A, MATCH(B280,Album!$C:$C,0))</f>
        <v>26</v>
      </c>
      <c r="B280" t="s">
        <v>71</v>
      </c>
      <c r="C280">
        <f>INDEX(Album!$D:$D, MATCH(B280,Album!$C:$C,0))</f>
        <v>2017</v>
      </c>
      <c r="D280" s="8">
        <v>3</v>
      </c>
      <c r="E280" t="s">
        <v>14</v>
      </c>
      <c r="F280" t="s">
        <v>106</v>
      </c>
      <c r="G280" s="8">
        <v>27738</v>
      </c>
      <c r="H280" t="s">
        <v>106</v>
      </c>
      <c r="I280" t="s">
        <v>12</v>
      </c>
      <c r="J280">
        <v>78</v>
      </c>
      <c r="K280"/>
    </row>
    <row r="281" spans="1:11">
      <c r="A281" s="8">
        <f>INDEX(Album!$A:$A, MATCH(B281,Album!$C:$C,0))</f>
        <v>26</v>
      </c>
      <c r="B281" t="s">
        <v>71</v>
      </c>
      <c r="C281">
        <f>INDEX(Album!$D:$D, MATCH(B281,Album!$C:$C,0))</f>
        <v>2017</v>
      </c>
      <c r="D281" s="8">
        <v>4</v>
      </c>
      <c r="E281" t="s">
        <v>13</v>
      </c>
      <c r="F281" t="s">
        <v>106</v>
      </c>
      <c r="G281" s="8">
        <v>27879</v>
      </c>
      <c r="H281" t="s">
        <v>106</v>
      </c>
      <c r="I281" t="s">
        <v>12</v>
      </c>
      <c r="J281">
        <v>65</v>
      </c>
      <c r="K281"/>
    </row>
    <row r="282" spans="1:11">
      <c r="A282" s="8">
        <f>INDEX(Album!$A:$A, MATCH(B282,Album!$C:$C,0))</f>
        <v>26</v>
      </c>
      <c r="B282" t="s">
        <v>71</v>
      </c>
      <c r="C282">
        <f>INDEX(Album!$D:$D, MATCH(B282,Album!$C:$C,0))</f>
        <v>2017</v>
      </c>
      <c r="D282" s="8">
        <v>5</v>
      </c>
      <c r="E282" t="s">
        <v>453</v>
      </c>
      <c r="F282" t="s">
        <v>106</v>
      </c>
      <c r="H282" t="s">
        <v>454</v>
      </c>
      <c r="I282" t="s">
        <v>2</v>
      </c>
      <c r="J282">
        <v>57</v>
      </c>
      <c r="K282"/>
    </row>
    <row r="283" spans="1:11">
      <c r="A283" s="8">
        <f>INDEX(Album!$A:$A, MATCH(B283,Album!$C:$C,0))</f>
        <v>26</v>
      </c>
      <c r="B283" t="s">
        <v>71</v>
      </c>
      <c r="C283">
        <f>INDEX(Album!$D:$D, MATCH(B283,Album!$C:$C,0))</f>
        <v>2017</v>
      </c>
      <c r="D283" s="8">
        <v>6</v>
      </c>
      <c r="E283" t="s">
        <v>16</v>
      </c>
      <c r="F283" t="s">
        <v>106</v>
      </c>
      <c r="H283" t="s">
        <v>106</v>
      </c>
      <c r="I283" t="s">
        <v>15</v>
      </c>
      <c r="J283">
        <v>70</v>
      </c>
      <c r="K283"/>
    </row>
    <row r="284" spans="1:11">
      <c r="A284" s="8">
        <f>INDEX(Album!$A:$A, MATCH(B284,Album!$C:$C,0))</f>
        <v>26</v>
      </c>
      <c r="B284" t="s">
        <v>71</v>
      </c>
      <c r="C284">
        <f>INDEX(Album!$D:$D, MATCH(B284,Album!$C:$C,0))</f>
        <v>2017</v>
      </c>
      <c r="D284" s="8">
        <v>7</v>
      </c>
      <c r="E284" t="s">
        <v>10</v>
      </c>
      <c r="F284" t="s">
        <v>106</v>
      </c>
      <c r="G284" s="8">
        <v>30983</v>
      </c>
      <c r="H284" t="s">
        <v>106</v>
      </c>
      <c r="I284" t="s">
        <v>9</v>
      </c>
      <c r="J284">
        <v>110</v>
      </c>
      <c r="K284"/>
    </row>
    <row r="285" spans="1:11">
      <c r="A285" s="8">
        <f>INDEX(Album!$A:$A, MATCH(B285,Album!$C:$C,0))</f>
        <v>26</v>
      </c>
      <c r="B285" t="s">
        <v>71</v>
      </c>
      <c r="C285">
        <f>INDEX(Album!$D:$D, MATCH(B285,Album!$C:$C,0))</f>
        <v>2017</v>
      </c>
      <c r="D285" s="8">
        <v>8</v>
      </c>
      <c r="E285" t="s">
        <v>17</v>
      </c>
      <c r="F285" t="s">
        <v>106</v>
      </c>
      <c r="G285" s="8">
        <v>38583</v>
      </c>
      <c r="H285" t="s">
        <v>106</v>
      </c>
      <c r="I285" t="s">
        <v>9</v>
      </c>
      <c r="J285">
        <v>73</v>
      </c>
      <c r="K285"/>
    </row>
    <row r="286" spans="1:11">
      <c r="A286" s="8">
        <f>INDEX(Album!$A:$A, MATCH(B286,Album!$C:$C,0))</f>
        <v>26</v>
      </c>
      <c r="B286" t="s">
        <v>71</v>
      </c>
      <c r="C286">
        <f>INDEX(Album!$D:$D, MATCH(B286,Album!$C:$C,0))</f>
        <v>2017</v>
      </c>
      <c r="D286" s="8">
        <v>9</v>
      </c>
      <c r="E286" t="s">
        <v>455</v>
      </c>
      <c r="F286" t="s">
        <v>106</v>
      </c>
      <c r="H286" t="s">
        <v>337</v>
      </c>
      <c r="I286" t="s">
        <v>20</v>
      </c>
      <c r="J286">
        <v>71</v>
      </c>
      <c r="K286"/>
    </row>
    <row r="287" spans="1:11">
      <c r="A287" s="8">
        <f>INDEX(Album!$A:$A, MATCH(B287,Album!$C:$C,0))</f>
        <v>26</v>
      </c>
      <c r="B287" t="s">
        <v>71</v>
      </c>
      <c r="C287">
        <f>INDEX(Album!$D:$D, MATCH(B287,Album!$C:$C,0))</f>
        <v>2017</v>
      </c>
      <c r="D287" s="8">
        <v>10</v>
      </c>
      <c r="E287" t="s">
        <v>19</v>
      </c>
      <c r="F287" t="s">
        <v>106</v>
      </c>
      <c r="G287" s="8">
        <v>31078</v>
      </c>
      <c r="H287" t="s">
        <v>106</v>
      </c>
      <c r="I287" t="s">
        <v>18</v>
      </c>
      <c r="J287">
        <v>67</v>
      </c>
      <c r="K287"/>
    </row>
    <row r="288" spans="1:11">
      <c r="A288" s="8">
        <f>INDEX(Album!$A:$A, MATCH(B288,Album!$C:$C,0))</f>
        <v>27</v>
      </c>
      <c r="B288" t="s">
        <v>34</v>
      </c>
      <c r="C288">
        <f>INDEX(Album!$D:$D, MATCH(B288,Album!$C:$C,0))</f>
        <v>2017</v>
      </c>
      <c r="D288">
        <v>1</v>
      </c>
      <c r="E288" t="s">
        <v>270</v>
      </c>
      <c r="F288" t="s">
        <v>106</v>
      </c>
      <c r="G288" s="8">
        <v>7083703</v>
      </c>
      <c r="H288" t="s">
        <v>137</v>
      </c>
      <c r="I288" s="8" t="s">
        <v>15</v>
      </c>
      <c r="J288" s="8">
        <v>59.5</v>
      </c>
    </row>
    <row r="289" spans="1:23">
      <c r="A289" s="8">
        <f>INDEX(Album!$A:$A, MATCH(B289,Album!$C:$C,0))</f>
        <v>27</v>
      </c>
      <c r="B289" t="s">
        <v>34</v>
      </c>
      <c r="C289">
        <f>INDEX(Album!$D:$D, MATCH(B289,Album!$C:$C,0))</f>
        <v>2017</v>
      </c>
      <c r="D289">
        <v>2</v>
      </c>
      <c r="E289" t="s">
        <v>271</v>
      </c>
      <c r="F289" t="s">
        <v>106</v>
      </c>
      <c r="G289" s="8">
        <v>7030068</v>
      </c>
      <c r="H289" t="s">
        <v>272</v>
      </c>
      <c r="I289" s="8" t="s">
        <v>15</v>
      </c>
      <c r="J289" s="8">
        <v>58</v>
      </c>
    </row>
    <row r="290" spans="1:23">
      <c r="A290" s="8">
        <f>INDEX(Album!$A:$A, MATCH(B290,Album!$C:$C,0))</f>
        <v>27</v>
      </c>
      <c r="B290" t="s">
        <v>34</v>
      </c>
      <c r="C290">
        <f>INDEX(Album!$D:$D, MATCH(B290,Album!$C:$C,0))</f>
        <v>2017</v>
      </c>
      <c r="D290">
        <v>3</v>
      </c>
      <c r="E290" t="s">
        <v>273</v>
      </c>
      <c r="F290" t="s">
        <v>106</v>
      </c>
      <c r="G290" s="8">
        <v>7038281</v>
      </c>
      <c r="H290" t="s">
        <v>274</v>
      </c>
      <c r="I290" s="8" t="s">
        <v>15</v>
      </c>
      <c r="J290" s="8">
        <v>90</v>
      </c>
      <c r="P290" s="2"/>
      <c r="Q290" s="2"/>
      <c r="R290" s="3"/>
      <c r="S290" s="4"/>
      <c r="T290" s="5"/>
      <c r="U290" s="3"/>
      <c r="V290" s="7"/>
      <c r="W290" s="1"/>
    </row>
    <row r="291" spans="1:23">
      <c r="A291" s="8">
        <f>INDEX(Album!$A:$A, MATCH(B291,Album!$C:$C,0))</f>
        <v>27</v>
      </c>
      <c r="B291" t="s">
        <v>34</v>
      </c>
      <c r="C291">
        <f>INDEX(Album!$D:$D, MATCH(B291,Album!$C:$C,0))</f>
        <v>2017</v>
      </c>
      <c r="D291">
        <v>4</v>
      </c>
      <c r="E291" t="s">
        <v>275</v>
      </c>
      <c r="F291" t="s">
        <v>106</v>
      </c>
      <c r="G291" s="8">
        <v>6605212</v>
      </c>
      <c r="H291" t="s">
        <v>276</v>
      </c>
      <c r="I291" s="8" t="s">
        <v>20</v>
      </c>
      <c r="J291" s="8">
        <v>132</v>
      </c>
    </row>
    <row r="292" spans="1:23">
      <c r="A292" s="8">
        <f>INDEX(Album!$A:$A, MATCH(B292,Album!$C:$C,0))</f>
        <v>27</v>
      </c>
      <c r="B292" t="s">
        <v>34</v>
      </c>
      <c r="C292">
        <f>INDEX(Album!$D:$D, MATCH(B292,Album!$C:$C,0))</f>
        <v>2017</v>
      </c>
      <c r="D292">
        <v>5</v>
      </c>
      <c r="E292" t="s">
        <v>277</v>
      </c>
      <c r="F292" t="s">
        <v>260</v>
      </c>
      <c r="G292" s="8">
        <v>7030065</v>
      </c>
      <c r="H292" t="s">
        <v>278</v>
      </c>
      <c r="I292" s="8" t="s">
        <v>20</v>
      </c>
      <c r="J292" s="8">
        <v>69</v>
      </c>
    </row>
    <row r="293" spans="1:23">
      <c r="A293" s="8">
        <f>INDEX(Album!$A:$A, MATCH(B293,Album!$C:$C,0))</f>
        <v>27</v>
      </c>
      <c r="B293" t="s">
        <v>34</v>
      </c>
      <c r="C293">
        <f>INDEX(Album!$D:$D, MATCH(B293,Album!$C:$C,0))</f>
        <v>2017</v>
      </c>
      <c r="D293">
        <v>6</v>
      </c>
      <c r="E293" t="s">
        <v>277</v>
      </c>
      <c r="F293" t="s">
        <v>279</v>
      </c>
      <c r="G293" s="8">
        <v>7030065</v>
      </c>
      <c r="H293" t="s">
        <v>278</v>
      </c>
      <c r="I293" s="8" t="s">
        <v>15</v>
      </c>
      <c r="J293" s="8">
        <v>69</v>
      </c>
    </row>
    <row r="294" spans="1:23">
      <c r="A294" s="8">
        <f>INDEX(Album!$A:$A, MATCH(B294,Album!$C:$C,0))</f>
        <v>27</v>
      </c>
      <c r="B294" t="s">
        <v>34</v>
      </c>
      <c r="C294">
        <f>INDEX(Album!$D:$D, MATCH(B294,Album!$C:$C,0))</f>
        <v>2017</v>
      </c>
      <c r="D294">
        <v>7</v>
      </c>
      <c r="E294" t="s">
        <v>280</v>
      </c>
      <c r="F294" t="s">
        <v>106</v>
      </c>
      <c r="G294" s="8">
        <v>7068424</v>
      </c>
      <c r="H294" t="s">
        <v>281</v>
      </c>
      <c r="I294" s="8" t="s">
        <v>20</v>
      </c>
      <c r="J294" s="8">
        <v>68</v>
      </c>
      <c r="P294" s="2"/>
      <c r="Q294" s="2"/>
      <c r="R294" s="3"/>
      <c r="S294" s="4"/>
      <c r="T294" s="3"/>
      <c r="U294" s="3"/>
      <c r="V294" s="3"/>
      <c r="W294" s="1"/>
    </row>
    <row r="295" spans="1:23">
      <c r="A295" s="8">
        <f>INDEX(Album!$A:$A, MATCH(B295,Album!$C:$C,0))</f>
        <v>27</v>
      </c>
      <c r="B295" t="s">
        <v>34</v>
      </c>
      <c r="C295">
        <f>INDEX(Album!$D:$D, MATCH(B295,Album!$C:$C,0))</f>
        <v>2017</v>
      </c>
      <c r="D295">
        <v>8</v>
      </c>
      <c r="E295" t="s">
        <v>282</v>
      </c>
      <c r="F295" t="s">
        <v>106</v>
      </c>
      <c r="G295" s="8">
        <v>7083710</v>
      </c>
      <c r="H295" t="s">
        <v>137</v>
      </c>
      <c r="I295" s="8" t="s">
        <v>20</v>
      </c>
      <c r="J295" s="8">
        <v>67</v>
      </c>
    </row>
    <row r="296" spans="1:23">
      <c r="A296" s="8">
        <f>INDEX(Album!$A:$A, MATCH(B296,Album!$C:$C,0))</f>
        <v>27</v>
      </c>
      <c r="B296" t="s">
        <v>34</v>
      </c>
      <c r="C296">
        <f>INDEX(Album!$D:$D, MATCH(B296,Album!$C:$C,0))</f>
        <v>2017</v>
      </c>
      <c r="D296">
        <v>9</v>
      </c>
      <c r="E296" t="s">
        <v>283</v>
      </c>
      <c r="F296" t="s">
        <v>106</v>
      </c>
      <c r="G296" s="8">
        <v>7017790</v>
      </c>
      <c r="H296" t="s">
        <v>160</v>
      </c>
      <c r="I296" s="8" t="s">
        <v>4</v>
      </c>
      <c r="J296" s="8">
        <v>68</v>
      </c>
    </row>
    <row r="297" spans="1:23">
      <c r="A297" s="8">
        <f>INDEX(Album!$A:$A, MATCH(B297,Album!$C:$C,0))</f>
        <v>27</v>
      </c>
      <c r="B297" t="s">
        <v>34</v>
      </c>
      <c r="C297">
        <f>INDEX(Album!$D:$D, MATCH(B297,Album!$C:$C,0))</f>
        <v>2017</v>
      </c>
      <c r="D297">
        <v>10</v>
      </c>
      <c r="E297" t="s">
        <v>284</v>
      </c>
      <c r="F297" t="s">
        <v>106</v>
      </c>
      <c r="G297" s="8">
        <v>6518055</v>
      </c>
      <c r="H297" t="s">
        <v>113</v>
      </c>
      <c r="I297" s="8" t="s">
        <v>4</v>
      </c>
      <c r="J297" s="8">
        <v>72</v>
      </c>
      <c r="P297" s="2"/>
      <c r="Q297" s="2"/>
      <c r="R297" s="3"/>
      <c r="S297" s="4"/>
      <c r="T297" s="5"/>
      <c r="U297" s="3"/>
      <c r="V297" s="7"/>
      <c r="W297" s="1"/>
    </row>
    <row r="298" spans="1:23">
      <c r="A298" s="8">
        <f>INDEX(Album!$A:$A, MATCH(B298,Album!$C:$C,0))</f>
        <v>27</v>
      </c>
      <c r="B298" t="s">
        <v>34</v>
      </c>
      <c r="C298">
        <f>INDEX(Album!$D:$D, MATCH(B298,Album!$C:$C,0))</f>
        <v>2017</v>
      </c>
      <c r="D298">
        <v>11</v>
      </c>
      <c r="E298" t="s">
        <v>285</v>
      </c>
      <c r="F298" t="s">
        <v>106</v>
      </c>
      <c r="G298" s="8">
        <v>7036288</v>
      </c>
      <c r="H298" t="s">
        <v>113</v>
      </c>
      <c r="I298" s="8" t="s">
        <v>0</v>
      </c>
      <c r="J298" s="8">
        <v>81</v>
      </c>
      <c r="P298" s="2"/>
      <c r="Q298" s="2"/>
      <c r="R298" s="3"/>
      <c r="S298" s="4"/>
      <c r="T298" s="5"/>
      <c r="U298" s="3"/>
      <c r="V298" s="7"/>
      <c r="W298" s="1"/>
    </row>
    <row r="299" spans="1:23">
      <c r="A299" s="8">
        <f>INDEX(Album!$A:$A, MATCH(B299,Album!$C:$C,0))</f>
        <v>27</v>
      </c>
      <c r="B299" t="s">
        <v>34</v>
      </c>
      <c r="C299">
        <f>INDEX(Album!$D:$D, MATCH(B299,Album!$C:$C,0))</f>
        <v>2017</v>
      </c>
      <c r="D299">
        <v>12</v>
      </c>
      <c r="E299" t="s">
        <v>286</v>
      </c>
      <c r="F299" t="s">
        <v>106</v>
      </c>
      <c r="G299" s="8">
        <v>5881491</v>
      </c>
      <c r="H299" t="s">
        <v>49</v>
      </c>
      <c r="I299" s="8" t="s">
        <v>2</v>
      </c>
      <c r="J299" s="8">
        <v>80</v>
      </c>
      <c r="P299" s="2"/>
      <c r="Q299" s="2"/>
      <c r="R299" s="3"/>
      <c r="S299" s="4"/>
      <c r="T299" s="5"/>
      <c r="U299" s="3"/>
      <c r="V299" s="7"/>
      <c r="W299" s="1"/>
    </row>
    <row r="300" spans="1:23">
      <c r="A300" s="8">
        <f>INDEX(Album!$A:$A, MATCH(B300,Album!$C:$C,0))</f>
        <v>27</v>
      </c>
      <c r="B300" t="s">
        <v>34</v>
      </c>
      <c r="C300">
        <f>INDEX(Album!$D:$D, MATCH(B300,Album!$C:$C,0))</f>
        <v>2017</v>
      </c>
      <c r="D300">
        <v>13</v>
      </c>
      <c r="E300" t="s">
        <v>287</v>
      </c>
      <c r="F300" t="s">
        <v>106</v>
      </c>
      <c r="G300" s="8">
        <v>7037787</v>
      </c>
      <c r="H300" t="s">
        <v>107</v>
      </c>
      <c r="I300" s="8" t="s">
        <v>2</v>
      </c>
      <c r="J300" s="8">
        <v>72</v>
      </c>
      <c r="P300" s="2"/>
      <c r="Q300" s="2"/>
      <c r="R300" s="3"/>
      <c r="S300" s="4"/>
      <c r="T300" s="5"/>
      <c r="U300" s="3"/>
      <c r="V300" s="3"/>
      <c r="W300" s="1"/>
    </row>
    <row r="301" spans="1:23">
      <c r="A301" s="8">
        <f>INDEX(Album!$A:$A, MATCH(B301,Album!$C:$C,0))</f>
        <v>28</v>
      </c>
      <c r="B301" t="s">
        <v>35</v>
      </c>
      <c r="C301">
        <f>INDEX(Album!$D:$D, MATCH(B301,Album!$C:$C,0))</f>
        <v>2017</v>
      </c>
      <c r="D301">
        <v>1</v>
      </c>
      <c r="E301" t="s">
        <v>288</v>
      </c>
      <c r="F301" t="s">
        <v>106</v>
      </c>
      <c r="G301" s="8">
        <v>7023294</v>
      </c>
      <c r="H301" t="s">
        <v>289</v>
      </c>
      <c r="I301" s="8" t="s">
        <v>20</v>
      </c>
      <c r="J301" s="8">
        <v>76</v>
      </c>
    </row>
    <row r="302" spans="1:23">
      <c r="A302" s="8">
        <f>INDEX(Album!$A:$A, MATCH(B302,Album!$C:$C,0))</f>
        <v>28</v>
      </c>
      <c r="B302" t="s">
        <v>35</v>
      </c>
      <c r="C302">
        <f>INDEX(Album!$D:$D, MATCH(B302,Album!$C:$C,0))</f>
        <v>2017</v>
      </c>
      <c r="D302">
        <v>2</v>
      </c>
      <c r="E302" t="s">
        <v>290</v>
      </c>
      <c r="F302" t="s">
        <v>106</v>
      </c>
      <c r="G302" s="8">
        <v>7068428</v>
      </c>
      <c r="H302" t="s">
        <v>107</v>
      </c>
      <c r="I302" s="8" t="s">
        <v>20</v>
      </c>
      <c r="J302" s="8">
        <v>94</v>
      </c>
    </row>
    <row r="303" spans="1:23">
      <c r="A303" s="8">
        <f>INDEX(Album!$A:$A, MATCH(B303,Album!$C:$C,0))</f>
        <v>28</v>
      </c>
      <c r="B303" t="s">
        <v>35</v>
      </c>
      <c r="C303">
        <f>INDEX(Album!$D:$D, MATCH(B303,Album!$C:$C,0))</f>
        <v>2017</v>
      </c>
      <c r="D303">
        <v>3</v>
      </c>
      <c r="E303" t="s">
        <v>291</v>
      </c>
      <c r="F303" t="s">
        <v>106</v>
      </c>
      <c r="G303" s="8">
        <v>7081388</v>
      </c>
      <c r="H303" t="s">
        <v>113</v>
      </c>
      <c r="I303" s="8" t="s">
        <v>20</v>
      </c>
      <c r="J303" s="8">
        <v>110</v>
      </c>
      <c r="P303" s="2"/>
      <c r="Q303" s="2"/>
      <c r="R303" s="3"/>
      <c r="S303" s="4"/>
      <c r="T303" s="5"/>
      <c r="U303" s="3"/>
      <c r="V303" s="7"/>
      <c r="W303" s="1"/>
    </row>
    <row r="304" spans="1:23">
      <c r="A304" s="8">
        <f>INDEX(Album!$A:$A, MATCH(B304,Album!$C:$C,0))</f>
        <v>28</v>
      </c>
      <c r="B304" t="s">
        <v>35</v>
      </c>
      <c r="C304">
        <f>INDEX(Album!$D:$D, MATCH(B304,Album!$C:$C,0))</f>
        <v>2017</v>
      </c>
      <c r="D304">
        <v>4</v>
      </c>
      <c r="E304" t="s">
        <v>292</v>
      </c>
      <c r="F304" t="s">
        <v>106</v>
      </c>
      <c r="G304" s="8">
        <v>7046145</v>
      </c>
      <c r="H304" t="s">
        <v>293</v>
      </c>
      <c r="I304" s="8" t="s">
        <v>15</v>
      </c>
      <c r="J304" s="8">
        <v>68</v>
      </c>
      <c r="P304" s="2"/>
      <c r="Q304" s="2"/>
      <c r="R304" s="3"/>
      <c r="S304" s="4"/>
      <c r="T304" s="5"/>
      <c r="U304" s="3"/>
      <c r="V304" s="7"/>
      <c r="W304" s="1"/>
    </row>
    <row r="305" spans="1:23">
      <c r="A305" s="8">
        <f>INDEX(Album!$A:$A, MATCH(B305,Album!$C:$C,0))</f>
        <v>28</v>
      </c>
      <c r="B305" t="s">
        <v>35</v>
      </c>
      <c r="C305">
        <f>INDEX(Album!$D:$D, MATCH(B305,Album!$C:$C,0))</f>
        <v>2017</v>
      </c>
      <c r="D305">
        <v>5</v>
      </c>
      <c r="E305" t="s">
        <v>294</v>
      </c>
      <c r="F305" t="s">
        <v>106</v>
      </c>
      <c r="G305" s="8">
        <v>5858163</v>
      </c>
      <c r="H305" t="s">
        <v>295</v>
      </c>
      <c r="I305" s="8" t="s">
        <v>7</v>
      </c>
      <c r="J305" s="8">
        <v>68</v>
      </c>
    </row>
    <row r="306" spans="1:23">
      <c r="A306" s="8">
        <f>INDEX(Album!$A:$A, MATCH(B306,Album!$C:$C,0))</f>
        <v>29</v>
      </c>
      <c r="B306" t="s">
        <v>36</v>
      </c>
      <c r="C306">
        <f>INDEX(Album!$D:$D, MATCH(B306,Album!$C:$C,0))</f>
        <v>2017</v>
      </c>
      <c r="D306">
        <v>1</v>
      </c>
      <c r="E306" t="s">
        <v>296</v>
      </c>
      <c r="F306" t="s">
        <v>106</v>
      </c>
      <c r="G306" s="8">
        <v>7052927</v>
      </c>
      <c r="H306" t="s">
        <v>113</v>
      </c>
      <c r="I306" s="8" t="s">
        <v>2</v>
      </c>
      <c r="J306" s="8">
        <v>81</v>
      </c>
    </row>
    <row r="307" spans="1:23">
      <c r="A307" s="8">
        <f>INDEX(Album!$A:$A, MATCH(B307,Album!$C:$C,0))</f>
        <v>29</v>
      </c>
      <c r="B307" t="s">
        <v>36</v>
      </c>
      <c r="C307">
        <f>INDEX(Album!$D:$D, MATCH(B307,Album!$C:$C,0))</f>
        <v>2017</v>
      </c>
      <c r="D307">
        <v>2</v>
      </c>
      <c r="E307" t="s">
        <v>297</v>
      </c>
      <c r="F307" t="s">
        <v>106</v>
      </c>
      <c r="G307" s="8">
        <v>7070345</v>
      </c>
      <c r="H307" t="s">
        <v>298</v>
      </c>
      <c r="I307" s="8" t="s">
        <v>0</v>
      </c>
      <c r="J307" s="8">
        <v>70</v>
      </c>
      <c r="P307" s="2"/>
      <c r="Q307" s="2"/>
      <c r="R307" s="3"/>
      <c r="S307" s="3"/>
      <c r="T307" s="5"/>
      <c r="U307" s="3"/>
      <c r="V307" s="7"/>
      <c r="W307" s="1"/>
    </row>
    <row r="308" spans="1:23">
      <c r="A308" s="8">
        <f>INDEX(Album!$A:$A, MATCH(B308,Album!$C:$C,0))</f>
        <v>29</v>
      </c>
      <c r="B308" t="s">
        <v>36</v>
      </c>
      <c r="C308">
        <f>INDEX(Album!$D:$D, MATCH(B308,Album!$C:$C,0))</f>
        <v>2017</v>
      </c>
      <c r="D308">
        <v>3</v>
      </c>
      <c r="E308" t="s">
        <v>299</v>
      </c>
      <c r="F308" t="s">
        <v>106</v>
      </c>
      <c r="G308" s="8">
        <v>7032328</v>
      </c>
      <c r="H308" t="s">
        <v>253</v>
      </c>
      <c r="I308" s="8" t="s">
        <v>4</v>
      </c>
      <c r="J308" s="8">
        <v>71</v>
      </c>
    </row>
    <row r="309" spans="1:23">
      <c r="A309" s="8">
        <f>INDEX(Album!$A:$A, MATCH(B309,Album!$C:$C,0))</f>
        <v>29</v>
      </c>
      <c r="B309" t="s">
        <v>36</v>
      </c>
      <c r="C309">
        <f>INDEX(Album!$D:$D, MATCH(B309,Album!$C:$C,0))</f>
        <v>2017</v>
      </c>
      <c r="D309">
        <v>4</v>
      </c>
      <c r="E309" t="s">
        <v>300</v>
      </c>
      <c r="F309" t="s">
        <v>106</v>
      </c>
      <c r="G309" s="8">
        <v>6517898</v>
      </c>
      <c r="H309" t="s">
        <v>113</v>
      </c>
      <c r="I309" s="8" t="s">
        <v>4</v>
      </c>
      <c r="J309" s="8">
        <v>81</v>
      </c>
    </row>
    <row r="310" spans="1:23">
      <c r="A310" s="8">
        <f>INDEX(Album!$A:$A, MATCH(B310,Album!$C:$C,0))</f>
        <v>29</v>
      </c>
      <c r="B310" t="s">
        <v>36</v>
      </c>
      <c r="C310">
        <f>INDEX(Album!$D:$D, MATCH(B310,Album!$C:$C,0))</f>
        <v>2017</v>
      </c>
      <c r="D310">
        <v>5</v>
      </c>
      <c r="E310" t="s">
        <v>301</v>
      </c>
      <c r="F310" t="s">
        <v>106</v>
      </c>
      <c r="G310" s="8">
        <v>7046448</v>
      </c>
      <c r="H310" t="s">
        <v>302</v>
      </c>
      <c r="I310" s="8" t="s">
        <v>4</v>
      </c>
      <c r="J310" s="8">
        <v>78</v>
      </c>
    </row>
    <row r="311" spans="1:23">
      <c r="A311" s="8">
        <f>INDEX(Album!$A:$A, MATCH(B311,Album!$C:$C,0))</f>
        <v>30</v>
      </c>
      <c r="B311" t="s">
        <v>61</v>
      </c>
      <c r="C311">
        <f>INDEX(Album!$D:$D, MATCH(B311,Album!$C:$C,0))</f>
        <v>2018</v>
      </c>
      <c r="D311">
        <v>1</v>
      </c>
      <c r="E311" t="s">
        <v>77</v>
      </c>
      <c r="F311" t="s">
        <v>106</v>
      </c>
      <c r="G311" s="8">
        <v>22609</v>
      </c>
      <c r="H311" t="s">
        <v>137</v>
      </c>
      <c r="I311" t="s">
        <v>20</v>
      </c>
      <c r="J311">
        <v>102</v>
      </c>
      <c r="K311"/>
    </row>
    <row r="312" spans="1:23">
      <c r="A312" s="8">
        <f>INDEX(Album!$A:$A, MATCH(B312,Album!$C:$C,0))</f>
        <v>30</v>
      </c>
      <c r="B312" t="s">
        <v>61</v>
      </c>
      <c r="C312">
        <f>INDEX(Album!$D:$D, MATCH(B312,Album!$C:$C,0))</f>
        <v>2018</v>
      </c>
      <c r="D312">
        <v>2</v>
      </c>
      <c r="E312" t="s">
        <v>78</v>
      </c>
      <c r="F312" t="s">
        <v>106</v>
      </c>
      <c r="G312" s="8">
        <v>14181</v>
      </c>
      <c r="H312" t="s">
        <v>137</v>
      </c>
      <c r="I312" t="s">
        <v>20</v>
      </c>
      <c r="J312">
        <v>58</v>
      </c>
      <c r="K312"/>
    </row>
    <row r="313" spans="1:23">
      <c r="A313" s="8">
        <f>INDEX(Album!$A:$A, MATCH(B313,Album!$C:$C,0))</f>
        <v>30</v>
      </c>
      <c r="B313" t="s">
        <v>61</v>
      </c>
      <c r="C313">
        <f>INDEX(Album!$D:$D, MATCH(B313,Album!$C:$C,0))</f>
        <v>2018</v>
      </c>
      <c r="D313">
        <v>3</v>
      </c>
      <c r="E313" t="s">
        <v>424</v>
      </c>
      <c r="F313" t="s">
        <v>106</v>
      </c>
      <c r="G313" s="8" t="s">
        <v>46</v>
      </c>
      <c r="H313" t="s">
        <v>137</v>
      </c>
      <c r="I313" t="s">
        <v>20</v>
      </c>
      <c r="J313">
        <v>72</v>
      </c>
      <c r="K313"/>
    </row>
    <row r="314" spans="1:23">
      <c r="A314" s="8">
        <f>INDEX(Album!$A:$A, MATCH(B314,Album!$C:$C,0))</f>
        <v>30</v>
      </c>
      <c r="B314" t="s">
        <v>61</v>
      </c>
      <c r="C314">
        <f>INDEX(Album!$D:$D, MATCH(B314,Album!$C:$C,0))</f>
        <v>2018</v>
      </c>
      <c r="D314">
        <v>4</v>
      </c>
      <c r="E314" t="s">
        <v>79</v>
      </c>
      <c r="F314" t="s">
        <v>425</v>
      </c>
      <c r="G314" s="8">
        <v>7029505</v>
      </c>
      <c r="H314" t="s">
        <v>137</v>
      </c>
      <c r="I314" t="s">
        <v>20</v>
      </c>
      <c r="J314">
        <v>65</v>
      </c>
      <c r="K314"/>
    </row>
    <row r="315" spans="1:23">
      <c r="A315" s="8">
        <f>INDEX(Album!$A:$A, MATCH(B315,Album!$C:$C,0))</f>
        <v>30</v>
      </c>
      <c r="B315" t="s">
        <v>61</v>
      </c>
      <c r="C315">
        <f>INDEX(Album!$D:$D, MATCH(B315,Album!$C:$C,0))</f>
        <v>2018</v>
      </c>
      <c r="D315">
        <v>5</v>
      </c>
      <c r="E315" t="s">
        <v>82</v>
      </c>
      <c r="F315" t="s">
        <v>106</v>
      </c>
      <c r="G315" s="8">
        <v>7063694</v>
      </c>
      <c r="H315" t="s">
        <v>426</v>
      </c>
      <c r="I315" t="s">
        <v>2</v>
      </c>
      <c r="J315">
        <v>66</v>
      </c>
      <c r="K315"/>
    </row>
    <row r="316" spans="1:23">
      <c r="A316" s="8">
        <f>INDEX(Album!$A:$A, MATCH(B316,Album!$C:$C,0))</f>
        <v>30</v>
      </c>
      <c r="B316" t="s">
        <v>61</v>
      </c>
      <c r="C316">
        <f>INDEX(Album!$D:$D, MATCH(B316,Album!$C:$C,0))</f>
        <v>2018</v>
      </c>
      <c r="D316">
        <v>6</v>
      </c>
      <c r="E316" t="s">
        <v>83</v>
      </c>
      <c r="F316" t="s">
        <v>427</v>
      </c>
      <c r="G316" s="8">
        <v>7118356</v>
      </c>
      <c r="H316" t="s">
        <v>137</v>
      </c>
      <c r="I316" t="s">
        <v>2</v>
      </c>
      <c r="J316">
        <v>73</v>
      </c>
      <c r="K316"/>
    </row>
    <row r="317" spans="1:23">
      <c r="A317" s="8">
        <f>INDEX(Album!$A:$A, MATCH(B317,Album!$C:$C,0))</f>
        <v>30</v>
      </c>
      <c r="B317" t="s">
        <v>61</v>
      </c>
      <c r="C317">
        <f>INDEX(Album!$D:$D, MATCH(B317,Album!$C:$C,0))</f>
        <v>2018</v>
      </c>
      <c r="D317">
        <v>7</v>
      </c>
      <c r="E317" t="s">
        <v>84</v>
      </c>
      <c r="F317" t="s">
        <v>106</v>
      </c>
      <c r="G317" s="8">
        <v>7016161</v>
      </c>
      <c r="H317" t="s">
        <v>426</v>
      </c>
      <c r="I317" t="s">
        <v>2</v>
      </c>
      <c r="J317">
        <v>58</v>
      </c>
      <c r="K317"/>
    </row>
    <row r="318" spans="1:23">
      <c r="A318" s="8">
        <f>INDEX(Album!$A:$A, MATCH(B318,Album!$C:$C,0))</f>
        <v>30</v>
      </c>
      <c r="B318" t="s">
        <v>61</v>
      </c>
      <c r="C318">
        <f>INDEX(Album!$D:$D, MATCH(B318,Album!$C:$C,0))</f>
        <v>2018</v>
      </c>
      <c r="D318">
        <v>8</v>
      </c>
      <c r="E318" t="s">
        <v>86</v>
      </c>
      <c r="F318" t="s">
        <v>106</v>
      </c>
      <c r="G318" s="8">
        <v>7024758</v>
      </c>
      <c r="H318" t="s">
        <v>426</v>
      </c>
      <c r="I318" t="s">
        <v>7</v>
      </c>
      <c r="J318">
        <v>62</v>
      </c>
      <c r="K318"/>
    </row>
    <row r="319" spans="1:23">
      <c r="A319" s="8">
        <f>INDEX(Album!$A:$A, MATCH(B319,Album!$C:$C,0))</f>
        <v>30</v>
      </c>
      <c r="B319" t="s">
        <v>61</v>
      </c>
      <c r="C319">
        <f>INDEX(Album!$D:$D, MATCH(B319,Album!$C:$C,0))</f>
        <v>2018</v>
      </c>
      <c r="D319">
        <v>9</v>
      </c>
      <c r="E319" t="s">
        <v>428</v>
      </c>
      <c r="F319" t="s">
        <v>106</v>
      </c>
      <c r="G319" s="8">
        <v>3350395</v>
      </c>
      <c r="H319" t="s">
        <v>429</v>
      </c>
      <c r="I319" t="s">
        <v>7</v>
      </c>
      <c r="J319">
        <v>61</v>
      </c>
      <c r="K319"/>
    </row>
    <row r="320" spans="1:23">
      <c r="A320" s="8">
        <f>INDEX(Album!$A:$A, MATCH(B320,Album!$C:$C,0))</f>
        <v>30</v>
      </c>
      <c r="B320" t="s">
        <v>61</v>
      </c>
      <c r="C320">
        <f>INDEX(Album!$D:$D, MATCH(B320,Album!$C:$C,0))</f>
        <v>2018</v>
      </c>
      <c r="D320">
        <v>10</v>
      </c>
      <c r="E320" t="s">
        <v>430</v>
      </c>
      <c r="F320" t="s">
        <v>431</v>
      </c>
      <c r="G320" s="8">
        <v>7125088</v>
      </c>
      <c r="H320" t="s">
        <v>137</v>
      </c>
      <c r="I320" t="s">
        <v>4</v>
      </c>
      <c r="J320">
        <v>63</v>
      </c>
      <c r="K320"/>
    </row>
    <row r="321" spans="1:23">
      <c r="A321" s="8">
        <f>INDEX(Album!$A:$A, MATCH(B321,Album!$C:$C,0))</f>
        <v>31</v>
      </c>
      <c r="B321" t="s">
        <v>62</v>
      </c>
      <c r="C321">
        <f>INDEX(Album!$D:$D, MATCH(B321,Album!$C:$C,0))</f>
        <v>2018</v>
      </c>
      <c r="D321">
        <v>1</v>
      </c>
      <c r="E321" t="s">
        <v>434</v>
      </c>
      <c r="F321" t="s">
        <v>435</v>
      </c>
      <c r="G321" s="8">
        <v>7056332</v>
      </c>
      <c r="H321" t="s">
        <v>137</v>
      </c>
      <c r="I321" t="s">
        <v>21</v>
      </c>
      <c r="J321">
        <v>71</v>
      </c>
      <c r="K321"/>
    </row>
    <row r="322" spans="1:23">
      <c r="A322" s="8">
        <f>INDEX(Album!$A:$A, MATCH(B322,Album!$C:$C,0))</f>
        <v>31</v>
      </c>
      <c r="B322" t="s">
        <v>62</v>
      </c>
      <c r="C322">
        <f>INDEX(Album!$D:$D, MATCH(B322,Album!$C:$C,0))</f>
        <v>2018</v>
      </c>
      <c r="D322">
        <v>2</v>
      </c>
      <c r="E322" t="s">
        <v>436</v>
      </c>
      <c r="F322" t="s">
        <v>81</v>
      </c>
      <c r="G322" s="8">
        <v>15960</v>
      </c>
      <c r="H322" t="s">
        <v>106</v>
      </c>
      <c r="I322" t="s">
        <v>18</v>
      </c>
      <c r="J322">
        <v>74</v>
      </c>
      <c r="K322"/>
    </row>
    <row r="323" spans="1:23">
      <c r="A323" s="8">
        <f>INDEX(Album!$A:$A, MATCH(B323,Album!$C:$C,0))</f>
        <v>31</v>
      </c>
      <c r="B323" t="s">
        <v>62</v>
      </c>
      <c r="C323">
        <f>INDEX(Album!$D:$D, MATCH(B323,Album!$C:$C,0))</f>
        <v>2018</v>
      </c>
      <c r="D323">
        <v>3</v>
      </c>
      <c r="E323" t="s">
        <v>24</v>
      </c>
      <c r="F323" t="s">
        <v>106</v>
      </c>
      <c r="G323" s="8">
        <v>27817</v>
      </c>
      <c r="H323" t="s">
        <v>106</v>
      </c>
      <c r="I323" t="s">
        <v>18</v>
      </c>
      <c r="J323">
        <v>68</v>
      </c>
      <c r="K323"/>
    </row>
    <row r="324" spans="1:23">
      <c r="A324" s="8">
        <f>INDEX(Album!$A:$A, MATCH(B324,Album!$C:$C,0))</f>
        <v>31</v>
      </c>
      <c r="B324" t="s">
        <v>62</v>
      </c>
      <c r="C324">
        <f>INDEX(Album!$D:$D, MATCH(B324,Album!$C:$C,0))</f>
        <v>2018</v>
      </c>
      <c r="D324">
        <v>4</v>
      </c>
      <c r="E324" t="s">
        <v>437</v>
      </c>
      <c r="F324" t="s">
        <v>438</v>
      </c>
      <c r="G324" s="8">
        <v>43073</v>
      </c>
      <c r="H324" t="s">
        <v>106</v>
      </c>
      <c r="I324" t="s">
        <v>18</v>
      </c>
      <c r="J324">
        <v>68</v>
      </c>
      <c r="K324"/>
    </row>
    <row r="325" spans="1:23">
      <c r="A325" s="8">
        <f>INDEX(Album!$A:$A, MATCH(B325,Album!$C:$C,0))</f>
        <v>31</v>
      </c>
      <c r="B325" t="s">
        <v>62</v>
      </c>
      <c r="C325">
        <f>INDEX(Album!$D:$D, MATCH(B325,Album!$C:$C,0))</f>
        <v>2018</v>
      </c>
      <c r="D325">
        <v>5</v>
      </c>
      <c r="E325" t="s">
        <v>439</v>
      </c>
      <c r="F325" t="s">
        <v>106</v>
      </c>
      <c r="G325" s="8">
        <v>7128814</v>
      </c>
      <c r="H325" t="s">
        <v>137</v>
      </c>
      <c r="I325" t="s">
        <v>2</v>
      </c>
      <c r="J325">
        <v>71</v>
      </c>
      <c r="K325"/>
    </row>
    <row r="326" spans="1:23">
      <c r="A326" s="8">
        <f>INDEX(Album!$A:$A, MATCH(B326,Album!$C:$C,0))</f>
        <v>31</v>
      </c>
      <c r="B326" t="s">
        <v>62</v>
      </c>
      <c r="C326">
        <f>INDEX(Album!$D:$D, MATCH(B326,Album!$C:$C,0))</f>
        <v>2018</v>
      </c>
      <c r="D326">
        <v>6</v>
      </c>
      <c r="E326" t="s">
        <v>440</v>
      </c>
      <c r="F326" t="s">
        <v>106</v>
      </c>
      <c r="G326" s="8">
        <v>4490766</v>
      </c>
      <c r="H326" t="s">
        <v>441</v>
      </c>
      <c r="I326" t="s">
        <v>12</v>
      </c>
      <c r="J326">
        <v>57</v>
      </c>
      <c r="K326"/>
    </row>
    <row r="327" spans="1:23">
      <c r="A327" s="8">
        <f>INDEX(Album!$A:$A, MATCH(B327,Album!$C:$C,0))</f>
        <v>31</v>
      </c>
      <c r="B327" t="s">
        <v>62</v>
      </c>
      <c r="C327">
        <f>INDEX(Album!$D:$D, MATCH(B327,Album!$C:$C,0))</f>
        <v>2018</v>
      </c>
      <c r="D327">
        <v>7</v>
      </c>
      <c r="E327" t="s">
        <v>442</v>
      </c>
      <c r="F327" t="s">
        <v>106</v>
      </c>
      <c r="G327" s="8" t="s">
        <v>46</v>
      </c>
      <c r="H327" t="s">
        <v>443</v>
      </c>
      <c r="I327" t="s">
        <v>4</v>
      </c>
      <c r="J327">
        <v>68</v>
      </c>
      <c r="K327"/>
    </row>
    <row r="328" spans="1:23">
      <c r="A328" s="8">
        <f>INDEX(Album!$A:$A, MATCH(B328,Album!$C:$C,0))</f>
        <v>31</v>
      </c>
      <c r="B328" t="s">
        <v>62</v>
      </c>
      <c r="C328">
        <f>INDEX(Album!$D:$D, MATCH(B328,Album!$C:$C,0))</f>
        <v>2018</v>
      </c>
      <c r="D328">
        <v>8</v>
      </c>
      <c r="E328" t="s">
        <v>444</v>
      </c>
      <c r="F328" t="s">
        <v>445</v>
      </c>
      <c r="G328" s="8">
        <v>7063743</v>
      </c>
      <c r="H328" t="s">
        <v>441</v>
      </c>
      <c r="I328" t="s">
        <v>22</v>
      </c>
      <c r="J328">
        <v>84</v>
      </c>
      <c r="K328"/>
    </row>
    <row r="329" spans="1:23">
      <c r="A329" s="8">
        <f>INDEX(Album!$A:$A, MATCH(B329,Album!$C:$C,0))</f>
        <v>31</v>
      </c>
      <c r="B329" t="s">
        <v>62</v>
      </c>
      <c r="C329">
        <f>INDEX(Album!$D:$D, MATCH(B329,Album!$C:$C,0))</f>
        <v>2018</v>
      </c>
      <c r="D329">
        <v>9</v>
      </c>
      <c r="E329" t="s">
        <v>25</v>
      </c>
      <c r="F329" t="s">
        <v>106</v>
      </c>
      <c r="G329" s="8">
        <v>25400</v>
      </c>
      <c r="H329" t="s">
        <v>106</v>
      </c>
      <c r="I329" t="s">
        <v>22</v>
      </c>
      <c r="J329">
        <v>77</v>
      </c>
      <c r="K329"/>
    </row>
    <row r="330" spans="1:23">
      <c r="A330" s="8">
        <f>INDEX(Album!$A:$A, MATCH(B330,Album!$C:$C,0))</f>
        <v>31</v>
      </c>
      <c r="B330" t="s">
        <v>62</v>
      </c>
      <c r="C330">
        <f>INDEX(Album!$D:$D, MATCH(B330,Album!$C:$C,0))</f>
        <v>2018</v>
      </c>
      <c r="D330">
        <v>10</v>
      </c>
      <c r="E330" t="s">
        <v>23</v>
      </c>
      <c r="F330" t="s">
        <v>106</v>
      </c>
      <c r="G330" s="8">
        <v>23938</v>
      </c>
      <c r="H330" t="s">
        <v>106</v>
      </c>
      <c r="I330" t="s">
        <v>22</v>
      </c>
      <c r="J330">
        <v>77</v>
      </c>
      <c r="K330"/>
    </row>
    <row r="331" spans="1:23">
      <c r="A331" s="8">
        <f>INDEX(Album!$A:$A, MATCH(B331,Album!$C:$C,0))</f>
        <v>32</v>
      </c>
      <c r="B331" t="s">
        <v>37</v>
      </c>
      <c r="C331">
        <f>INDEX(Album!$D:$D, MATCH(B331,Album!$C:$C,0))</f>
        <v>2018</v>
      </c>
      <c r="D331">
        <v>1</v>
      </c>
      <c r="E331" t="s">
        <v>303</v>
      </c>
      <c r="F331" t="s">
        <v>106</v>
      </c>
      <c r="G331" s="8">
        <v>7089641</v>
      </c>
      <c r="H331" t="s">
        <v>304</v>
      </c>
      <c r="I331" s="8" t="s">
        <v>9</v>
      </c>
      <c r="J331" s="8">
        <v>81</v>
      </c>
      <c r="P331" s="2"/>
      <c r="Q331" s="2"/>
      <c r="R331" s="3"/>
      <c r="S331" s="4"/>
      <c r="T331" s="5"/>
      <c r="U331" s="3"/>
      <c r="V331" s="7"/>
      <c r="W331" s="1"/>
    </row>
    <row r="332" spans="1:23">
      <c r="A332" s="8">
        <f>INDEX(Album!$A:$A, MATCH(B332,Album!$C:$C,0))</f>
        <v>32</v>
      </c>
      <c r="B332" t="s">
        <v>37</v>
      </c>
      <c r="C332">
        <f>INDEX(Album!$D:$D, MATCH(B332,Album!$C:$C,0))</f>
        <v>2018</v>
      </c>
      <c r="D332">
        <v>2</v>
      </c>
      <c r="E332" t="s">
        <v>305</v>
      </c>
      <c r="F332" t="s">
        <v>106</v>
      </c>
      <c r="G332" s="8">
        <v>7054720</v>
      </c>
      <c r="H332" t="s">
        <v>109</v>
      </c>
      <c r="I332" s="8" t="s">
        <v>4</v>
      </c>
      <c r="J332" s="8">
        <v>101</v>
      </c>
    </row>
    <row r="333" spans="1:23">
      <c r="A333" s="8">
        <f>INDEX(Album!$A:$A, MATCH(B333,Album!$C:$C,0))</f>
        <v>32</v>
      </c>
      <c r="B333" t="s">
        <v>37</v>
      </c>
      <c r="C333">
        <f>INDEX(Album!$D:$D, MATCH(B333,Album!$C:$C,0))</f>
        <v>2018</v>
      </c>
      <c r="D333">
        <v>3</v>
      </c>
      <c r="E333" t="s">
        <v>306</v>
      </c>
      <c r="F333" t="s">
        <v>106</v>
      </c>
      <c r="G333" s="8">
        <v>6514035</v>
      </c>
      <c r="H333" t="s">
        <v>107</v>
      </c>
      <c r="I333" s="8" t="s">
        <v>4</v>
      </c>
      <c r="J333" s="8">
        <v>80</v>
      </c>
      <c r="P333" s="2"/>
      <c r="Q333" s="2"/>
      <c r="R333" s="3"/>
      <c r="S333" s="3"/>
      <c r="T333" s="5"/>
      <c r="U333" s="3"/>
      <c r="V333" s="3"/>
      <c r="W333" s="1"/>
    </row>
    <row r="334" spans="1:23">
      <c r="A334" s="8">
        <f>INDEX(Album!$A:$A, MATCH(B334,Album!$C:$C,0))</f>
        <v>32</v>
      </c>
      <c r="B334" t="s">
        <v>37</v>
      </c>
      <c r="C334">
        <f>INDEX(Album!$D:$D, MATCH(B334,Album!$C:$C,0))</f>
        <v>2018</v>
      </c>
      <c r="D334">
        <v>4</v>
      </c>
      <c r="E334" t="s">
        <v>307</v>
      </c>
      <c r="F334" t="s">
        <v>106</v>
      </c>
      <c r="G334" s="8">
        <v>7065049</v>
      </c>
      <c r="H334" t="s">
        <v>308</v>
      </c>
      <c r="I334" s="8" t="s">
        <v>2</v>
      </c>
      <c r="J334" s="8">
        <v>74</v>
      </c>
      <c r="P334" s="2"/>
      <c r="Q334" s="2"/>
      <c r="R334" s="3"/>
      <c r="S334" s="4"/>
      <c r="T334" s="5"/>
      <c r="U334" s="3"/>
      <c r="V334" s="7"/>
      <c r="W334" s="1"/>
    </row>
    <row r="335" spans="1:23">
      <c r="A335" s="8">
        <f>INDEX(Album!$A:$A, MATCH(B335,Album!$C:$C,0))</f>
        <v>32</v>
      </c>
      <c r="B335" t="s">
        <v>37</v>
      </c>
      <c r="C335">
        <f>INDEX(Album!$D:$D, MATCH(B335,Album!$C:$C,0))</f>
        <v>2018</v>
      </c>
      <c r="D335">
        <v>5</v>
      </c>
      <c r="E335" t="s">
        <v>309</v>
      </c>
      <c r="F335" t="s">
        <v>106</v>
      </c>
      <c r="G335" s="8">
        <v>7051507</v>
      </c>
      <c r="H335" t="s">
        <v>310</v>
      </c>
      <c r="I335" s="8" t="s">
        <v>26</v>
      </c>
      <c r="J335" s="8">
        <v>75</v>
      </c>
      <c r="P335" s="2"/>
      <c r="Q335" s="2"/>
      <c r="R335" s="3"/>
      <c r="S335" s="4"/>
      <c r="T335" s="5"/>
      <c r="U335" s="3"/>
      <c r="V335" s="7"/>
      <c r="W335" s="1"/>
    </row>
    <row r="336" spans="1:23">
      <c r="A336" s="8">
        <f>INDEX(Album!$A:$A, MATCH(B336,Album!$C:$C,0))</f>
        <v>33</v>
      </c>
      <c r="B336" t="s">
        <v>38</v>
      </c>
      <c r="C336">
        <f>INDEX(Album!$D:$D, MATCH(B336,Album!$C:$C,0))</f>
        <v>2018</v>
      </c>
      <c r="D336">
        <v>1</v>
      </c>
      <c r="E336" t="s">
        <v>311</v>
      </c>
      <c r="F336" t="s">
        <v>106</v>
      </c>
      <c r="G336" s="8">
        <v>7107554</v>
      </c>
      <c r="H336" t="s">
        <v>137</v>
      </c>
      <c r="I336" s="8" t="s">
        <v>2</v>
      </c>
      <c r="J336" s="8">
        <v>76</v>
      </c>
    </row>
    <row r="337" spans="1:23">
      <c r="A337" s="8">
        <f>INDEX(Album!$A:$A, MATCH(B337,Album!$C:$C,0))</f>
        <v>33</v>
      </c>
      <c r="B337" t="s">
        <v>38</v>
      </c>
      <c r="C337">
        <f>INDEX(Album!$D:$D, MATCH(B337,Album!$C:$C,0))</f>
        <v>2018</v>
      </c>
      <c r="D337">
        <v>2</v>
      </c>
      <c r="E337" t="s">
        <v>312</v>
      </c>
      <c r="F337" t="s">
        <v>106</v>
      </c>
      <c r="G337" s="8">
        <v>7067555</v>
      </c>
      <c r="H337" t="s">
        <v>310</v>
      </c>
      <c r="I337" s="8" t="s">
        <v>18</v>
      </c>
      <c r="J337" s="8">
        <v>86</v>
      </c>
      <c r="P337" s="2"/>
      <c r="Q337" s="2"/>
      <c r="R337" s="3"/>
      <c r="S337" s="3"/>
      <c r="T337" s="5"/>
      <c r="U337" s="3"/>
      <c r="V337" s="7"/>
      <c r="W337" s="1"/>
    </row>
    <row r="338" spans="1:23">
      <c r="A338" s="8">
        <f>INDEX(Album!$A:$A, MATCH(B338,Album!$C:$C,0))</f>
        <v>33</v>
      </c>
      <c r="B338" t="s">
        <v>38</v>
      </c>
      <c r="C338">
        <f>INDEX(Album!$D:$D, MATCH(B338,Album!$C:$C,0))</f>
        <v>2018</v>
      </c>
      <c r="D338">
        <v>3</v>
      </c>
      <c r="E338" t="s">
        <v>313</v>
      </c>
      <c r="F338" t="s">
        <v>106</v>
      </c>
      <c r="G338" s="8">
        <v>7106807</v>
      </c>
      <c r="H338" t="s">
        <v>109</v>
      </c>
      <c r="I338" s="8" t="s">
        <v>21</v>
      </c>
      <c r="J338" s="8">
        <v>72</v>
      </c>
      <c r="P338" s="2"/>
      <c r="Q338" s="2"/>
      <c r="R338" s="3"/>
      <c r="S338" s="3"/>
      <c r="T338" s="5"/>
      <c r="U338" s="3"/>
      <c r="V338" s="7"/>
      <c r="W338" s="1"/>
    </row>
    <row r="339" spans="1:23">
      <c r="A339" s="8">
        <f>INDEX(Album!$A:$A, MATCH(B339,Album!$C:$C,0))</f>
        <v>33</v>
      </c>
      <c r="B339" t="s">
        <v>38</v>
      </c>
      <c r="C339">
        <f>INDEX(Album!$D:$D, MATCH(B339,Album!$C:$C,0))</f>
        <v>2018</v>
      </c>
      <c r="D339">
        <v>4</v>
      </c>
      <c r="E339" t="s">
        <v>314</v>
      </c>
      <c r="F339" t="s">
        <v>106</v>
      </c>
      <c r="G339" s="8">
        <v>7102401</v>
      </c>
      <c r="H339" t="s">
        <v>107</v>
      </c>
      <c r="I339" s="8" t="s">
        <v>9</v>
      </c>
      <c r="J339" s="8">
        <v>86</v>
      </c>
      <c r="P339" s="2"/>
      <c r="Q339" s="2"/>
      <c r="R339" s="3"/>
      <c r="S339" s="4"/>
      <c r="T339" s="5"/>
      <c r="U339" s="3"/>
      <c r="V339" s="3"/>
      <c r="W339" s="1"/>
    </row>
    <row r="340" spans="1:23">
      <c r="A340" s="8">
        <f>INDEX(Album!$A:$A, MATCH(B340,Album!$C:$C,0))</f>
        <v>33</v>
      </c>
      <c r="B340" t="s">
        <v>38</v>
      </c>
      <c r="C340">
        <f>INDEX(Album!$D:$D, MATCH(B340,Album!$C:$C,0))</f>
        <v>2018</v>
      </c>
      <c r="D340">
        <v>5</v>
      </c>
      <c r="E340" t="s">
        <v>315</v>
      </c>
      <c r="F340" t="s">
        <v>106</v>
      </c>
      <c r="G340" s="8">
        <v>7060709</v>
      </c>
      <c r="H340" t="s">
        <v>113</v>
      </c>
      <c r="I340" s="8" t="s">
        <v>4</v>
      </c>
      <c r="J340" s="8">
        <v>75</v>
      </c>
    </row>
    <row r="341" spans="1:23">
      <c r="A341" s="8">
        <f>INDEX(Album!$A:$A, MATCH(B341,Album!$C:$C,0))</f>
        <v>33</v>
      </c>
      <c r="B341" t="s">
        <v>38</v>
      </c>
      <c r="C341">
        <f>INDEX(Album!$D:$D, MATCH(B341,Album!$C:$C,0))</f>
        <v>2018</v>
      </c>
      <c r="D341">
        <v>6</v>
      </c>
      <c r="E341" t="s">
        <v>316</v>
      </c>
      <c r="F341" t="s">
        <v>317</v>
      </c>
      <c r="G341" s="8">
        <v>7068430</v>
      </c>
      <c r="H341" t="s">
        <v>281</v>
      </c>
      <c r="I341" s="8" t="s">
        <v>4</v>
      </c>
      <c r="J341" s="8">
        <v>74</v>
      </c>
    </row>
    <row r="342" spans="1:23">
      <c r="A342" s="8">
        <f>INDEX(Album!$A:$A, MATCH(B342,Album!$C:$C,0))</f>
        <v>33</v>
      </c>
      <c r="B342" t="s">
        <v>38</v>
      </c>
      <c r="C342">
        <f>INDEX(Album!$D:$D, MATCH(B342,Album!$C:$C,0))</f>
        <v>2018</v>
      </c>
      <c r="D342">
        <v>7</v>
      </c>
      <c r="E342" t="s">
        <v>318</v>
      </c>
      <c r="F342" t="s">
        <v>319</v>
      </c>
      <c r="G342" s="8">
        <v>7084123</v>
      </c>
      <c r="H342" t="s">
        <v>281</v>
      </c>
      <c r="I342" s="8" t="s">
        <v>15</v>
      </c>
      <c r="J342" s="8">
        <v>64</v>
      </c>
      <c r="P342" s="2"/>
      <c r="Q342" s="2"/>
      <c r="R342" s="3"/>
      <c r="S342" s="4"/>
      <c r="T342" s="5"/>
      <c r="U342" s="3"/>
      <c r="V342" s="3"/>
      <c r="W342" s="1"/>
    </row>
    <row r="343" spans="1:23">
      <c r="A343" s="8">
        <f>INDEX(Album!$A:$A, MATCH(B343,Album!$C:$C,0))</f>
        <v>33</v>
      </c>
      <c r="B343" t="s">
        <v>38</v>
      </c>
      <c r="C343">
        <f>INDEX(Album!$D:$D, MATCH(B343,Album!$C:$C,0))</f>
        <v>2018</v>
      </c>
      <c r="D343">
        <v>8</v>
      </c>
      <c r="E343" t="s">
        <v>320</v>
      </c>
      <c r="F343" t="s">
        <v>106</v>
      </c>
      <c r="G343" s="8">
        <v>7017785</v>
      </c>
      <c r="H343" t="s">
        <v>113</v>
      </c>
      <c r="I343" s="8" t="s">
        <v>22</v>
      </c>
      <c r="J343" s="8">
        <v>71</v>
      </c>
    </row>
    <row r="344" spans="1:23">
      <c r="A344" s="8">
        <f>INDEX(Album!$A:$A, MATCH(B344,Album!$C:$C,0))</f>
        <v>33</v>
      </c>
      <c r="B344" t="s">
        <v>38</v>
      </c>
      <c r="C344">
        <f>INDEX(Album!$D:$D, MATCH(B344,Album!$C:$C,0))</f>
        <v>2018</v>
      </c>
      <c r="D344">
        <v>9</v>
      </c>
      <c r="E344" t="s">
        <v>321</v>
      </c>
      <c r="F344" t="s">
        <v>106</v>
      </c>
      <c r="G344" s="8">
        <v>7068422</v>
      </c>
      <c r="H344" t="s">
        <v>107</v>
      </c>
      <c r="I344" s="8" t="s">
        <v>2</v>
      </c>
      <c r="J344" s="8">
        <v>122</v>
      </c>
    </row>
    <row r="345" spans="1:23">
      <c r="A345" s="8">
        <f>INDEX(Album!$A:$A, MATCH(B345,Album!$C:$C,0))</f>
        <v>33</v>
      </c>
      <c r="B345" t="s">
        <v>38</v>
      </c>
      <c r="C345">
        <f>INDEX(Album!$D:$D, MATCH(B345,Album!$C:$C,0))</f>
        <v>2018</v>
      </c>
      <c r="D345">
        <v>10</v>
      </c>
      <c r="E345" t="s">
        <v>322</v>
      </c>
      <c r="F345" t="s">
        <v>106</v>
      </c>
      <c r="G345" s="8">
        <v>7060031</v>
      </c>
      <c r="H345" t="s">
        <v>323</v>
      </c>
      <c r="I345" s="8" t="s">
        <v>2</v>
      </c>
      <c r="J345" s="8">
        <v>78</v>
      </c>
    </row>
    <row r="346" spans="1:23">
      <c r="A346" s="8">
        <f>INDEX(Album!$A:$A, MATCH(B346,Album!$C:$C,0))</f>
        <v>34</v>
      </c>
      <c r="B346" t="s">
        <v>73</v>
      </c>
      <c r="C346">
        <f>INDEX(Album!$D:$D, MATCH(B346,Album!$C:$C,0))</f>
        <v>2019</v>
      </c>
      <c r="D346">
        <v>1</v>
      </c>
      <c r="E346" t="s">
        <v>76</v>
      </c>
      <c r="F346" t="s">
        <v>106</v>
      </c>
      <c r="H346" t="s">
        <v>106</v>
      </c>
    </row>
    <row r="347" spans="1:23">
      <c r="A347" s="8">
        <f>INDEX(Album!$A:$A, MATCH(B347,Album!$C:$C,0))</f>
        <v>34</v>
      </c>
      <c r="B347" t="s">
        <v>73</v>
      </c>
      <c r="C347">
        <f>INDEX(Album!$D:$D, MATCH(B347,Album!$C:$C,0))</f>
        <v>2019</v>
      </c>
      <c r="D347">
        <v>2</v>
      </c>
      <c r="E347" t="s">
        <v>77</v>
      </c>
      <c r="F347" t="s">
        <v>106</v>
      </c>
      <c r="H347" t="s">
        <v>106</v>
      </c>
      <c r="L347" s="28" t="s">
        <v>63</v>
      </c>
    </row>
    <row r="348" spans="1:23">
      <c r="A348" s="8">
        <f>INDEX(Album!$A:$A, MATCH(B348,Album!$C:$C,0))</f>
        <v>34</v>
      </c>
      <c r="B348" t="s">
        <v>73</v>
      </c>
      <c r="C348">
        <f>INDEX(Album!$D:$D, MATCH(B348,Album!$C:$C,0))</f>
        <v>2019</v>
      </c>
      <c r="D348">
        <v>3</v>
      </c>
      <c r="E348" t="s">
        <v>78</v>
      </c>
      <c r="F348" t="s">
        <v>106</v>
      </c>
      <c r="H348" t="s">
        <v>106</v>
      </c>
      <c r="L348" s="28" t="s">
        <v>63</v>
      </c>
    </row>
    <row r="349" spans="1:23">
      <c r="A349" s="8">
        <f>INDEX(Album!$A:$A, MATCH(B349,Album!$C:$C,0))</f>
        <v>34</v>
      </c>
      <c r="B349" t="s">
        <v>73</v>
      </c>
      <c r="C349">
        <f>INDEX(Album!$D:$D, MATCH(B349,Album!$C:$C,0))</f>
        <v>2019</v>
      </c>
      <c r="D349">
        <v>4</v>
      </c>
      <c r="E349" t="s">
        <v>79</v>
      </c>
      <c r="F349" t="s">
        <v>106</v>
      </c>
      <c r="H349" t="s">
        <v>106</v>
      </c>
      <c r="L349" s="28" t="s">
        <v>63</v>
      </c>
    </row>
    <row r="350" spans="1:23">
      <c r="A350" s="8">
        <f>INDEX(Album!$A:$A, MATCH(B350,Album!$C:$C,0))</f>
        <v>34</v>
      </c>
      <c r="B350" t="s">
        <v>73</v>
      </c>
      <c r="C350">
        <f>INDEX(Album!$D:$D, MATCH(B350,Album!$C:$C,0))</f>
        <v>2019</v>
      </c>
      <c r="D350">
        <v>5</v>
      </c>
      <c r="E350" t="s">
        <v>80</v>
      </c>
      <c r="F350" t="s">
        <v>106</v>
      </c>
      <c r="H350" t="s">
        <v>106</v>
      </c>
    </row>
    <row r="351" spans="1:23">
      <c r="A351" s="8">
        <f>INDEX(Album!$A:$A, MATCH(B351,Album!$C:$C,0))</f>
        <v>34</v>
      </c>
      <c r="B351" t="s">
        <v>73</v>
      </c>
      <c r="C351">
        <f>INDEX(Album!$D:$D, MATCH(B351,Album!$C:$C,0))</f>
        <v>2019</v>
      </c>
      <c r="D351">
        <v>6</v>
      </c>
      <c r="E351" t="s">
        <v>81</v>
      </c>
      <c r="F351" t="s">
        <v>106</v>
      </c>
      <c r="H351" t="s">
        <v>106</v>
      </c>
    </row>
    <row r="352" spans="1:23">
      <c r="A352" s="8">
        <f>INDEX(Album!$A:$A, MATCH(B352,Album!$C:$C,0))</f>
        <v>34</v>
      </c>
      <c r="B352" t="s">
        <v>73</v>
      </c>
      <c r="C352">
        <f>INDEX(Album!$D:$D, MATCH(B352,Album!$C:$C,0))</f>
        <v>2019</v>
      </c>
      <c r="D352">
        <v>7</v>
      </c>
      <c r="E352" t="s">
        <v>432</v>
      </c>
      <c r="F352" t="s">
        <v>433</v>
      </c>
      <c r="H352" t="s">
        <v>106</v>
      </c>
    </row>
    <row r="353" spans="1:12">
      <c r="A353" s="8">
        <f>INDEX(Album!$A:$A, MATCH(B353,Album!$C:$C,0))</f>
        <v>34</v>
      </c>
      <c r="B353" t="s">
        <v>73</v>
      </c>
      <c r="C353">
        <f>INDEX(Album!$D:$D, MATCH(B353,Album!$C:$C,0))</f>
        <v>2019</v>
      </c>
      <c r="D353">
        <v>8</v>
      </c>
      <c r="E353" t="s">
        <v>82</v>
      </c>
      <c r="F353" t="s">
        <v>106</v>
      </c>
      <c r="H353" t="s">
        <v>106</v>
      </c>
      <c r="L353" s="28" t="s">
        <v>63</v>
      </c>
    </row>
    <row r="354" spans="1:12">
      <c r="A354" s="8">
        <f>INDEX(Album!$A:$A, MATCH(B354,Album!$C:$C,0))</f>
        <v>34</v>
      </c>
      <c r="B354" t="s">
        <v>73</v>
      </c>
      <c r="C354">
        <f>INDEX(Album!$D:$D, MATCH(B354,Album!$C:$C,0))</f>
        <v>2019</v>
      </c>
      <c r="D354">
        <v>9</v>
      </c>
      <c r="E354" t="s">
        <v>83</v>
      </c>
      <c r="F354" t="s">
        <v>106</v>
      </c>
      <c r="H354" t="s">
        <v>106</v>
      </c>
      <c r="L354" s="28" t="s">
        <v>63</v>
      </c>
    </row>
    <row r="355" spans="1:12">
      <c r="A355" s="8">
        <f>INDEX(Album!$A:$A, MATCH(B355,Album!$C:$C,0))</f>
        <v>34</v>
      </c>
      <c r="B355" t="s">
        <v>73</v>
      </c>
      <c r="C355">
        <f>INDEX(Album!$D:$D, MATCH(B355,Album!$C:$C,0))</f>
        <v>2019</v>
      </c>
      <c r="D355">
        <v>10</v>
      </c>
      <c r="E355" t="s">
        <v>84</v>
      </c>
      <c r="F355" t="s">
        <v>106</v>
      </c>
      <c r="H355" t="s">
        <v>106</v>
      </c>
      <c r="L355" s="28" t="s">
        <v>63</v>
      </c>
    </row>
    <row r="356" spans="1:12">
      <c r="A356" s="8">
        <f>INDEX(Album!$A:$A, MATCH(B356,Album!$C:$C,0))</f>
        <v>34</v>
      </c>
      <c r="B356" t="s">
        <v>73</v>
      </c>
      <c r="C356">
        <f>INDEX(Album!$D:$D, MATCH(B356,Album!$C:$C,0))</f>
        <v>2019</v>
      </c>
      <c r="D356">
        <v>11</v>
      </c>
      <c r="E356" t="s">
        <v>85</v>
      </c>
      <c r="F356" t="s">
        <v>106</v>
      </c>
      <c r="H356" t="s">
        <v>106</v>
      </c>
      <c r="L356" s="28" t="s">
        <v>63</v>
      </c>
    </row>
    <row r="357" spans="1:12">
      <c r="A357" s="8">
        <f>INDEX(Album!$A:$A, MATCH(B357,Album!$C:$C,0))</f>
        <v>34</v>
      </c>
      <c r="B357" t="s">
        <v>73</v>
      </c>
      <c r="C357">
        <f>INDEX(Album!$D:$D, MATCH(B357,Album!$C:$C,0))</f>
        <v>2019</v>
      </c>
      <c r="D357">
        <v>12</v>
      </c>
      <c r="E357" t="s">
        <v>86</v>
      </c>
      <c r="F357" t="s">
        <v>106</v>
      </c>
      <c r="H357" t="s">
        <v>106</v>
      </c>
    </row>
    <row r="358" spans="1:12">
      <c r="A358" s="8">
        <f>INDEX(Album!$A:$A, MATCH(B358,Album!$C:$C,0))</f>
        <v>34</v>
      </c>
      <c r="B358" t="s">
        <v>73</v>
      </c>
      <c r="C358">
        <f>INDEX(Album!$D:$D, MATCH(B358,Album!$C:$C,0))</f>
        <v>2019</v>
      </c>
      <c r="D358">
        <v>13</v>
      </c>
      <c r="E358" t="s">
        <v>87</v>
      </c>
      <c r="F358" t="s">
        <v>106</v>
      </c>
      <c r="H358" t="s">
        <v>106</v>
      </c>
    </row>
    <row r="359" spans="1:12">
      <c r="A359" s="8">
        <f>INDEX(Album!$A:$A, MATCH(B359,Album!$C:$C,0))</f>
        <v>35</v>
      </c>
      <c r="B359" t="s">
        <v>646</v>
      </c>
      <c r="C359">
        <f>INDEX(Album!$D:$D, MATCH(B359,Album!$C:$C,0))</f>
        <v>2019</v>
      </c>
      <c r="D359">
        <v>1</v>
      </c>
      <c r="E359" t="s">
        <v>456</v>
      </c>
      <c r="F359" t="s">
        <v>457</v>
      </c>
      <c r="H359" t="s">
        <v>106</v>
      </c>
    </row>
    <row r="360" spans="1:12">
      <c r="A360" s="8">
        <f>INDEX(Album!$A:$A, MATCH(B360,Album!$C:$C,0))</f>
        <v>35</v>
      </c>
      <c r="B360" t="s">
        <v>646</v>
      </c>
      <c r="C360">
        <f>INDEX(Album!$D:$D, MATCH(B360,Album!$C:$C,0))</f>
        <v>2019</v>
      </c>
      <c r="D360">
        <v>2</v>
      </c>
      <c r="E360" t="s">
        <v>458</v>
      </c>
      <c r="F360" t="s">
        <v>457</v>
      </c>
      <c r="H360" t="s">
        <v>106</v>
      </c>
      <c r="L360" s="28" t="s">
        <v>63</v>
      </c>
    </row>
    <row r="361" spans="1:12">
      <c r="A361" s="8">
        <f>INDEX(Album!$A:$A, MATCH(B361,Album!$C:$C,0))</f>
        <v>35</v>
      </c>
      <c r="B361" t="s">
        <v>646</v>
      </c>
      <c r="C361">
        <f>INDEX(Album!$D:$D, MATCH(B361,Album!$C:$C,0))</f>
        <v>2019</v>
      </c>
      <c r="D361">
        <v>3</v>
      </c>
      <c r="E361" t="s">
        <v>449</v>
      </c>
      <c r="F361" t="s">
        <v>457</v>
      </c>
      <c r="H361" t="s">
        <v>106</v>
      </c>
      <c r="L361" s="28" t="s">
        <v>63</v>
      </c>
    </row>
    <row r="362" spans="1:12">
      <c r="A362" s="8">
        <f>INDEX(Album!$A:$A, MATCH(B362,Album!$C:$C,0))</f>
        <v>35</v>
      </c>
      <c r="B362" t="s">
        <v>646</v>
      </c>
      <c r="C362">
        <f>INDEX(Album!$D:$D, MATCH(B362,Album!$C:$C,0))</f>
        <v>2019</v>
      </c>
      <c r="D362">
        <v>4</v>
      </c>
      <c r="E362" t="s">
        <v>447</v>
      </c>
      <c r="F362" t="s">
        <v>457</v>
      </c>
      <c r="H362" t="s">
        <v>106</v>
      </c>
      <c r="L362" s="28" t="s">
        <v>63</v>
      </c>
    </row>
    <row r="363" spans="1:12">
      <c r="A363" s="8">
        <f>INDEX(Album!$A:$A, MATCH(B363,Album!$C:$C,0))</f>
        <v>35</v>
      </c>
      <c r="B363" t="s">
        <v>646</v>
      </c>
      <c r="C363">
        <f>INDEX(Album!$D:$D, MATCH(B363,Album!$C:$C,0))</f>
        <v>2019</v>
      </c>
      <c r="D363">
        <v>5</v>
      </c>
      <c r="E363" t="s">
        <v>448</v>
      </c>
      <c r="F363" t="s">
        <v>457</v>
      </c>
      <c r="H363" t="s">
        <v>106</v>
      </c>
      <c r="L363" s="28" t="s">
        <v>63</v>
      </c>
    </row>
    <row r="364" spans="1:12">
      <c r="A364" s="8">
        <f>INDEX(Album!$A:$A, MATCH(B364,Album!$C:$C,0))</f>
        <v>36</v>
      </c>
      <c r="B364" t="s">
        <v>39</v>
      </c>
      <c r="C364">
        <f>INDEX(Album!$D:$D, MATCH(B364,Album!$C:$C,0))</f>
        <v>2019</v>
      </c>
      <c r="D364">
        <v>1</v>
      </c>
      <c r="E364" t="s">
        <v>324</v>
      </c>
      <c r="F364" t="s">
        <v>106</v>
      </c>
      <c r="G364" s="8">
        <v>7117726</v>
      </c>
      <c r="H364" t="s">
        <v>295</v>
      </c>
      <c r="I364" s="8" t="s">
        <v>22</v>
      </c>
      <c r="J364" s="8">
        <v>63</v>
      </c>
    </row>
    <row r="365" spans="1:12">
      <c r="A365" s="8">
        <f>INDEX(Album!$A:$A, MATCH(B365,Album!$C:$C,0))</f>
        <v>36</v>
      </c>
      <c r="B365" t="s">
        <v>39</v>
      </c>
      <c r="C365">
        <f>INDEX(Album!$D:$D, MATCH(B365,Album!$C:$C,0))</f>
        <v>2019</v>
      </c>
      <c r="D365">
        <v>2</v>
      </c>
      <c r="E365" t="s">
        <v>325</v>
      </c>
      <c r="F365" t="s">
        <v>106</v>
      </c>
      <c r="G365" s="8">
        <v>7033417</v>
      </c>
      <c r="H365" t="s">
        <v>276</v>
      </c>
      <c r="I365" s="8" t="s">
        <v>22</v>
      </c>
      <c r="J365" s="8">
        <v>90.5</v>
      </c>
    </row>
    <row r="366" spans="1:12">
      <c r="A366" s="8">
        <f>INDEX(Album!$A:$A, MATCH(B366,Album!$C:$C,0))</f>
        <v>36</v>
      </c>
      <c r="B366" t="s">
        <v>39</v>
      </c>
      <c r="C366">
        <f>INDEX(Album!$D:$D, MATCH(B366,Album!$C:$C,0))</f>
        <v>2019</v>
      </c>
      <c r="D366">
        <v>3</v>
      </c>
      <c r="E366" t="s">
        <v>326</v>
      </c>
      <c r="F366" t="s">
        <v>106</v>
      </c>
      <c r="G366" s="8">
        <v>7104907</v>
      </c>
      <c r="H366" t="s">
        <v>327</v>
      </c>
      <c r="I366" s="8" t="s">
        <v>12</v>
      </c>
      <c r="J366" s="8">
        <v>67</v>
      </c>
    </row>
    <row r="367" spans="1:12">
      <c r="A367" s="8">
        <f>INDEX(Album!$A:$A, MATCH(B367,Album!$C:$C,0))</f>
        <v>36</v>
      </c>
      <c r="B367" t="s">
        <v>39</v>
      </c>
      <c r="C367">
        <f>INDEX(Album!$D:$D, MATCH(B367,Album!$C:$C,0))</f>
        <v>2019</v>
      </c>
      <c r="D367">
        <v>4</v>
      </c>
      <c r="E367" t="s">
        <v>328</v>
      </c>
      <c r="F367" t="s">
        <v>106</v>
      </c>
      <c r="G367" s="8">
        <v>7080403</v>
      </c>
      <c r="H367" t="s">
        <v>329</v>
      </c>
      <c r="I367" s="8" t="s">
        <v>12</v>
      </c>
      <c r="J367" s="8">
        <v>74</v>
      </c>
    </row>
    <row r="368" spans="1:12">
      <c r="A368" s="8">
        <f>INDEX(Album!$A:$A, MATCH(B368,Album!$C:$C,0))</f>
        <v>36</v>
      </c>
      <c r="B368" t="s">
        <v>39</v>
      </c>
      <c r="C368">
        <f>INDEX(Album!$D:$D, MATCH(B368,Album!$C:$C,0))</f>
        <v>2019</v>
      </c>
      <c r="D368">
        <v>5</v>
      </c>
      <c r="E368" t="s">
        <v>330</v>
      </c>
      <c r="F368" t="s">
        <v>106</v>
      </c>
      <c r="G368" s="8">
        <v>7100876</v>
      </c>
      <c r="H368" t="s">
        <v>331</v>
      </c>
      <c r="I368" s="8" t="s">
        <v>12</v>
      </c>
      <c r="J368" s="8">
        <v>70</v>
      </c>
    </row>
    <row r="369" spans="1:23">
      <c r="A369" s="8">
        <f>INDEX(Album!$A:$A, MATCH(B369,Album!$C:$C,0))</f>
        <v>36</v>
      </c>
      <c r="B369" t="s">
        <v>39</v>
      </c>
      <c r="C369">
        <f>INDEX(Album!$D:$D, MATCH(B369,Album!$C:$C,0))</f>
        <v>2019</v>
      </c>
      <c r="D369">
        <v>6</v>
      </c>
      <c r="E369" t="s">
        <v>156</v>
      </c>
      <c r="F369" t="s">
        <v>106</v>
      </c>
      <c r="G369" s="8">
        <v>7021972</v>
      </c>
      <c r="H369" t="s">
        <v>332</v>
      </c>
      <c r="I369" s="8" t="s">
        <v>12</v>
      </c>
      <c r="J369" s="8">
        <v>65</v>
      </c>
      <c r="P369" s="2"/>
      <c r="Q369" s="2"/>
      <c r="R369" s="3"/>
      <c r="S369" s="3"/>
      <c r="T369" s="5"/>
      <c r="U369" s="3"/>
      <c r="V369" s="3"/>
      <c r="W369" s="1"/>
    </row>
    <row r="370" spans="1:23">
      <c r="A370" s="8">
        <f>INDEX(Album!$A:$A, MATCH(B370,Album!$C:$C,0))</f>
        <v>36</v>
      </c>
      <c r="B370" t="s">
        <v>39</v>
      </c>
      <c r="C370">
        <f>INDEX(Album!$D:$D, MATCH(B370,Album!$C:$C,0))</f>
        <v>2019</v>
      </c>
      <c r="D370">
        <v>7</v>
      </c>
      <c r="E370" t="s">
        <v>333</v>
      </c>
      <c r="F370" t="s">
        <v>106</v>
      </c>
      <c r="G370" s="8">
        <v>7006188</v>
      </c>
      <c r="H370" t="s">
        <v>334</v>
      </c>
      <c r="I370" s="8" t="s">
        <v>12</v>
      </c>
      <c r="J370" s="8">
        <v>71</v>
      </c>
    </row>
    <row r="371" spans="1:23">
      <c r="A371" s="8">
        <f>INDEX(Album!$A:$A, MATCH(B371,Album!$C:$C,0))</f>
        <v>36</v>
      </c>
      <c r="B371" t="s">
        <v>39</v>
      </c>
      <c r="C371">
        <f>INDEX(Album!$D:$D, MATCH(B371,Album!$C:$C,0))</f>
        <v>2019</v>
      </c>
      <c r="D371">
        <v>8</v>
      </c>
      <c r="E371" t="s">
        <v>335</v>
      </c>
      <c r="F371" t="s">
        <v>106</v>
      </c>
      <c r="G371" s="8">
        <v>7102397</v>
      </c>
      <c r="H371" t="s">
        <v>107</v>
      </c>
      <c r="I371" s="8" t="s">
        <v>2</v>
      </c>
      <c r="J371" s="8">
        <v>70</v>
      </c>
      <c r="P371" s="2"/>
      <c r="Q371" s="2"/>
      <c r="R371" s="3"/>
      <c r="S371" s="4"/>
      <c r="T371" s="5"/>
      <c r="U371" s="3"/>
      <c r="V371" s="3"/>
      <c r="W371" s="1"/>
    </row>
    <row r="372" spans="1:23">
      <c r="A372" s="8">
        <f>INDEX(Album!$A:$A, MATCH(B372,Album!$C:$C,0))</f>
        <v>36</v>
      </c>
      <c r="B372" t="s">
        <v>39</v>
      </c>
      <c r="C372">
        <f>INDEX(Album!$D:$D, MATCH(B372,Album!$C:$C,0))</f>
        <v>2019</v>
      </c>
      <c r="D372">
        <v>9</v>
      </c>
      <c r="E372" t="s">
        <v>336</v>
      </c>
      <c r="F372" t="s">
        <v>106</v>
      </c>
      <c r="G372" s="8">
        <v>7004369</v>
      </c>
      <c r="H372" t="s">
        <v>337</v>
      </c>
      <c r="I372" s="8" t="s">
        <v>2</v>
      </c>
      <c r="J372" s="8">
        <v>58</v>
      </c>
    </row>
    <row r="373" spans="1:23">
      <c r="A373" s="8">
        <f>INDEX(Album!$A:$A, MATCH(B373,Album!$C:$C,0))</f>
        <v>36</v>
      </c>
      <c r="B373" t="s">
        <v>39</v>
      </c>
      <c r="C373">
        <f>INDEX(Album!$D:$D, MATCH(B373,Album!$C:$C,0))</f>
        <v>2019</v>
      </c>
      <c r="D373">
        <v>10</v>
      </c>
      <c r="E373" t="s">
        <v>338</v>
      </c>
      <c r="F373" t="s">
        <v>106</v>
      </c>
      <c r="G373" s="8">
        <v>7078152</v>
      </c>
      <c r="H373" t="s">
        <v>113</v>
      </c>
      <c r="I373" s="8" t="s">
        <v>20</v>
      </c>
      <c r="J373" s="8">
        <v>72</v>
      </c>
    </row>
    <row r="374" spans="1:23">
      <c r="A374" s="8">
        <f>INDEX(Album!$A:$A, MATCH(B374,Album!$C:$C,0))</f>
        <v>36</v>
      </c>
      <c r="B374" t="s">
        <v>39</v>
      </c>
      <c r="C374">
        <f>INDEX(Album!$D:$D, MATCH(B374,Album!$C:$C,0))</f>
        <v>2019</v>
      </c>
      <c r="D374">
        <v>11</v>
      </c>
      <c r="E374" t="s">
        <v>339</v>
      </c>
      <c r="F374" t="s">
        <v>106</v>
      </c>
      <c r="G374" s="8">
        <v>7081764</v>
      </c>
      <c r="H374" t="s">
        <v>340</v>
      </c>
      <c r="I374" s="8" t="s">
        <v>7</v>
      </c>
      <c r="J374" s="8">
        <v>70</v>
      </c>
    </row>
    <row r="375" spans="1:23">
      <c r="A375" s="8">
        <f>INDEX(Album!$A:$A, MATCH(B375,Album!$C:$C,0))</f>
        <v>36</v>
      </c>
      <c r="B375" t="s">
        <v>39</v>
      </c>
      <c r="C375">
        <f>INDEX(Album!$D:$D, MATCH(B375,Album!$C:$C,0))</f>
        <v>2019</v>
      </c>
      <c r="D375">
        <v>12</v>
      </c>
      <c r="E375" t="s">
        <v>341</v>
      </c>
      <c r="F375" t="s">
        <v>106</v>
      </c>
      <c r="G375" s="8">
        <v>7019974</v>
      </c>
      <c r="H375" t="s">
        <v>107</v>
      </c>
      <c r="I375" s="8" t="s">
        <v>7</v>
      </c>
      <c r="J375" s="8">
        <v>70.5</v>
      </c>
      <c r="P375" s="2"/>
      <c r="Q375" s="2"/>
      <c r="R375" s="3"/>
      <c r="S375" s="3"/>
      <c r="T375" s="5"/>
      <c r="U375" s="3"/>
      <c r="V375" s="7"/>
      <c r="W375" s="1"/>
    </row>
    <row r="376" spans="1:23">
      <c r="A376" s="8">
        <f>INDEX(Album!$A:$A, MATCH(B376,Album!$C:$C,0))</f>
        <v>37</v>
      </c>
      <c r="B376" t="s">
        <v>40</v>
      </c>
      <c r="C376">
        <f>INDEX(Album!$D:$D, MATCH(B376,Album!$C:$C,0))</f>
        <v>2020</v>
      </c>
      <c r="D376">
        <v>1</v>
      </c>
      <c r="E376" t="s">
        <v>342</v>
      </c>
      <c r="F376" t="s">
        <v>106</v>
      </c>
      <c r="G376" s="8">
        <v>7097216</v>
      </c>
      <c r="H376" t="s">
        <v>255</v>
      </c>
      <c r="I376" s="8" t="s">
        <v>2</v>
      </c>
      <c r="J376" s="8">
        <v>74</v>
      </c>
    </row>
    <row r="377" spans="1:23">
      <c r="A377" s="8">
        <f>INDEX(Album!$A:$A, MATCH(B377,Album!$C:$C,0))</f>
        <v>37</v>
      </c>
      <c r="B377" t="s">
        <v>40</v>
      </c>
      <c r="C377">
        <f>INDEX(Album!$D:$D, MATCH(B377,Album!$C:$C,0))</f>
        <v>2020</v>
      </c>
      <c r="D377">
        <v>2</v>
      </c>
      <c r="E377" t="s">
        <v>343</v>
      </c>
      <c r="F377" t="s">
        <v>106</v>
      </c>
      <c r="G377" s="8">
        <v>7121852</v>
      </c>
      <c r="H377" t="s">
        <v>344</v>
      </c>
      <c r="I377" s="8" t="s">
        <v>4</v>
      </c>
      <c r="J377" s="8">
        <v>73</v>
      </c>
      <c r="P377" s="2"/>
      <c r="Q377" s="2"/>
      <c r="R377" s="3"/>
      <c r="S377" s="4"/>
      <c r="T377" s="5"/>
      <c r="U377" s="3"/>
      <c r="V377" s="7"/>
      <c r="W377" s="1"/>
    </row>
    <row r="378" spans="1:23">
      <c r="A378" s="8">
        <f>INDEX(Album!$A:$A, MATCH(B378,Album!$C:$C,0))</f>
        <v>37</v>
      </c>
      <c r="B378" t="s">
        <v>40</v>
      </c>
      <c r="C378">
        <f>INDEX(Album!$D:$D, MATCH(B378,Album!$C:$C,0))</f>
        <v>2020</v>
      </c>
      <c r="D378">
        <v>3</v>
      </c>
      <c r="E378" t="s">
        <v>345</v>
      </c>
      <c r="F378" t="s">
        <v>106</v>
      </c>
      <c r="G378" s="8">
        <v>7076958</v>
      </c>
      <c r="H378" t="s">
        <v>109</v>
      </c>
      <c r="I378" s="8" t="s">
        <v>2</v>
      </c>
      <c r="J378" s="8">
        <v>74</v>
      </c>
    </row>
    <row r="379" spans="1:23">
      <c r="A379" s="8">
        <f>INDEX(Album!$A:$A, MATCH(B379,Album!$C:$C,0))</f>
        <v>37</v>
      </c>
      <c r="B379" t="s">
        <v>40</v>
      </c>
      <c r="C379">
        <f>INDEX(Album!$D:$D, MATCH(B379,Album!$C:$C,0))</f>
        <v>2020</v>
      </c>
      <c r="D379">
        <v>4</v>
      </c>
      <c r="E379" t="s">
        <v>346</v>
      </c>
      <c r="F379" t="s">
        <v>106</v>
      </c>
      <c r="G379" s="8">
        <v>7127647</v>
      </c>
      <c r="H379" t="s">
        <v>281</v>
      </c>
      <c r="I379" s="8" t="s">
        <v>2</v>
      </c>
      <c r="J379" s="8">
        <v>68</v>
      </c>
      <c r="P379" s="2"/>
      <c r="Q379" s="2"/>
      <c r="R379" s="3"/>
      <c r="S379" s="4"/>
      <c r="T379" s="5"/>
      <c r="U379" s="3"/>
      <c r="V379" s="7"/>
      <c r="W379" s="1"/>
    </row>
    <row r="380" spans="1:23">
      <c r="A380" s="8">
        <f>INDEX(Album!$A:$A, MATCH(B380,Album!$C:$C,0))</f>
        <v>37</v>
      </c>
      <c r="B380" t="s">
        <v>40</v>
      </c>
      <c r="C380">
        <f>INDEX(Album!$D:$D, MATCH(B380,Album!$C:$C,0))</f>
        <v>2020</v>
      </c>
      <c r="D380">
        <v>5</v>
      </c>
      <c r="E380" t="s">
        <v>347</v>
      </c>
      <c r="F380" t="s">
        <v>106</v>
      </c>
      <c r="G380" s="8">
        <v>7120418</v>
      </c>
      <c r="H380" t="s">
        <v>348</v>
      </c>
      <c r="I380" s="8" t="s">
        <v>12</v>
      </c>
      <c r="J380" s="8">
        <v>80</v>
      </c>
    </row>
    <row r="381" spans="1:23">
      <c r="A381" s="8">
        <f>INDEX(Album!$A:$A, MATCH(B381,Album!$C:$C,0))</f>
        <v>37</v>
      </c>
      <c r="B381" t="s">
        <v>40</v>
      </c>
      <c r="C381">
        <f>INDEX(Album!$D:$D, MATCH(B381,Album!$C:$C,0))</f>
        <v>2020</v>
      </c>
      <c r="D381">
        <v>6</v>
      </c>
      <c r="E381" t="s">
        <v>349</v>
      </c>
      <c r="F381" t="s">
        <v>106</v>
      </c>
      <c r="G381" s="8">
        <v>7107821</v>
      </c>
      <c r="H381" t="s">
        <v>350</v>
      </c>
      <c r="I381" s="8" t="s">
        <v>4</v>
      </c>
      <c r="J381" s="8">
        <v>72</v>
      </c>
    </row>
    <row r="382" spans="1:23">
      <c r="A382" s="8">
        <f>INDEX(Album!$A:$A, MATCH(B382,Album!$C:$C,0))</f>
        <v>37</v>
      </c>
      <c r="B382" t="s">
        <v>40</v>
      </c>
      <c r="C382">
        <f>INDEX(Album!$D:$D, MATCH(B382,Album!$C:$C,0))</f>
        <v>2020</v>
      </c>
      <c r="D382">
        <v>7</v>
      </c>
      <c r="E382" t="s">
        <v>351</v>
      </c>
      <c r="F382" t="s">
        <v>352</v>
      </c>
      <c r="G382" s="8">
        <v>7089024</v>
      </c>
      <c r="H382" t="s">
        <v>353</v>
      </c>
      <c r="I382" s="8" t="s">
        <v>18</v>
      </c>
      <c r="J382" s="8">
        <v>80</v>
      </c>
    </row>
    <row r="383" spans="1:23">
      <c r="A383" s="8">
        <f>INDEX(Album!$A:$A, MATCH(B383,Album!$C:$C,0))</f>
        <v>37</v>
      </c>
      <c r="B383" t="s">
        <v>40</v>
      </c>
      <c r="C383">
        <f>INDEX(Album!$D:$D, MATCH(B383,Album!$C:$C,0))</f>
        <v>2020</v>
      </c>
      <c r="D383">
        <v>8</v>
      </c>
      <c r="E383" t="s">
        <v>354</v>
      </c>
      <c r="F383" t="s">
        <v>106</v>
      </c>
      <c r="G383" s="8">
        <v>7105442</v>
      </c>
      <c r="H383" t="s">
        <v>355</v>
      </c>
      <c r="I383" s="8" t="s">
        <v>2</v>
      </c>
      <c r="J383" s="8">
        <v>75</v>
      </c>
    </row>
    <row r="384" spans="1:23">
      <c r="A384" s="8">
        <f>INDEX(Album!$A:$A, MATCH(B384,Album!$C:$C,0))</f>
        <v>37</v>
      </c>
      <c r="B384" t="s">
        <v>40</v>
      </c>
      <c r="C384">
        <f>INDEX(Album!$D:$D, MATCH(B384,Album!$C:$C,0))</f>
        <v>2020</v>
      </c>
      <c r="D384">
        <v>9</v>
      </c>
      <c r="E384" t="s">
        <v>356</v>
      </c>
      <c r="F384" t="s">
        <v>106</v>
      </c>
      <c r="G384" s="8">
        <v>7107551</v>
      </c>
      <c r="H384" t="s">
        <v>226</v>
      </c>
      <c r="I384" s="8" t="s">
        <v>2</v>
      </c>
      <c r="J384" s="8">
        <v>75</v>
      </c>
      <c r="P384" s="2"/>
      <c r="Q384" s="2"/>
      <c r="R384" s="3"/>
      <c r="S384" s="3"/>
      <c r="T384" s="5"/>
      <c r="U384" s="3"/>
      <c r="V384" s="7"/>
      <c r="W384" s="1"/>
    </row>
    <row r="385" spans="1:23">
      <c r="A385" s="8">
        <f>INDEX(Album!$A:$A, MATCH(B385,Album!$C:$C,0))</f>
        <v>37</v>
      </c>
      <c r="B385" t="s">
        <v>40</v>
      </c>
      <c r="C385">
        <f>INDEX(Album!$D:$D, MATCH(B385,Album!$C:$C,0))</f>
        <v>2020</v>
      </c>
      <c r="D385">
        <v>10</v>
      </c>
      <c r="E385" t="s">
        <v>357</v>
      </c>
      <c r="F385" t="s">
        <v>106</v>
      </c>
      <c r="G385" s="8">
        <v>7076958</v>
      </c>
      <c r="H385" t="s">
        <v>109</v>
      </c>
      <c r="I385" s="8" t="s">
        <v>4</v>
      </c>
      <c r="J385" s="8">
        <v>102</v>
      </c>
    </row>
    <row r="386" spans="1:23">
      <c r="A386" s="8">
        <f>INDEX(Album!$A:$A, MATCH(B386,Album!$C:$C,0))</f>
        <v>38</v>
      </c>
      <c r="B386" t="s">
        <v>41</v>
      </c>
      <c r="C386">
        <f>INDEX(Album!$D:$D, MATCH(B386,Album!$C:$C,0))</f>
        <v>2020</v>
      </c>
      <c r="D386">
        <v>1</v>
      </c>
      <c r="E386" t="s">
        <v>358</v>
      </c>
      <c r="F386" t="s">
        <v>106</v>
      </c>
      <c r="G386" s="8">
        <v>7124907</v>
      </c>
      <c r="H386" t="s">
        <v>242</v>
      </c>
      <c r="I386" s="8" t="s">
        <v>2</v>
      </c>
      <c r="J386" s="8">
        <v>67</v>
      </c>
      <c r="P386" s="2"/>
      <c r="Q386" s="2"/>
      <c r="R386" s="3"/>
      <c r="S386" s="4"/>
      <c r="T386" s="5"/>
      <c r="U386" s="3"/>
      <c r="V386" s="7"/>
      <c r="W386" s="1"/>
    </row>
    <row r="387" spans="1:23">
      <c r="A387" s="8">
        <f>INDEX(Album!$A:$A, MATCH(B387,Album!$C:$C,0))</f>
        <v>38</v>
      </c>
      <c r="B387" t="s">
        <v>41</v>
      </c>
      <c r="C387">
        <f>INDEX(Album!$D:$D, MATCH(B387,Album!$C:$C,0))</f>
        <v>2020</v>
      </c>
      <c r="D387">
        <v>2</v>
      </c>
      <c r="E387" t="s">
        <v>359</v>
      </c>
      <c r="F387" t="s">
        <v>106</v>
      </c>
      <c r="G387" s="8">
        <v>7133375</v>
      </c>
      <c r="H387" t="s">
        <v>360</v>
      </c>
      <c r="I387" s="8" t="s">
        <v>2</v>
      </c>
      <c r="J387" s="8">
        <v>69</v>
      </c>
    </row>
    <row r="388" spans="1:23">
      <c r="A388" s="8">
        <f>INDEX(Album!$A:$A, MATCH(B388,Album!$C:$C,0))</f>
        <v>38</v>
      </c>
      <c r="B388" t="s">
        <v>41</v>
      </c>
      <c r="C388">
        <f>INDEX(Album!$D:$D, MATCH(B388,Album!$C:$C,0))</f>
        <v>2020</v>
      </c>
      <c r="D388">
        <v>3</v>
      </c>
      <c r="E388" t="s">
        <v>361</v>
      </c>
      <c r="F388" t="s">
        <v>106</v>
      </c>
      <c r="G388" s="8">
        <v>7048885</v>
      </c>
      <c r="H388" t="s">
        <v>257</v>
      </c>
      <c r="I388" s="8" t="s">
        <v>2</v>
      </c>
      <c r="J388" s="8">
        <v>73</v>
      </c>
    </row>
    <row r="389" spans="1:23">
      <c r="A389" s="8">
        <f>INDEX(Album!$A:$A, MATCH(B389,Album!$C:$C,0))</f>
        <v>38</v>
      </c>
      <c r="B389" t="s">
        <v>41</v>
      </c>
      <c r="C389">
        <f>INDEX(Album!$D:$D, MATCH(B389,Album!$C:$C,0))</f>
        <v>2020</v>
      </c>
      <c r="D389">
        <v>4</v>
      </c>
      <c r="E389" t="s">
        <v>362</v>
      </c>
      <c r="F389" t="s">
        <v>106</v>
      </c>
      <c r="G389" s="8">
        <v>7109453</v>
      </c>
      <c r="H389" t="s">
        <v>276</v>
      </c>
      <c r="I389" s="8" t="s">
        <v>2</v>
      </c>
      <c r="J389" s="8">
        <v>71</v>
      </c>
    </row>
    <row r="390" spans="1:23">
      <c r="A390" s="8">
        <f>INDEX(Album!$A:$A, MATCH(B390,Album!$C:$C,0))</f>
        <v>38</v>
      </c>
      <c r="B390" t="s">
        <v>41</v>
      </c>
      <c r="C390">
        <f>INDEX(Album!$D:$D, MATCH(B390,Album!$C:$C,0))</f>
        <v>2020</v>
      </c>
      <c r="D390">
        <v>5</v>
      </c>
      <c r="E390" t="s">
        <v>363</v>
      </c>
      <c r="F390" t="s">
        <v>106</v>
      </c>
      <c r="G390" s="8">
        <v>7073332</v>
      </c>
      <c r="H390" t="s">
        <v>344</v>
      </c>
      <c r="I390" s="8" t="s">
        <v>12</v>
      </c>
      <c r="J390" s="8">
        <v>75</v>
      </c>
    </row>
    <row r="391" spans="1:23">
      <c r="A391" s="8">
        <f>INDEX(Album!$A:$A, MATCH(B391,Album!$C:$C,0))</f>
        <v>38</v>
      </c>
      <c r="B391" t="s">
        <v>41</v>
      </c>
      <c r="C391">
        <f>INDEX(Album!$D:$D, MATCH(B391,Album!$C:$C,0))</f>
        <v>2020</v>
      </c>
      <c r="D391">
        <v>6</v>
      </c>
      <c r="E391" t="s">
        <v>364</v>
      </c>
      <c r="F391" t="s">
        <v>106</v>
      </c>
      <c r="G391" s="8">
        <v>7036096</v>
      </c>
      <c r="H391" t="s">
        <v>344</v>
      </c>
      <c r="I391" s="8" t="s">
        <v>18</v>
      </c>
      <c r="J391" s="8">
        <v>72</v>
      </c>
    </row>
    <row r="392" spans="1:23">
      <c r="A392" s="8">
        <f>INDEX(Album!$A:$A, MATCH(B392,Album!$C:$C,0))</f>
        <v>38</v>
      </c>
      <c r="B392" t="s">
        <v>41</v>
      </c>
      <c r="C392">
        <f>INDEX(Album!$D:$D, MATCH(B392,Album!$C:$C,0))</f>
        <v>2020</v>
      </c>
      <c r="D392">
        <v>7</v>
      </c>
      <c r="E392" t="s">
        <v>365</v>
      </c>
      <c r="F392" t="s">
        <v>106</v>
      </c>
      <c r="G392" s="8">
        <v>5174122</v>
      </c>
      <c r="H392" t="s">
        <v>366</v>
      </c>
      <c r="I392" s="8" t="s">
        <v>21</v>
      </c>
      <c r="J392" s="8">
        <v>65</v>
      </c>
    </row>
    <row r="393" spans="1:23">
      <c r="A393" s="8">
        <f>INDEX(Album!$A:$A, MATCH(B393,Album!$C:$C,0))</f>
        <v>38</v>
      </c>
      <c r="B393" t="s">
        <v>41</v>
      </c>
      <c r="C393">
        <f>INDEX(Album!$D:$D, MATCH(B393,Album!$C:$C,0))</f>
        <v>2020</v>
      </c>
      <c r="D393">
        <v>8</v>
      </c>
      <c r="E393" t="s">
        <v>367</v>
      </c>
      <c r="F393" t="s">
        <v>106</v>
      </c>
      <c r="G393" s="8">
        <v>7098243</v>
      </c>
      <c r="H393" t="s">
        <v>368</v>
      </c>
      <c r="I393" s="8" t="s">
        <v>4</v>
      </c>
      <c r="J393" s="8">
        <v>72</v>
      </c>
    </row>
    <row r="394" spans="1:23">
      <c r="A394" s="8">
        <f>INDEX(Album!$A:$A, MATCH(B394,Album!$C:$C,0))</f>
        <v>38</v>
      </c>
      <c r="B394" t="s">
        <v>41</v>
      </c>
      <c r="C394">
        <f>INDEX(Album!$D:$D, MATCH(B394,Album!$C:$C,0))</f>
        <v>2020</v>
      </c>
      <c r="D394">
        <v>9</v>
      </c>
      <c r="E394" t="s">
        <v>369</v>
      </c>
      <c r="F394" t="s">
        <v>106</v>
      </c>
      <c r="G394" s="8">
        <v>7011451</v>
      </c>
      <c r="H394" t="s">
        <v>251</v>
      </c>
      <c r="I394" s="8" t="s">
        <v>20</v>
      </c>
      <c r="J394" s="8">
        <v>70</v>
      </c>
      <c r="W394" s="1"/>
    </row>
    <row r="395" spans="1:23">
      <c r="A395" s="8">
        <f>INDEX(Album!$A:$A, MATCH(B395,Album!$C:$C,0))</f>
        <v>38</v>
      </c>
      <c r="B395" t="s">
        <v>41</v>
      </c>
      <c r="C395">
        <f>INDEX(Album!$D:$D, MATCH(B395,Album!$C:$C,0))</f>
        <v>2020</v>
      </c>
      <c r="D395">
        <v>10</v>
      </c>
      <c r="E395" t="s">
        <v>370</v>
      </c>
      <c r="F395" t="s">
        <v>106</v>
      </c>
      <c r="G395" s="8">
        <v>7142008</v>
      </c>
      <c r="H395" t="s">
        <v>371</v>
      </c>
      <c r="I395" s="8" t="s">
        <v>18</v>
      </c>
      <c r="J395" s="8">
        <v>86</v>
      </c>
    </row>
    <row r="396" spans="1:23">
      <c r="A396" s="8">
        <f>INDEX(Album!$A:$A, MATCH(B396,Album!$C:$C,0))</f>
        <v>39</v>
      </c>
      <c r="B396" t="s">
        <v>42</v>
      </c>
      <c r="C396">
        <f>INDEX(Album!$D:$D, MATCH(B396,Album!$C:$C,0))</f>
        <v>2020</v>
      </c>
      <c r="D396">
        <v>1</v>
      </c>
      <c r="E396" t="s">
        <v>372</v>
      </c>
      <c r="F396" t="s">
        <v>106</v>
      </c>
      <c r="G396" s="8">
        <v>7122996</v>
      </c>
      <c r="H396" t="s">
        <v>371</v>
      </c>
      <c r="I396" s="8" t="s">
        <v>2</v>
      </c>
      <c r="J396" s="8">
        <v>75</v>
      </c>
    </row>
    <row r="397" spans="1:23">
      <c r="A397" s="8">
        <f>INDEX(Album!$A:$A, MATCH(B397,Album!$C:$C,0))</f>
        <v>39</v>
      </c>
      <c r="B397" t="s">
        <v>42</v>
      </c>
      <c r="C397">
        <f>INDEX(Album!$D:$D, MATCH(B397,Album!$C:$C,0))</f>
        <v>2020</v>
      </c>
      <c r="D397">
        <v>2</v>
      </c>
      <c r="E397" t="s">
        <v>373</v>
      </c>
      <c r="F397" t="s">
        <v>106</v>
      </c>
      <c r="G397" s="8">
        <v>7102399</v>
      </c>
      <c r="H397" t="s">
        <v>107</v>
      </c>
      <c r="I397" s="8" t="s">
        <v>20</v>
      </c>
      <c r="J397" s="8">
        <v>70</v>
      </c>
    </row>
    <row r="398" spans="1:23">
      <c r="A398" s="8">
        <f>INDEX(Album!$A:$A, MATCH(B398,Album!$C:$C,0))</f>
        <v>39</v>
      </c>
      <c r="B398" t="s">
        <v>42</v>
      </c>
      <c r="C398">
        <f>INDEX(Album!$D:$D, MATCH(B398,Album!$C:$C,0))</f>
        <v>2020</v>
      </c>
      <c r="D398">
        <v>3</v>
      </c>
      <c r="E398" t="s">
        <v>374</v>
      </c>
      <c r="F398" t="s">
        <v>106</v>
      </c>
      <c r="G398" s="8">
        <v>7127096</v>
      </c>
      <c r="H398" t="s">
        <v>375</v>
      </c>
      <c r="I398" s="8" t="s">
        <v>2</v>
      </c>
      <c r="J398" s="8">
        <v>91</v>
      </c>
    </row>
    <row r="399" spans="1:23">
      <c r="A399" s="8">
        <f>INDEX(Album!$A:$A, MATCH(B399,Album!$C:$C,0))</f>
        <v>39</v>
      </c>
      <c r="B399" t="s">
        <v>42</v>
      </c>
      <c r="C399">
        <f>INDEX(Album!$D:$D, MATCH(B399,Album!$C:$C,0))</f>
        <v>2020</v>
      </c>
      <c r="D399">
        <v>4</v>
      </c>
      <c r="E399" t="s">
        <v>376</v>
      </c>
      <c r="F399" t="s">
        <v>106</v>
      </c>
      <c r="G399" s="8">
        <v>7110696</v>
      </c>
      <c r="H399" t="s">
        <v>377</v>
      </c>
      <c r="I399" s="8" t="s">
        <v>2</v>
      </c>
      <c r="J399" s="8">
        <v>98</v>
      </c>
    </row>
    <row r="400" spans="1:23">
      <c r="A400" s="8">
        <f>INDEX(Album!$A:$A, MATCH(B400,Album!$C:$C,0))</f>
        <v>39</v>
      </c>
      <c r="B400" t="s">
        <v>42</v>
      </c>
      <c r="C400">
        <f>INDEX(Album!$D:$D, MATCH(B400,Album!$C:$C,0))</f>
        <v>2020</v>
      </c>
      <c r="D400">
        <v>5</v>
      </c>
      <c r="E400" t="s">
        <v>378</v>
      </c>
      <c r="F400" t="s">
        <v>106</v>
      </c>
      <c r="G400" s="8">
        <v>6517269</v>
      </c>
      <c r="H400" t="s">
        <v>371</v>
      </c>
      <c r="I400" s="8" t="s">
        <v>0</v>
      </c>
      <c r="J400" s="8">
        <v>65</v>
      </c>
    </row>
    <row r="401" spans="1:23">
      <c r="A401" s="8">
        <f>INDEX(Album!$A:$A, MATCH(B401,Album!$C:$C,0))</f>
        <v>39</v>
      </c>
      <c r="B401" t="s">
        <v>42</v>
      </c>
      <c r="C401">
        <f>INDEX(Album!$D:$D, MATCH(B401,Album!$C:$C,0))</f>
        <v>2020</v>
      </c>
      <c r="D401">
        <v>6</v>
      </c>
      <c r="E401" t="s">
        <v>379</v>
      </c>
      <c r="F401" t="s">
        <v>106</v>
      </c>
      <c r="G401" s="8">
        <v>7147502</v>
      </c>
      <c r="H401" t="s">
        <v>380</v>
      </c>
      <c r="I401" s="8" t="s">
        <v>22</v>
      </c>
      <c r="J401" s="8">
        <v>71</v>
      </c>
    </row>
    <row r="402" spans="1:23">
      <c r="A402" s="8">
        <f>INDEX(Album!$A:$A, MATCH(B402,Album!$C:$C,0))</f>
        <v>39</v>
      </c>
      <c r="B402" t="s">
        <v>42</v>
      </c>
      <c r="C402">
        <f>INDEX(Album!$D:$D, MATCH(B402,Album!$C:$C,0))</f>
        <v>2020</v>
      </c>
      <c r="D402">
        <v>7</v>
      </c>
      <c r="E402" t="s">
        <v>381</v>
      </c>
      <c r="F402" t="s">
        <v>106</v>
      </c>
      <c r="G402" s="8">
        <v>7054548</v>
      </c>
      <c r="H402" t="s">
        <v>160</v>
      </c>
      <c r="I402" s="8" t="s">
        <v>4</v>
      </c>
      <c r="J402" s="8">
        <v>74</v>
      </c>
    </row>
    <row r="403" spans="1:23">
      <c r="A403" s="8">
        <f>INDEX(Album!$A:$A, MATCH(B403,Album!$C:$C,0))</f>
        <v>39</v>
      </c>
      <c r="B403" t="s">
        <v>42</v>
      </c>
      <c r="C403">
        <f>INDEX(Album!$D:$D, MATCH(B403,Album!$C:$C,0))</f>
        <v>2020</v>
      </c>
      <c r="D403">
        <v>8</v>
      </c>
      <c r="E403" t="s">
        <v>291</v>
      </c>
      <c r="F403" t="s">
        <v>382</v>
      </c>
      <c r="G403" s="8">
        <v>5638022</v>
      </c>
      <c r="H403" t="s">
        <v>383</v>
      </c>
      <c r="I403" s="8" t="s">
        <v>2</v>
      </c>
      <c r="J403" s="8">
        <v>74</v>
      </c>
      <c r="P403" s="2"/>
      <c r="Q403" s="2"/>
      <c r="R403" s="3"/>
      <c r="S403" s="4"/>
      <c r="T403" s="5"/>
      <c r="U403" s="3"/>
      <c r="V403" s="7"/>
      <c r="W403" s="1"/>
    </row>
    <row r="404" spans="1:23">
      <c r="A404" s="8">
        <f>INDEX(Album!$A:$A, MATCH(B404,Album!$C:$C,0))</f>
        <v>39</v>
      </c>
      <c r="B404" t="s">
        <v>42</v>
      </c>
      <c r="C404">
        <f>INDEX(Album!$D:$D, MATCH(B404,Album!$C:$C,0))</f>
        <v>2020</v>
      </c>
      <c r="D404">
        <v>9</v>
      </c>
      <c r="E404" t="s">
        <v>384</v>
      </c>
      <c r="F404" t="s">
        <v>106</v>
      </c>
      <c r="G404" s="8">
        <v>7067561</v>
      </c>
      <c r="H404" t="s">
        <v>251</v>
      </c>
      <c r="I404" s="8" t="s">
        <v>2</v>
      </c>
      <c r="J404" s="8">
        <v>80</v>
      </c>
    </row>
    <row r="405" spans="1:23">
      <c r="A405" s="8">
        <f>INDEX(Album!$A:$A, MATCH(B405,Album!$C:$C,0))</f>
        <v>39</v>
      </c>
      <c r="B405" t="s">
        <v>42</v>
      </c>
      <c r="C405">
        <f>INDEX(Album!$D:$D, MATCH(B405,Album!$C:$C,0))</f>
        <v>2020</v>
      </c>
      <c r="D405">
        <v>10</v>
      </c>
      <c r="E405" t="s">
        <v>218</v>
      </c>
      <c r="F405" t="s">
        <v>106</v>
      </c>
      <c r="G405" s="8">
        <v>7107548</v>
      </c>
      <c r="H405" t="s">
        <v>109</v>
      </c>
      <c r="I405" s="8" t="s">
        <v>4</v>
      </c>
      <c r="J405" s="8">
        <v>70</v>
      </c>
    </row>
    <row r="406" spans="1:23">
      <c r="A406" s="8">
        <f>INDEX(Album!$A:$A, MATCH(B406,Album!$C:$C,0))</f>
        <v>40</v>
      </c>
      <c r="B406" t="s">
        <v>43</v>
      </c>
      <c r="C406">
        <f>INDEX(Album!$D:$D, MATCH(B406,Album!$C:$C,0))</f>
        <v>2020</v>
      </c>
      <c r="D406">
        <v>1</v>
      </c>
      <c r="E406" t="s">
        <v>385</v>
      </c>
      <c r="F406" t="s">
        <v>106</v>
      </c>
      <c r="G406" s="8" t="s">
        <v>46</v>
      </c>
      <c r="H406" t="s">
        <v>386</v>
      </c>
      <c r="I406" s="8" t="s">
        <v>2</v>
      </c>
      <c r="J406" s="8">
        <v>76</v>
      </c>
    </row>
    <row r="407" spans="1:23">
      <c r="A407" s="8">
        <f>INDEX(Album!$A:$A, MATCH(B407,Album!$C:$C,0))</f>
        <v>40</v>
      </c>
      <c r="B407" t="s">
        <v>43</v>
      </c>
      <c r="C407">
        <f>INDEX(Album!$D:$D, MATCH(B407,Album!$C:$C,0))</f>
        <v>2020</v>
      </c>
      <c r="D407">
        <v>2</v>
      </c>
      <c r="E407" t="s">
        <v>387</v>
      </c>
      <c r="F407" t="s">
        <v>106</v>
      </c>
      <c r="G407" s="8">
        <v>7059306</v>
      </c>
      <c r="H407" t="s">
        <v>109</v>
      </c>
      <c r="I407" s="8" t="s">
        <v>2</v>
      </c>
      <c r="J407" s="8">
        <v>73.5</v>
      </c>
    </row>
    <row r="408" spans="1:23">
      <c r="A408" s="8">
        <f>INDEX(Album!$A:$A, MATCH(B408,Album!$C:$C,0))</f>
        <v>40</v>
      </c>
      <c r="B408" t="s">
        <v>43</v>
      </c>
      <c r="C408">
        <f>INDEX(Album!$D:$D, MATCH(B408,Album!$C:$C,0))</f>
        <v>2020</v>
      </c>
      <c r="D408">
        <v>3</v>
      </c>
      <c r="E408" t="s">
        <v>388</v>
      </c>
      <c r="F408" t="s">
        <v>106</v>
      </c>
      <c r="G408" s="8">
        <v>7138219</v>
      </c>
      <c r="H408" t="s">
        <v>251</v>
      </c>
      <c r="I408" s="8" t="s">
        <v>4</v>
      </c>
      <c r="J408" s="8">
        <v>70</v>
      </c>
    </row>
    <row r="409" spans="1:23">
      <c r="A409" s="8">
        <f>INDEX(Album!$A:$A, MATCH(B409,Album!$C:$C,0))</f>
        <v>40</v>
      </c>
      <c r="B409" t="s">
        <v>43</v>
      </c>
      <c r="C409">
        <f>INDEX(Album!$D:$D, MATCH(B409,Album!$C:$C,0))</f>
        <v>2020</v>
      </c>
      <c r="D409">
        <v>4</v>
      </c>
      <c r="E409" t="s">
        <v>389</v>
      </c>
      <c r="F409" t="s">
        <v>106</v>
      </c>
      <c r="G409" s="8">
        <v>27714</v>
      </c>
      <c r="H409" t="s">
        <v>29</v>
      </c>
      <c r="I409" s="8" t="s">
        <v>18</v>
      </c>
      <c r="J409" s="8">
        <v>70</v>
      </c>
    </row>
    <row r="410" spans="1:23">
      <c r="A410" s="8">
        <f>INDEX(Album!$A:$A, MATCH(B410,Album!$C:$C,0))</f>
        <v>40</v>
      </c>
      <c r="B410" t="s">
        <v>43</v>
      </c>
      <c r="C410">
        <f>INDEX(Album!$D:$D, MATCH(B410,Album!$C:$C,0))</f>
        <v>2020</v>
      </c>
      <c r="D410">
        <v>5</v>
      </c>
      <c r="E410" t="s">
        <v>390</v>
      </c>
      <c r="F410" t="s">
        <v>106</v>
      </c>
      <c r="G410" s="8">
        <v>3469389</v>
      </c>
      <c r="H410" t="s">
        <v>391</v>
      </c>
      <c r="I410" s="8" t="s">
        <v>2</v>
      </c>
      <c r="J410" s="8">
        <v>70</v>
      </c>
    </row>
    <row r="411" spans="1:23">
      <c r="A411" s="8">
        <f>INDEX(Album!$A:$A, MATCH(B411,Album!$C:$C,0))</f>
        <v>40</v>
      </c>
      <c r="B411" t="s">
        <v>43</v>
      </c>
      <c r="C411">
        <f>INDEX(Album!$D:$D, MATCH(B411,Album!$C:$C,0))</f>
        <v>2020</v>
      </c>
      <c r="D411">
        <v>6</v>
      </c>
      <c r="E411" t="s">
        <v>392</v>
      </c>
      <c r="F411" t="s">
        <v>106</v>
      </c>
      <c r="G411" s="8">
        <v>7054172</v>
      </c>
      <c r="H411" t="s">
        <v>393</v>
      </c>
      <c r="I411" s="8" t="s">
        <v>4</v>
      </c>
      <c r="J411" s="8">
        <v>72</v>
      </c>
    </row>
    <row r="412" spans="1:23">
      <c r="A412" s="8">
        <f>INDEX(Album!$A:$A, MATCH(B412,Album!$C:$C,0))</f>
        <v>40</v>
      </c>
      <c r="B412" t="s">
        <v>43</v>
      </c>
      <c r="C412">
        <f>INDEX(Album!$D:$D, MATCH(B412,Album!$C:$C,0))</f>
        <v>2020</v>
      </c>
      <c r="D412">
        <v>7</v>
      </c>
      <c r="E412" t="s">
        <v>394</v>
      </c>
      <c r="F412" t="s">
        <v>106</v>
      </c>
      <c r="G412" s="8">
        <v>7138939</v>
      </c>
      <c r="H412" t="s">
        <v>47</v>
      </c>
      <c r="I412" s="8" t="s">
        <v>4</v>
      </c>
      <c r="J412" s="8">
        <v>74</v>
      </c>
    </row>
    <row r="413" spans="1:23">
      <c r="A413" s="8">
        <f>INDEX(Album!$A:$A, MATCH(B413,Album!$C:$C,0))</f>
        <v>40</v>
      </c>
      <c r="B413" t="s">
        <v>43</v>
      </c>
      <c r="C413">
        <f>INDEX(Album!$D:$D, MATCH(B413,Album!$C:$C,0))</f>
        <v>2020</v>
      </c>
      <c r="D413">
        <v>8</v>
      </c>
      <c r="E413" t="s">
        <v>395</v>
      </c>
      <c r="F413" t="s">
        <v>396</v>
      </c>
      <c r="G413" s="8">
        <v>23189</v>
      </c>
      <c r="H413" t="s">
        <v>29</v>
      </c>
      <c r="I413" s="8" t="s">
        <v>2</v>
      </c>
      <c r="J413" s="8">
        <v>73.5</v>
      </c>
    </row>
    <row r="414" spans="1:23">
      <c r="A414" s="8">
        <f>INDEX(Album!$A:$A, MATCH(B414,Album!$C:$C,0))</f>
        <v>40</v>
      </c>
      <c r="B414" t="s">
        <v>43</v>
      </c>
      <c r="C414">
        <f>INDEX(Album!$D:$D, MATCH(B414,Album!$C:$C,0))</f>
        <v>2020</v>
      </c>
      <c r="D414">
        <v>9</v>
      </c>
      <c r="E414" t="s">
        <v>397</v>
      </c>
      <c r="F414" t="s">
        <v>106</v>
      </c>
      <c r="G414" s="8">
        <v>7141227</v>
      </c>
      <c r="H414" t="s">
        <v>371</v>
      </c>
      <c r="I414" s="8" t="s">
        <v>22</v>
      </c>
      <c r="J414" s="8">
        <v>105</v>
      </c>
    </row>
    <row r="415" spans="1:23">
      <c r="A415" s="8">
        <f>INDEX(Album!$A:$A, MATCH(B415,Album!$C:$C,0))</f>
        <v>40</v>
      </c>
      <c r="B415" t="s">
        <v>43</v>
      </c>
      <c r="C415">
        <f>INDEX(Album!$D:$D, MATCH(B415,Album!$C:$C,0))</f>
        <v>2020</v>
      </c>
      <c r="D415">
        <v>10</v>
      </c>
      <c r="E415" t="s">
        <v>398</v>
      </c>
      <c r="F415" t="s">
        <v>106</v>
      </c>
      <c r="G415" s="8">
        <v>7147007</v>
      </c>
      <c r="H415" t="s">
        <v>399</v>
      </c>
      <c r="I415" s="8" t="s">
        <v>15</v>
      </c>
      <c r="J415" s="8">
        <v>70</v>
      </c>
    </row>
    <row r="416" spans="1:23">
      <c r="A416" s="8">
        <f>INDEX(Album!$A:$A, MATCH(B416,Album!$C:$C,0))</f>
        <v>41</v>
      </c>
      <c r="B416" t="s">
        <v>44</v>
      </c>
      <c r="C416">
        <f>INDEX(Album!$D:$D, MATCH(B416,Album!$C:$C,0))</f>
        <v>2020</v>
      </c>
      <c r="D416">
        <v>1</v>
      </c>
      <c r="E416" t="s">
        <v>400</v>
      </c>
      <c r="F416" t="s">
        <v>106</v>
      </c>
      <c r="G416" s="8">
        <v>4582588</v>
      </c>
      <c r="H416" t="s">
        <v>29</v>
      </c>
      <c r="I416" s="8" t="s">
        <v>18</v>
      </c>
      <c r="J416" s="8">
        <v>72</v>
      </c>
    </row>
    <row r="417" spans="1:13">
      <c r="A417" s="8">
        <f>INDEX(Album!$A:$A, MATCH(B417,Album!$C:$C,0))</f>
        <v>41</v>
      </c>
      <c r="B417" t="s">
        <v>44</v>
      </c>
      <c r="C417">
        <f>INDEX(Album!$D:$D, MATCH(B417,Album!$C:$C,0))</f>
        <v>2020</v>
      </c>
      <c r="D417">
        <v>2</v>
      </c>
      <c r="E417" t="s">
        <v>401</v>
      </c>
      <c r="F417" t="s">
        <v>106</v>
      </c>
      <c r="G417" s="8">
        <v>7146673</v>
      </c>
      <c r="H417" t="s">
        <v>402</v>
      </c>
      <c r="I417" s="8" t="s">
        <v>18</v>
      </c>
      <c r="J417" s="8">
        <v>62</v>
      </c>
    </row>
    <row r="418" spans="1:13">
      <c r="A418" s="8">
        <f>INDEX(Album!$A:$A, MATCH(B418,Album!$C:$C,0))</f>
        <v>41</v>
      </c>
      <c r="B418" t="s">
        <v>44</v>
      </c>
      <c r="C418">
        <f>INDEX(Album!$D:$D, MATCH(B418,Album!$C:$C,0))</f>
        <v>2020</v>
      </c>
      <c r="D418">
        <v>3</v>
      </c>
      <c r="E418" t="s">
        <v>403</v>
      </c>
      <c r="F418" t="s">
        <v>106</v>
      </c>
      <c r="G418" s="8">
        <v>7149439</v>
      </c>
      <c r="H418" t="s">
        <v>404</v>
      </c>
      <c r="I418" s="8" t="s">
        <v>18</v>
      </c>
      <c r="J418" s="8">
        <v>86</v>
      </c>
    </row>
    <row r="419" spans="1:13">
      <c r="A419" s="8">
        <f>INDEX(Album!$A:$A, MATCH(B419,Album!$C:$C,0))</f>
        <v>41</v>
      </c>
      <c r="B419" t="s">
        <v>44</v>
      </c>
      <c r="C419">
        <f>INDEX(Album!$D:$D, MATCH(B419,Album!$C:$C,0))</f>
        <v>2020</v>
      </c>
      <c r="D419">
        <v>4</v>
      </c>
      <c r="E419" t="s">
        <v>405</v>
      </c>
      <c r="F419" t="s">
        <v>106</v>
      </c>
      <c r="G419" s="8">
        <v>7079706</v>
      </c>
      <c r="H419" t="s">
        <v>406</v>
      </c>
      <c r="I419" s="8" t="s">
        <v>4</v>
      </c>
      <c r="J419" s="8">
        <v>58</v>
      </c>
    </row>
    <row r="420" spans="1:13">
      <c r="A420" s="8">
        <f>INDEX(Album!$A:$A, MATCH(B420,Album!$C:$C,0))</f>
        <v>41</v>
      </c>
      <c r="B420" t="s">
        <v>44</v>
      </c>
      <c r="C420">
        <f>INDEX(Album!$D:$D, MATCH(B420,Album!$C:$C,0))</f>
        <v>2020</v>
      </c>
      <c r="D420">
        <v>5</v>
      </c>
      <c r="E420" t="s">
        <v>407</v>
      </c>
      <c r="F420" t="s">
        <v>106</v>
      </c>
      <c r="G420" s="8">
        <v>7130622</v>
      </c>
      <c r="H420" t="s">
        <v>408</v>
      </c>
      <c r="I420" s="8" t="s">
        <v>7</v>
      </c>
      <c r="J420" s="8">
        <v>66.5</v>
      </c>
    </row>
    <row r="421" spans="1:13">
      <c r="A421" s="8">
        <f>INDEX(Album!$A:$A, MATCH(B421,Album!$C:$C,0))</f>
        <v>41</v>
      </c>
      <c r="B421" t="s">
        <v>44</v>
      </c>
      <c r="C421">
        <f>INDEX(Album!$D:$D, MATCH(B421,Album!$C:$C,0))</f>
        <v>2020</v>
      </c>
      <c r="D421">
        <v>6</v>
      </c>
      <c r="E421" t="s">
        <v>409</v>
      </c>
      <c r="F421" t="s">
        <v>106</v>
      </c>
      <c r="G421" s="8">
        <v>5942543</v>
      </c>
      <c r="H421" t="s">
        <v>109</v>
      </c>
      <c r="I421" s="8" t="s">
        <v>15</v>
      </c>
      <c r="J421" s="8">
        <v>84</v>
      </c>
    </row>
    <row r="422" spans="1:13">
      <c r="A422" s="8">
        <f>INDEX(Album!$A:$A, MATCH(B422,Album!$C:$C,0))</f>
        <v>41</v>
      </c>
      <c r="B422" t="s">
        <v>44</v>
      </c>
      <c r="C422">
        <f>INDEX(Album!$D:$D, MATCH(B422,Album!$C:$C,0))</f>
        <v>2020</v>
      </c>
      <c r="D422">
        <v>7</v>
      </c>
      <c r="E422" t="s">
        <v>410</v>
      </c>
      <c r="F422" t="s">
        <v>106</v>
      </c>
      <c r="G422" s="8">
        <v>7126793</v>
      </c>
      <c r="H422" t="s">
        <v>404</v>
      </c>
      <c r="I422" s="8" t="s">
        <v>0</v>
      </c>
      <c r="J422" s="8">
        <v>76</v>
      </c>
    </row>
    <row r="423" spans="1:13">
      <c r="A423" s="8">
        <f>INDEX(Album!$A:$A, MATCH(B423,Album!$C:$C,0))</f>
        <v>41</v>
      </c>
      <c r="B423" t="s">
        <v>44</v>
      </c>
      <c r="C423">
        <f>INDEX(Album!$D:$D, MATCH(B423,Album!$C:$C,0))</f>
        <v>2020</v>
      </c>
      <c r="D423">
        <v>8</v>
      </c>
      <c r="E423" t="s">
        <v>411</v>
      </c>
      <c r="F423" t="s">
        <v>106</v>
      </c>
      <c r="G423" s="8">
        <v>7153516</v>
      </c>
      <c r="H423" t="s">
        <v>404</v>
      </c>
      <c r="I423" s="8" t="s">
        <v>12</v>
      </c>
      <c r="J423" s="8">
        <v>70.5</v>
      </c>
    </row>
    <row r="424" spans="1:13">
      <c r="A424" s="8">
        <f>INDEX(Album!$A:$A, MATCH(B424,Album!$C:$C,0))</f>
        <v>41</v>
      </c>
      <c r="B424" t="s">
        <v>44</v>
      </c>
      <c r="C424">
        <f>INDEX(Album!$D:$D, MATCH(B424,Album!$C:$C,0))</f>
        <v>2020</v>
      </c>
      <c r="D424">
        <v>9</v>
      </c>
      <c r="E424" t="s">
        <v>412</v>
      </c>
      <c r="F424" t="s">
        <v>106</v>
      </c>
      <c r="G424" s="8">
        <v>6472799</v>
      </c>
      <c r="H424" t="s">
        <v>413</v>
      </c>
      <c r="I424" s="8" t="s">
        <v>2</v>
      </c>
      <c r="J424" s="8">
        <v>79</v>
      </c>
    </row>
    <row r="425" spans="1:13">
      <c r="A425" s="8">
        <f>INDEX(Album!$A:$A, MATCH(B425,Album!$C:$C,0))</f>
        <v>41</v>
      </c>
      <c r="B425" t="s">
        <v>44</v>
      </c>
      <c r="C425">
        <f>INDEX(Album!$D:$D, MATCH(B425,Album!$C:$C,0))</f>
        <v>2020</v>
      </c>
      <c r="D425">
        <v>10</v>
      </c>
      <c r="E425" t="s">
        <v>414</v>
      </c>
      <c r="F425" t="s">
        <v>106</v>
      </c>
      <c r="G425" s="8">
        <v>7068421</v>
      </c>
      <c r="H425" t="s">
        <v>281</v>
      </c>
      <c r="I425" s="8" t="s">
        <v>0</v>
      </c>
      <c r="J425" s="8">
        <v>70</v>
      </c>
    </row>
    <row r="426" spans="1:13">
      <c r="A426" s="8">
        <f>INDEX(Album!$A:$A, MATCH(B426,Album!$C:$C,0))</f>
        <v>41</v>
      </c>
      <c r="B426" t="s">
        <v>44</v>
      </c>
      <c r="C426">
        <f>INDEX(Album!$D:$D, MATCH(B426,Album!$C:$C,0))</f>
        <v>2020</v>
      </c>
      <c r="D426">
        <v>11</v>
      </c>
      <c r="E426" t="s">
        <v>415</v>
      </c>
      <c r="F426" t="s">
        <v>106</v>
      </c>
      <c r="G426" s="8">
        <v>7151239</v>
      </c>
      <c r="H426" t="s">
        <v>402</v>
      </c>
      <c r="I426" s="8" t="s">
        <v>20</v>
      </c>
      <c r="J426" s="8">
        <v>68</v>
      </c>
    </row>
    <row r="427" spans="1:13">
      <c r="A427" s="8">
        <f>INDEX(Album!$A:$A, MATCH(B427,Album!$C:$C,0))</f>
        <v>42</v>
      </c>
      <c r="B427" t="s">
        <v>45</v>
      </c>
      <c r="C427">
        <f>INDEX(Album!$D:$D, MATCH(B427,Album!$C:$C,0))</f>
        <v>2021</v>
      </c>
      <c r="D427">
        <v>1</v>
      </c>
      <c r="E427" t="s">
        <v>55</v>
      </c>
      <c r="F427" t="s">
        <v>106</v>
      </c>
      <c r="G427" s="8">
        <v>7025708</v>
      </c>
      <c r="H427" t="s">
        <v>274</v>
      </c>
      <c r="I427" t="s">
        <v>2</v>
      </c>
      <c r="J427">
        <v>71</v>
      </c>
      <c r="K427"/>
      <c r="M427" s="25"/>
    </row>
    <row r="428" spans="1:13">
      <c r="A428" s="8">
        <f>INDEX(Album!$A:$A, MATCH(B428,Album!$C:$C,0))</f>
        <v>42</v>
      </c>
      <c r="B428" t="s">
        <v>45</v>
      </c>
      <c r="C428">
        <f>INDEX(Album!$D:$D, MATCH(B428,Album!$C:$C,0))</f>
        <v>2021</v>
      </c>
      <c r="D428">
        <v>2</v>
      </c>
      <c r="E428" t="s">
        <v>416</v>
      </c>
      <c r="F428" t="s">
        <v>106</v>
      </c>
      <c r="G428" s="8">
        <v>7133494</v>
      </c>
      <c r="H428" t="s">
        <v>417</v>
      </c>
      <c r="I428" s="8" t="s">
        <v>12</v>
      </c>
      <c r="J428" s="8">
        <v>68.5</v>
      </c>
      <c r="M428" s="25"/>
    </row>
    <row r="429" spans="1:13">
      <c r="A429" s="8">
        <f>INDEX(Album!$A:$A, MATCH(B429,Album!$C:$C,0))</f>
        <v>42</v>
      </c>
      <c r="B429" t="s">
        <v>45</v>
      </c>
      <c r="C429">
        <f>INDEX(Album!$D:$D, MATCH(B429,Album!$C:$C,0))</f>
        <v>2021</v>
      </c>
      <c r="D429">
        <v>3</v>
      </c>
      <c r="E429" t="s">
        <v>418</v>
      </c>
      <c r="F429" t="s">
        <v>106</v>
      </c>
      <c r="G429" s="8">
        <v>7125876</v>
      </c>
      <c r="H429" t="s">
        <v>419</v>
      </c>
      <c r="I429" s="8" t="s">
        <v>20</v>
      </c>
      <c r="J429" s="8">
        <v>77</v>
      </c>
      <c r="M429" s="25"/>
    </row>
    <row r="430" spans="1:13">
      <c r="A430" s="8">
        <f>INDEX(Album!$A:$A, MATCH(B430,Album!$C:$C,0))</f>
        <v>42</v>
      </c>
      <c r="B430" t="s">
        <v>45</v>
      </c>
      <c r="C430">
        <f>INDEX(Album!$D:$D, MATCH(B430,Album!$C:$C,0))</f>
        <v>2021</v>
      </c>
      <c r="D430">
        <v>4</v>
      </c>
      <c r="E430" t="s">
        <v>56</v>
      </c>
      <c r="F430" t="s">
        <v>106</v>
      </c>
      <c r="G430" s="8">
        <v>7108556</v>
      </c>
      <c r="H430" t="s">
        <v>353</v>
      </c>
      <c r="I430" t="s">
        <v>18</v>
      </c>
      <c r="J430">
        <v>78</v>
      </c>
      <c r="K430"/>
      <c r="M430" s="25"/>
    </row>
    <row r="431" spans="1:13">
      <c r="A431" s="8">
        <f>INDEX(Album!$A:$A, MATCH(B431,Album!$C:$C,0))</f>
        <v>42</v>
      </c>
      <c r="B431" t="s">
        <v>45</v>
      </c>
      <c r="C431">
        <f>INDEX(Album!$D:$D, MATCH(B431,Album!$C:$C,0))</f>
        <v>2021</v>
      </c>
      <c r="D431">
        <v>5</v>
      </c>
      <c r="E431" t="s">
        <v>420</v>
      </c>
      <c r="F431" t="s">
        <v>106</v>
      </c>
      <c r="G431" s="8">
        <v>7108656</v>
      </c>
      <c r="H431" t="s">
        <v>421</v>
      </c>
      <c r="I431" s="8" t="s">
        <v>18</v>
      </c>
      <c r="J431" s="8">
        <v>68</v>
      </c>
      <c r="M431" s="25"/>
    </row>
    <row r="432" spans="1:13">
      <c r="A432" s="8">
        <f>INDEX(Album!$A:$A, MATCH(B432,Album!$C:$C,0))</f>
        <v>42</v>
      </c>
      <c r="B432" t="s">
        <v>45</v>
      </c>
      <c r="C432">
        <f>INDEX(Album!$D:$D, MATCH(B432,Album!$C:$C,0))</f>
        <v>2021</v>
      </c>
      <c r="D432">
        <v>6</v>
      </c>
      <c r="E432" t="s">
        <v>422</v>
      </c>
      <c r="F432" t="s">
        <v>106</v>
      </c>
      <c r="G432" s="8">
        <v>19007</v>
      </c>
      <c r="H432" t="s">
        <v>423</v>
      </c>
      <c r="I432" s="8" t="s">
        <v>12</v>
      </c>
      <c r="J432" s="8">
        <v>69</v>
      </c>
      <c r="M432" s="25"/>
    </row>
    <row r="433" spans="1:13">
      <c r="A433" s="8">
        <f>INDEX(Album!$A:$A, MATCH(B433,Album!$C:$C,0))</f>
        <v>42</v>
      </c>
      <c r="B433" t="s">
        <v>45</v>
      </c>
      <c r="C433">
        <f>INDEX(Album!$D:$D, MATCH(B433,Album!$C:$C,0))</f>
        <v>2021</v>
      </c>
      <c r="D433">
        <v>7</v>
      </c>
      <c r="E433" t="s">
        <v>57</v>
      </c>
      <c r="F433" t="s">
        <v>106</v>
      </c>
      <c r="G433" s="8">
        <v>7143863</v>
      </c>
      <c r="H433" t="s">
        <v>640</v>
      </c>
      <c r="I433" t="s">
        <v>2</v>
      </c>
      <c r="J433">
        <v>72</v>
      </c>
      <c r="K433"/>
      <c r="M433" s="25"/>
    </row>
    <row r="434" spans="1:13">
      <c r="A434" s="8">
        <f>INDEX(Album!$A:$A, MATCH(B434,Album!$C:$C,0))</f>
        <v>42</v>
      </c>
      <c r="B434" t="s">
        <v>45</v>
      </c>
      <c r="C434">
        <f>INDEX(Album!$D:$D, MATCH(B434,Album!$C:$C,0))</f>
        <v>2021</v>
      </c>
      <c r="D434">
        <v>8</v>
      </c>
      <c r="E434" t="s">
        <v>639</v>
      </c>
      <c r="F434" t="s">
        <v>106</v>
      </c>
      <c r="G434" s="8">
        <v>7149237</v>
      </c>
      <c r="H434" t="s">
        <v>642</v>
      </c>
      <c r="I434" t="s">
        <v>20</v>
      </c>
      <c r="J434">
        <v>77</v>
      </c>
      <c r="K434"/>
      <c r="M434" s="25"/>
    </row>
    <row r="435" spans="1:13">
      <c r="A435" s="8">
        <f>INDEX(Album!$A:$A, MATCH(B435,Album!$C:$C,0))</f>
        <v>42</v>
      </c>
      <c r="B435" t="s">
        <v>45</v>
      </c>
      <c r="C435">
        <f>INDEX(Album!$D:$D, MATCH(B435,Album!$C:$C,0))</f>
        <v>2021</v>
      </c>
      <c r="D435">
        <v>9</v>
      </c>
      <c r="E435" t="s">
        <v>58</v>
      </c>
      <c r="F435" t="s">
        <v>106</v>
      </c>
      <c r="G435" s="8">
        <v>7122057</v>
      </c>
      <c r="H435" t="s">
        <v>641</v>
      </c>
      <c r="I435" t="s">
        <v>12</v>
      </c>
      <c r="J435">
        <v>61</v>
      </c>
      <c r="K435"/>
      <c r="M435" s="25"/>
    </row>
    <row r="436" spans="1:13">
      <c r="A436" s="8">
        <f>INDEX(Album!$A:$A, MATCH(B436,Album!$C:$C,0))</f>
        <v>42</v>
      </c>
      <c r="B436" t="s">
        <v>45</v>
      </c>
      <c r="C436">
        <f>INDEX(Album!$D:$D, MATCH(B436,Album!$C:$C,0))</f>
        <v>2021</v>
      </c>
      <c r="D436">
        <v>10</v>
      </c>
      <c r="E436" t="s">
        <v>59</v>
      </c>
      <c r="F436" t="s">
        <v>106</v>
      </c>
      <c r="G436" s="8">
        <v>7087303</v>
      </c>
      <c r="H436" t="s">
        <v>421</v>
      </c>
      <c r="I436" t="s">
        <v>22</v>
      </c>
      <c r="J436">
        <v>59</v>
      </c>
      <c r="K436"/>
      <c r="M436" s="25"/>
    </row>
    <row r="437" spans="1:13">
      <c r="A437" s="8">
        <f>INDEX(Album!$A:$A, MATCH(B437,Album!$C:$C,0))</f>
        <v>43</v>
      </c>
      <c r="B437" t="s">
        <v>64</v>
      </c>
      <c r="C437">
        <f>INDEX(Album!$D:$D, MATCH(B437,Album!$C:$C,0))</f>
        <v>2100</v>
      </c>
      <c r="D437">
        <v>1</v>
      </c>
      <c r="E437" t="s">
        <v>482</v>
      </c>
      <c r="F437" t="s">
        <v>106</v>
      </c>
      <c r="G437" s="8">
        <v>7148126</v>
      </c>
      <c r="H437" t="s">
        <v>109</v>
      </c>
      <c r="I437" t="s">
        <v>26</v>
      </c>
      <c r="J437">
        <v>81</v>
      </c>
      <c r="K437"/>
    </row>
    <row r="438" spans="1:13">
      <c r="A438" s="8">
        <f>INDEX(Album!$A:$A, MATCH(B438,Album!$C:$C,0))</f>
        <v>43</v>
      </c>
      <c r="B438" t="s">
        <v>64</v>
      </c>
      <c r="C438">
        <f>INDEX(Album!$D:$D, MATCH(B438,Album!$C:$C,0))</f>
        <v>2100</v>
      </c>
      <c r="D438">
        <v>2</v>
      </c>
      <c r="E438" t="s">
        <v>409</v>
      </c>
      <c r="F438" t="s">
        <v>65</v>
      </c>
      <c r="G438" s="8">
        <v>5942543</v>
      </c>
      <c r="H438" t="s">
        <v>109</v>
      </c>
      <c r="I438" t="s">
        <v>15</v>
      </c>
      <c r="J438">
        <v>84</v>
      </c>
      <c r="K438"/>
    </row>
    <row r="439" spans="1:13">
      <c r="A439" s="8">
        <f>INDEX(Album!$A:$A, MATCH(B439,Album!$C:$C,0))</f>
        <v>43</v>
      </c>
      <c r="B439" t="s">
        <v>64</v>
      </c>
      <c r="C439">
        <f>INDEX(Album!$D:$D, MATCH(B439,Album!$C:$C,0))</f>
        <v>2100</v>
      </c>
      <c r="D439">
        <v>3</v>
      </c>
      <c r="E439" t="s">
        <v>483</v>
      </c>
      <c r="F439" t="s">
        <v>65</v>
      </c>
      <c r="G439" s="8">
        <v>7119315</v>
      </c>
      <c r="H439" t="s">
        <v>262</v>
      </c>
      <c r="I439" t="s">
        <v>2</v>
      </c>
      <c r="J439">
        <v>82</v>
      </c>
      <c r="K439"/>
    </row>
    <row r="440" spans="1:13">
      <c r="A440" s="8">
        <f>INDEX(Album!$A:$A, MATCH(B440,Album!$C:$C,0))</f>
        <v>43</v>
      </c>
      <c r="B440" t="s">
        <v>64</v>
      </c>
      <c r="C440">
        <f>INDEX(Album!$D:$D, MATCH(B440,Album!$C:$C,0))</f>
        <v>2100</v>
      </c>
      <c r="D440">
        <v>4</v>
      </c>
      <c r="E440" t="s">
        <v>484</v>
      </c>
      <c r="F440" t="s">
        <v>65</v>
      </c>
      <c r="G440" s="8">
        <v>7104628</v>
      </c>
      <c r="H440" t="s">
        <v>276</v>
      </c>
      <c r="I440" t="s">
        <v>20</v>
      </c>
      <c r="J440">
        <v>64</v>
      </c>
      <c r="K440"/>
    </row>
    <row r="441" spans="1:13">
      <c r="A441" s="8">
        <f>INDEX(Album!$A:$A, MATCH(B441,Album!$C:$C,0))</f>
        <v>43</v>
      </c>
      <c r="B441" t="s">
        <v>64</v>
      </c>
      <c r="C441">
        <f>INDEX(Album!$D:$D, MATCH(B441,Album!$C:$C,0))</f>
        <v>2100</v>
      </c>
      <c r="D441">
        <v>5</v>
      </c>
      <c r="E441" t="s">
        <v>485</v>
      </c>
      <c r="F441" t="s">
        <v>65</v>
      </c>
      <c r="G441" s="8">
        <v>7123203</v>
      </c>
      <c r="H441" t="s">
        <v>113</v>
      </c>
      <c r="I441" t="s">
        <v>18</v>
      </c>
      <c r="J441">
        <v>63</v>
      </c>
      <c r="K441"/>
    </row>
    <row r="442" spans="1:13">
      <c r="A442" s="8">
        <f>INDEX(Album!$A:$A, MATCH(B442,Album!$C:$C,0))</f>
        <v>43</v>
      </c>
      <c r="B442" t="s">
        <v>64</v>
      </c>
      <c r="C442">
        <f>INDEX(Album!$D:$D, MATCH(B442,Album!$C:$C,0))</f>
        <v>2100</v>
      </c>
      <c r="D442">
        <v>6</v>
      </c>
      <c r="E442" t="s">
        <v>486</v>
      </c>
      <c r="F442" t="s">
        <v>65</v>
      </c>
      <c r="G442" s="8">
        <v>6605236</v>
      </c>
      <c r="H442" t="s">
        <v>276</v>
      </c>
      <c r="I442" t="s">
        <v>15</v>
      </c>
      <c r="J442">
        <v>70</v>
      </c>
      <c r="K442"/>
    </row>
    <row r="443" spans="1:13">
      <c r="A443" s="8">
        <f>INDEX(Album!$A:$A, MATCH(B443,Album!$C:$C,0))</f>
        <v>43</v>
      </c>
      <c r="B443" t="s">
        <v>64</v>
      </c>
      <c r="C443">
        <f>INDEX(Album!$D:$D, MATCH(B443,Album!$C:$C,0))</f>
        <v>2100</v>
      </c>
      <c r="D443">
        <v>7</v>
      </c>
      <c r="E443" t="s">
        <v>487</v>
      </c>
      <c r="F443" t="s">
        <v>65</v>
      </c>
      <c r="G443" s="8">
        <v>3407011</v>
      </c>
      <c r="H443" t="s">
        <v>137</v>
      </c>
      <c r="I443" t="s">
        <v>0</v>
      </c>
      <c r="J443">
        <v>80</v>
      </c>
      <c r="K443"/>
    </row>
    <row r="444" spans="1:13">
      <c r="A444" s="8">
        <f>INDEX(Album!$A:$A, MATCH(B444,Album!$C:$C,0))</f>
        <v>43</v>
      </c>
      <c r="B444" t="s">
        <v>64</v>
      </c>
      <c r="C444">
        <f>INDEX(Album!$D:$D, MATCH(B444,Album!$C:$C,0))</f>
        <v>2100</v>
      </c>
      <c r="D444">
        <v>8</v>
      </c>
      <c r="E444" t="s">
        <v>59</v>
      </c>
      <c r="F444" t="s">
        <v>65</v>
      </c>
      <c r="G444" s="8">
        <v>3406988</v>
      </c>
      <c r="H444" t="s">
        <v>137</v>
      </c>
      <c r="I444" t="s">
        <v>20</v>
      </c>
      <c r="J444">
        <v>80</v>
      </c>
      <c r="K444"/>
    </row>
    <row r="445" spans="1:13">
      <c r="A445" s="8">
        <f>INDEX(Album!$A:$A, MATCH(B445,Album!$C:$C,0))</f>
        <v>43</v>
      </c>
      <c r="B445" t="s">
        <v>64</v>
      </c>
      <c r="C445">
        <f>INDEX(Album!$D:$D, MATCH(B445,Album!$C:$C,0))</f>
        <v>2100</v>
      </c>
      <c r="D445">
        <v>9</v>
      </c>
      <c r="E445" t="s">
        <v>488</v>
      </c>
      <c r="F445" t="s">
        <v>65</v>
      </c>
      <c r="G445" s="8">
        <v>6590815</v>
      </c>
      <c r="H445" t="s">
        <v>137</v>
      </c>
      <c r="I445" t="s">
        <v>20</v>
      </c>
      <c r="J445">
        <v>118</v>
      </c>
      <c r="K445"/>
    </row>
    <row r="446" spans="1:13">
      <c r="A446" s="8">
        <f>INDEX(Album!$A:$A, MATCH(B446,Album!$C:$C,0))</f>
        <v>43</v>
      </c>
      <c r="B446" t="s">
        <v>64</v>
      </c>
      <c r="C446">
        <f>INDEX(Album!$D:$D, MATCH(B446,Album!$C:$C,0))</f>
        <v>2100</v>
      </c>
      <c r="D446">
        <v>10</v>
      </c>
      <c r="E446" t="s">
        <v>489</v>
      </c>
      <c r="F446" t="s">
        <v>65</v>
      </c>
      <c r="G446" s="8">
        <v>5627789</v>
      </c>
      <c r="H446" t="s">
        <v>137</v>
      </c>
      <c r="I446" t="s">
        <v>4</v>
      </c>
      <c r="J446">
        <v>72</v>
      </c>
      <c r="K446"/>
    </row>
    <row r="447" spans="1:13">
      <c r="A447" s="8">
        <f>INDEX(Album!$A:$A, MATCH(B447,Album!$C:$C,0))</f>
        <v>44</v>
      </c>
      <c r="B447" t="s">
        <v>66</v>
      </c>
      <c r="C447">
        <f>INDEX(Album!$D:$D, MATCH(B447,Album!$C:$C,0))</f>
        <v>2100</v>
      </c>
      <c r="D447">
        <v>1</v>
      </c>
      <c r="E447" t="s">
        <v>490</v>
      </c>
      <c r="F447" t="s">
        <v>106</v>
      </c>
      <c r="G447" s="8">
        <v>7087777</v>
      </c>
      <c r="H447" t="s">
        <v>491</v>
      </c>
      <c r="I447" t="s">
        <v>4</v>
      </c>
      <c r="J447">
        <v>85</v>
      </c>
      <c r="K447"/>
    </row>
  </sheetData>
  <autoFilter ref="A1:L447" xr:uid="{23F152FC-994E-4832-A2CE-D027117A4C37}"/>
  <sortState xmlns:xlrd2="http://schemas.microsoft.com/office/spreadsheetml/2017/richdata2" ref="B2:W350">
    <sortCondition ref="B25:B350"/>
    <sortCondition ref="D25:D350"/>
  </sortState>
  <phoneticPr fontId="5" type="noConversion"/>
  <conditionalFormatting sqref="G1:G1048576">
    <cfRule type="duplicateValues" dxfId="1" priority="35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Statistics</vt:lpstr>
      <vt:lpstr>Album</vt:lpstr>
      <vt:lpstr>Track</vt:lpstr>
      <vt:lpstr>Album!_FilterDatabase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2020-12-16T20:52:48Z</dcterms:created>
  <dcterms:modified xsi:type="dcterms:W3CDTF">2021-02-01T05:04:52Z</dcterms:modified>
</cp:coreProperties>
</file>