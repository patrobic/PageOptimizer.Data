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MasterCollection\"/>
    </mc:Choice>
  </mc:AlternateContent>
  <xr:revisionPtr revIDLastSave="0" documentId="13_ncr:1_{E2B6FB6E-45A0-463A-B416-37C81D5D4002}" xr6:coauthVersionLast="45" xr6:coauthVersionMax="45" xr10:uidLastSave="{00000000-0000-0000-0000-000000000000}"/>
  <bookViews>
    <workbookView xWindow="-120" yWindow="-120" windowWidth="29040" windowHeight="15990" activeTab="2" xr2:uid="{CD347702-B65D-448E-9FF6-E909C95B2269}"/>
  </bookViews>
  <sheets>
    <sheet name="Statistics" sheetId="3" r:id="rId1"/>
    <sheet name="Albums" sheetId="2" r:id="rId2"/>
    <sheet name="Songs" sheetId="1" r:id="rId3"/>
  </sheets>
  <externalReferences>
    <externalReference r:id="rId4"/>
    <externalReference r:id="rId5"/>
    <externalReference r:id="rId6"/>
  </externalReferences>
  <definedNames>
    <definedName name="_xlnm._FilterDatabase" localSheetId="1" hidden="1">Albums!$A$1:$G$36</definedName>
    <definedName name="_xlnm._FilterDatabase" localSheetId="2" hidden="1">Songs!$A$1:$AB$465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2" i="1"/>
  <c r="D36" i="2" l="1"/>
  <c r="E12" i="2"/>
  <c r="E26" i="2"/>
  <c r="E27" i="2"/>
  <c r="E28" i="2"/>
  <c r="E29" i="2"/>
  <c r="E30" i="2"/>
  <c r="E31" i="2"/>
  <c r="U274" i="1" l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2" i="1"/>
  <c r="B18" i="3" l="1"/>
  <c r="F17" i="3"/>
  <c r="F13" i="3"/>
  <c r="F5" i="3"/>
  <c r="E25" i="2" l="1"/>
  <c r="E24" i="2"/>
  <c r="E23" i="2"/>
  <c r="E22" i="2"/>
  <c r="E21" i="2"/>
  <c r="E20" i="2"/>
  <c r="E19" i="2"/>
  <c r="E18" i="2"/>
  <c r="E17" i="2"/>
  <c r="E16" i="2"/>
  <c r="E15" i="2"/>
  <c r="E14" i="2"/>
  <c r="E13" i="2"/>
  <c r="E11" i="2"/>
  <c r="E10" i="2"/>
  <c r="E9" i="2"/>
  <c r="E8" i="2"/>
  <c r="E7" i="2"/>
  <c r="E6" i="2"/>
  <c r="E5" i="2"/>
  <c r="E4" i="2"/>
  <c r="E3" i="2"/>
  <c r="E2" i="2"/>
  <c r="AA296" i="1" l="1"/>
  <c r="AA391" i="1" l="1"/>
  <c r="AA392" i="1"/>
  <c r="AA393" i="1"/>
  <c r="AA394" i="1"/>
  <c r="AA395" i="1"/>
  <c r="AA396" i="1"/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2" i="1"/>
</calcChain>
</file>

<file path=xl/sharedStrings.xml><?xml version="1.0" encoding="utf-8"?>
<sst xmlns="http://schemas.openxmlformats.org/spreadsheetml/2006/main" count="4404" uniqueCount="1011">
  <si>
    <t>The Worship Initiative, Vol. 10</t>
  </si>
  <si>
    <t>The Worship Initiative</t>
  </si>
  <si>
    <t>The Worship Initiative, Vol. 11</t>
  </si>
  <si>
    <t>The Worship Initiative, Vol. 12</t>
  </si>
  <si>
    <t>The Worship Initiative, Vol. 13</t>
  </si>
  <si>
    <t>The Worship Initiative, Vol. 14</t>
  </si>
  <si>
    <t>The Worship Initiative, Vol. 15</t>
  </si>
  <si>
    <t>The Worship Initiative, Vol. 16</t>
  </si>
  <si>
    <t>The Worship Initiative, Vol. 17</t>
  </si>
  <si>
    <t>The Worship Initiative, Vol. 18</t>
  </si>
  <si>
    <t>The Worship Initiative, Vol. 19</t>
  </si>
  <si>
    <t>The Worship Initiative, Vol. 20</t>
  </si>
  <si>
    <t>The Worship Initiative, Vol. 21</t>
  </si>
  <si>
    <t>The Worship Initiative, Vol. 22</t>
  </si>
  <si>
    <t>The Worship Initiative, Vol. 23</t>
  </si>
  <si>
    <t>Hymns, Vol. 1</t>
  </si>
  <si>
    <t>Hymns, Vol. 2</t>
  </si>
  <si>
    <t>Lite</t>
  </si>
  <si>
    <t>WI Lite</t>
  </si>
  <si>
    <t>Alt Title</t>
  </si>
  <si>
    <t>Author</t>
  </si>
  <si>
    <t>Key</t>
  </si>
  <si>
    <t>Oceans</t>
  </si>
  <si>
    <t/>
  </si>
  <si>
    <t>Hillsong</t>
  </si>
  <si>
    <t>G</t>
  </si>
  <si>
    <t>This Is Amazing Grace</t>
  </si>
  <si>
    <t>Phil Wickham</t>
  </si>
  <si>
    <t>Bb</t>
  </si>
  <si>
    <t>All the Poor and Powerless</t>
  </si>
  <si>
    <t>All Sons &amp; Daughters</t>
  </si>
  <si>
    <t>B</t>
  </si>
  <si>
    <t>Lord I Need You</t>
  </si>
  <si>
    <t>Matt Maher</t>
  </si>
  <si>
    <t>In Christ Alone</t>
  </si>
  <si>
    <t>Passion</t>
  </si>
  <si>
    <t>E</t>
  </si>
  <si>
    <t>Beautiful Things</t>
  </si>
  <si>
    <t>Gungor</t>
  </si>
  <si>
    <t>D</t>
  </si>
  <si>
    <t>Come Thou Fount</t>
  </si>
  <si>
    <t>Vol. 1</t>
  </si>
  <si>
    <t>10,000 Reasons</t>
  </si>
  <si>
    <t>Matt Redman</t>
  </si>
  <si>
    <t>Whom Shall I Fear</t>
  </si>
  <si>
    <t>God of Angel Armies</t>
  </si>
  <si>
    <t>Chris Tomlin</t>
  </si>
  <si>
    <t>C</t>
  </si>
  <si>
    <t>Happy Day</t>
  </si>
  <si>
    <t>Tim Hughes</t>
  </si>
  <si>
    <t>Heart Starts Beating</t>
  </si>
  <si>
    <t>Tim Neufeld</t>
  </si>
  <si>
    <t>A</t>
  </si>
  <si>
    <t>Hosanna</t>
  </si>
  <si>
    <t>Praise is Rising</t>
  </si>
  <si>
    <t>Paul Baloche</t>
  </si>
  <si>
    <t>Forever Reign</t>
  </si>
  <si>
    <t>Mercy</t>
  </si>
  <si>
    <t>How Great Is Our God</t>
  </si>
  <si>
    <t>You Are My All In All</t>
  </si>
  <si>
    <t>Dennis Jernigan</t>
  </si>
  <si>
    <t>We Exalt Thee</t>
  </si>
  <si>
    <t>Pete Sanchez Jr.</t>
  </si>
  <si>
    <t>Our God</t>
  </si>
  <si>
    <t>Open the Eyes of My Heart</t>
  </si>
  <si>
    <t>Better Is One Day</t>
  </si>
  <si>
    <t>So I Can Love</t>
  </si>
  <si>
    <t>Ab</t>
  </si>
  <si>
    <t>I Will Follow</t>
  </si>
  <si>
    <t>Liberty</t>
  </si>
  <si>
    <t>Shane &amp; Shane</t>
  </si>
  <si>
    <t>Oh Lord, You're Beautiful</t>
  </si>
  <si>
    <t>Keith Green</t>
  </si>
  <si>
    <t>How He Loves</t>
  </si>
  <si>
    <t>John Mark McMillan</t>
  </si>
  <si>
    <t>Never Once</t>
  </si>
  <si>
    <t>Shout to the Lord</t>
  </si>
  <si>
    <t>Before The Throne of God Above</t>
  </si>
  <si>
    <t>Eb</t>
  </si>
  <si>
    <t>Beautiful One</t>
  </si>
  <si>
    <t>Blessed Be Your Name</t>
  </si>
  <si>
    <t>I Stand Amazed</t>
  </si>
  <si>
    <t>How Marvelous</t>
  </si>
  <si>
    <t>Our God Is Love</t>
  </si>
  <si>
    <t>F#</t>
  </si>
  <si>
    <t>Holy Is The Lord</t>
  </si>
  <si>
    <t>Here For You</t>
  </si>
  <si>
    <t>Always</t>
  </si>
  <si>
    <t>Here I Am To Worship</t>
  </si>
  <si>
    <t>Worthy of Affection</t>
  </si>
  <si>
    <t>Healer</t>
  </si>
  <si>
    <t>It Is Well</t>
  </si>
  <si>
    <t>Hymn</t>
  </si>
  <si>
    <t>Db</t>
  </si>
  <si>
    <t>O Praise Him</t>
  </si>
  <si>
    <t>All This For a King</t>
  </si>
  <si>
    <t>Crowder</t>
  </si>
  <si>
    <t>Cornerstone</t>
  </si>
  <si>
    <t>Reign In Us</t>
  </si>
  <si>
    <t>Starfield</t>
  </si>
  <si>
    <t>Cannons</t>
  </si>
  <si>
    <t>Though You Slay Me</t>
  </si>
  <si>
    <t>Let My Words Be Few</t>
  </si>
  <si>
    <t>I Am Set Free</t>
  </si>
  <si>
    <t>Give Us Clean Hands</t>
  </si>
  <si>
    <t>Jesus Paid It All</t>
  </si>
  <si>
    <t>Your Great Name</t>
  </si>
  <si>
    <t>Natalie Grant</t>
  </si>
  <si>
    <t>The Wonderful Cross</t>
  </si>
  <si>
    <t>Because He Lives</t>
  </si>
  <si>
    <t>William Gaither</t>
  </si>
  <si>
    <t>Now and Always</t>
  </si>
  <si>
    <t>Revelation Song</t>
  </si>
  <si>
    <t>Kari Jobe</t>
  </si>
  <si>
    <t>Great Is Thy Faithfulness</t>
  </si>
  <si>
    <t>The Cross Stands</t>
  </si>
  <si>
    <t>Marvelous Light</t>
  </si>
  <si>
    <t>Charlie Hall</t>
  </si>
  <si>
    <t>Forever</t>
  </si>
  <si>
    <t>Sing Praise</t>
  </si>
  <si>
    <t>One Thing Remains</t>
  </si>
  <si>
    <t>Brian Johnson</t>
  </si>
  <si>
    <t>Lead Me to the Cross</t>
  </si>
  <si>
    <t>Your Grace is Enough</t>
  </si>
  <si>
    <t>You're Beautiful</t>
  </si>
  <si>
    <t>Mighty to Save</t>
  </si>
  <si>
    <t>Glorify Thy Name</t>
  </si>
  <si>
    <t>The Maranatha! Singers</t>
  </si>
  <si>
    <t>Desert Song</t>
  </si>
  <si>
    <t>Holy and Anointed One</t>
  </si>
  <si>
    <t>Brian Doerksen</t>
  </si>
  <si>
    <t>Where Would I Be</t>
  </si>
  <si>
    <t>Patrick Ryan Clark</t>
  </si>
  <si>
    <t>Everything is Different</t>
  </si>
  <si>
    <t>Everlasting God</t>
  </si>
  <si>
    <t>Brenton Brown</t>
  </si>
  <si>
    <t>I Will Exalt You</t>
  </si>
  <si>
    <t>The Stand</t>
  </si>
  <si>
    <t>Indescribable</t>
  </si>
  <si>
    <t>I Give You My Heart</t>
  </si>
  <si>
    <t>Nothing But The Blood</t>
  </si>
  <si>
    <t>No Sweeter Name</t>
  </si>
  <si>
    <t>You Never Let Go</t>
  </si>
  <si>
    <t>Enough</t>
  </si>
  <si>
    <t>Amazing Grace</t>
  </si>
  <si>
    <t>My Chains Are Gone</t>
  </si>
  <si>
    <t>Alive Again</t>
  </si>
  <si>
    <t>Yearn</t>
  </si>
  <si>
    <t>Your Love Is Strong</t>
  </si>
  <si>
    <t>Jon Foreman</t>
  </si>
  <si>
    <t>I'm Yours</t>
  </si>
  <si>
    <t>Heart of Worship</t>
  </si>
  <si>
    <t>From The Inside Out</t>
  </si>
  <si>
    <t>Stronger</t>
  </si>
  <si>
    <t>That's How You Forgive</t>
  </si>
  <si>
    <t>Christ Is Risen</t>
  </si>
  <si>
    <t>He is Exalted</t>
  </si>
  <si>
    <t>Twila Paris</t>
  </si>
  <si>
    <t>When the Stars Burn Down</t>
  </si>
  <si>
    <t>Phillips Craig &amp; Dean</t>
  </si>
  <si>
    <t>Your Name</t>
  </si>
  <si>
    <t>God is Able</t>
  </si>
  <si>
    <t>Your Love Never Fails</t>
  </si>
  <si>
    <t>Chris McClarney</t>
  </si>
  <si>
    <t>Your Grace Finds Me</t>
  </si>
  <si>
    <t>I Found It All</t>
  </si>
  <si>
    <t>Majesty</t>
  </si>
  <si>
    <t>Delirious</t>
  </si>
  <si>
    <t>Jesus Messiah</t>
  </si>
  <si>
    <t>I Will Rise</t>
  </si>
  <si>
    <t>God of Wonders</t>
  </si>
  <si>
    <t>Third Day</t>
  </si>
  <si>
    <t>You Are My King</t>
  </si>
  <si>
    <t>Amazing Love</t>
  </si>
  <si>
    <t>How Deep the Father's Love for Us</t>
  </si>
  <si>
    <t>Stuart Townend</t>
  </si>
  <si>
    <t>F</t>
  </si>
  <si>
    <t>God of Ages Past</t>
  </si>
  <si>
    <t>Seas of Crimson</t>
  </si>
  <si>
    <t>This I Believe</t>
  </si>
  <si>
    <t>Scandal of Grace</t>
  </si>
  <si>
    <t>Hillsong United</t>
  </si>
  <si>
    <t>We Sing Hallelujah</t>
  </si>
  <si>
    <t>Jesus Loves Me</t>
  </si>
  <si>
    <t>Christ Be All Around Me</t>
  </si>
  <si>
    <t>You Make Me Brave</t>
  </si>
  <si>
    <t>Amanda Cook</t>
  </si>
  <si>
    <t>Great Are You Lord</t>
  </si>
  <si>
    <t>Man of Sorrows</t>
  </si>
  <si>
    <t>O Come To The Altar</t>
  </si>
  <si>
    <t>Elevation Worship</t>
  </si>
  <si>
    <t>Open Up The Heavens</t>
  </si>
  <si>
    <t>Vertical</t>
  </si>
  <si>
    <t>Be Enthroned</t>
  </si>
  <si>
    <t>Jeremy Riddle</t>
  </si>
  <si>
    <t>Good Good Father</t>
  </si>
  <si>
    <t>HouseFires</t>
  </si>
  <si>
    <t>Holy Spirit</t>
  </si>
  <si>
    <t>Bryan &amp; Katie Torwalt</t>
  </si>
  <si>
    <t>Girls</t>
  </si>
  <si>
    <t>No Longer Slaves</t>
  </si>
  <si>
    <t>Jonathan David &amp; Melissa Helser</t>
  </si>
  <si>
    <t>At The Cross</t>
  </si>
  <si>
    <t>Love Ran Red</t>
  </si>
  <si>
    <t>Praise The King</t>
  </si>
  <si>
    <t>Corey Voss</t>
  </si>
  <si>
    <t>Sovereign Over Us</t>
  </si>
  <si>
    <t>Aaron Keyes</t>
  </si>
  <si>
    <t>Trust You</t>
  </si>
  <si>
    <t>You're Worthy of It All</t>
  </si>
  <si>
    <t>Jesus We Love You</t>
  </si>
  <si>
    <t>Paul McClure</t>
  </si>
  <si>
    <t>Lion and The Lamb</t>
  </si>
  <si>
    <t>Leeland</t>
  </si>
  <si>
    <t>Alive</t>
  </si>
  <si>
    <t>Hillsong Young &amp; Free</t>
  </si>
  <si>
    <t>Ever Be</t>
  </si>
  <si>
    <t>Kalley Heiligenthal</t>
  </si>
  <si>
    <t>Guys</t>
  </si>
  <si>
    <t>What A Beautiful Name</t>
  </si>
  <si>
    <t>Hillsong Worship</t>
  </si>
  <si>
    <t>Once For All</t>
  </si>
  <si>
    <t>Come As You Are</t>
  </si>
  <si>
    <t>The Lord Our God</t>
  </si>
  <si>
    <t>Even So Come</t>
  </si>
  <si>
    <t>Great I Am</t>
  </si>
  <si>
    <t>Jared Anderson</t>
  </si>
  <si>
    <t>O Praise The Name</t>
  </si>
  <si>
    <t>How Can It Be</t>
  </si>
  <si>
    <t>Lauren Daigle</t>
  </si>
  <si>
    <t>Love So Great</t>
  </si>
  <si>
    <t>Glorious Day</t>
  </si>
  <si>
    <t>King of My Heart</t>
  </si>
  <si>
    <t>John Mark &amp; Sarah McMillan</t>
  </si>
  <si>
    <t>God I Look To You</t>
  </si>
  <si>
    <t>Jenn Johnson</t>
  </si>
  <si>
    <t>Worthy of Your Name</t>
  </si>
  <si>
    <t>Build My Life</t>
  </si>
  <si>
    <t>Housefires</t>
  </si>
  <si>
    <t>Lamb of God</t>
  </si>
  <si>
    <t>Here's My Heart</t>
  </si>
  <si>
    <t>Death Was Arrested</t>
  </si>
  <si>
    <t>North Point InsideOut</t>
  </si>
  <si>
    <t>Reckless Love</t>
  </si>
  <si>
    <t>Cory Asbury</t>
  </si>
  <si>
    <t>Your Love Awakens Me</t>
  </si>
  <si>
    <t>Christ Is Enough</t>
  </si>
  <si>
    <t>Tremble</t>
  </si>
  <si>
    <t>Mosaic MSC</t>
  </si>
  <si>
    <t>Resurrecting</t>
  </si>
  <si>
    <t>Elevation</t>
  </si>
  <si>
    <t>Life Defined</t>
  </si>
  <si>
    <t>Do It Again</t>
  </si>
  <si>
    <t>Living Hope</t>
  </si>
  <si>
    <t>Who You Say I Am</t>
  </si>
  <si>
    <t>This We Know</t>
  </si>
  <si>
    <t>Behold</t>
  </si>
  <si>
    <t>Then Sings My Soul</t>
  </si>
  <si>
    <t>So Will I</t>
  </si>
  <si>
    <t>100 Billion X</t>
  </si>
  <si>
    <t>Let It Be Jesus</t>
  </si>
  <si>
    <t>Look To The Son</t>
  </si>
  <si>
    <t>Chain Breaker</t>
  </si>
  <si>
    <t>Zach Williams</t>
  </si>
  <si>
    <t>Goodness of God</t>
  </si>
  <si>
    <t>Touch the Sky</t>
  </si>
  <si>
    <t>Lean Back</t>
  </si>
  <si>
    <t>Capital City Worship</t>
  </si>
  <si>
    <t>Give Us Your Heart</t>
  </si>
  <si>
    <t>Melanie Tierce-Slay</t>
  </si>
  <si>
    <t>Isn't He</t>
  </si>
  <si>
    <t>The Belonging Co.</t>
  </si>
  <si>
    <t>Kristene DiMarco</t>
  </si>
  <si>
    <t>Jesus is Better</t>
  </si>
  <si>
    <t>Austin Stone Worship</t>
  </si>
  <si>
    <t>New Wine</t>
  </si>
  <si>
    <t>I Shall Not Want</t>
  </si>
  <si>
    <t>Audrey Assad</t>
  </si>
  <si>
    <t>Holy Ground</t>
  </si>
  <si>
    <t>Defender</t>
  </si>
  <si>
    <t>Rita Springer</t>
  </si>
  <si>
    <t>Broken Vessels</t>
  </si>
  <si>
    <t>All Hail King Jesus</t>
  </si>
  <si>
    <t>Yet Not I But Through Christ in Me</t>
  </si>
  <si>
    <t>CityAlight</t>
  </si>
  <si>
    <t>How Great is Your Love</t>
  </si>
  <si>
    <t>King of Kings</t>
  </si>
  <si>
    <t>Jesus You Alone</t>
  </si>
  <si>
    <t>Highlands Worship</t>
  </si>
  <si>
    <t>Stand in Your Love</t>
  </si>
  <si>
    <t>Josh Baldwin</t>
  </si>
  <si>
    <t>The Way</t>
  </si>
  <si>
    <t>New Horizon</t>
  </si>
  <si>
    <t>Pat Barrett</t>
  </si>
  <si>
    <t>Yes I Will</t>
  </si>
  <si>
    <t>Vertical Worship</t>
  </si>
  <si>
    <t>Hallelujah For The Cross</t>
  </si>
  <si>
    <t>Great Things</t>
  </si>
  <si>
    <t>Another In the Fire</t>
  </si>
  <si>
    <t>Alabaster Heart</t>
  </si>
  <si>
    <t>Kalley</t>
  </si>
  <si>
    <t>Yes and Amen</t>
  </si>
  <si>
    <t>Heart of God</t>
  </si>
  <si>
    <t>Only A Holy God</t>
  </si>
  <si>
    <t>Christ Is Mine Forevermore</t>
  </si>
  <si>
    <t>All I Have Is Christ</t>
  </si>
  <si>
    <t>Jordan Kauflin</t>
  </si>
  <si>
    <t>Faithful</t>
  </si>
  <si>
    <t>Erik Nieder</t>
  </si>
  <si>
    <t>Blessed Assurance</t>
  </si>
  <si>
    <t>King of Glory</t>
  </si>
  <si>
    <t>Passion Music</t>
  </si>
  <si>
    <t>Behold the Lamb</t>
  </si>
  <si>
    <t>The Passion</t>
  </si>
  <si>
    <t>You Cannot Be Stopped</t>
  </si>
  <si>
    <t>Phil Wickham and Chris Quilala</t>
  </si>
  <si>
    <t>His Heart Beats</t>
  </si>
  <si>
    <t>Andrew Peterson</t>
  </si>
  <si>
    <t>Jesus, Only Jesus</t>
  </si>
  <si>
    <t>Christ Our Hope in Life and Death</t>
  </si>
  <si>
    <t>Getty Music</t>
  </si>
  <si>
    <t>My Victory</t>
  </si>
  <si>
    <t>Living He Loved Me</t>
  </si>
  <si>
    <t>Casting Crowns</t>
  </si>
  <si>
    <t>Overcome</t>
  </si>
  <si>
    <t>There's A River</t>
  </si>
  <si>
    <t>Bethany Barnard</t>
  </si>
  <si>
    <t>N/A</t>
  </si>
  <si>
    <t>Doxology//Amen</t>
  </si>
  <si>
    <t>Graves Into Gardens</t>
  </si>
  <si>
    <t>What A Friend We Have In Jesus</t>
  </si>
  <si>
    <t>Sing To Jesus</t>
  </si>
  <si>
    <t>Fernando Ortega</t>
  </si>
  <si>
    <t>Faithful To the End</t>
  </si>
  <si>
    <t>Paul and Hannah McClure</t>
  </si>
  <si>
    <t>Hymn of Surrender</t>
  </si>
  <si>
    <t>I Surrender All</t>
  </si>
  <si>
    <t>All I Am</t>
  </si>
  <si>
    <t>There's Nothing That Our God Can't Do</t>
  </si>
  <si>
    <t>The Blessing</t>
  </si>
  <si>
    <t>Kari Jobe, Cody Carnes, Elevation Worship</t>
  </si>
  <si>
    <t>Come Ye Sinners</t>
  </si>
  <si>
    <t>New Jerusalem</t>
  </si>
  <si>
    <t>Jon Guerra</t>
  </si>
  <si>
    <t>Promises</t>
  </si>
  <si>
    <t>Maverick City</t>
  </si>
  <si>
    <t>Nothing Without You</t>
  </si>
  <si>
    <t>United Pursuit</t>
  </si>
  <si>
    <t>Such An Awesome God</t>
  </si>
  <si>
    <t>Maverick City, Anthony Evans</t>
  </si>
  <si>
    <t>At Your Name</t>
  </si>
  <si>
    <t>You Keep On Getting Better</t>
  </si>
  <si>
    <t>The Story I'll Tell</t>
  </si>
  <si>
    <t>Jesus, Firm Foundation</t>
  </si>
  <si>
    <t>Robbie Seay</t>
  </si>
  <si>
    <t>Crowns</t>
  </si>
  <si>
    <t>My Truest Praise</t>
  </si>
  <si>
    <t>Run To the Father</t>
  </si>
  <si>
    <t>Cody Carnes</t>
  </si>
  <si>
    <t>You Keep Hope Alive</t>
  </si>
  <si>
    <t>Jon Reddick, Mandisa</t>
  </si>
  <si>
    <t>Miracle Or Not</t>
  </si>
  <si>
    <t>Alisa Turner</t>
  </si>
  <si>
    <t>No One Ever Cared For Me Like Jesus</t>
  </si>
  <si>
    <t>Steffany Gretzinger</t>
  </si>
  <si>
    <t>Original Key</t>
  </si>
  <si>
    <t>Tempo (BPM)</t>
  </si>
  <si>
    <t>Time Signature</t>
  </si>
  <si>
    <t>Publication Year</t>
  </si>
  <si>
    <t>Copyright Holder</t>
  </si>
  <si>
    <t>Joel Houston, Matt Crocker</t>
  </si>
  <si>
    <t>4/4</t>
  </si>
  <si>
    <t>Hillsong Music Publishing Australia</t>
  </si>
  <si>
    <t>Jeremy Riddle, Josh Farro</t>
  </si>
  <si>
    <t>Phil Wickham Music</t>
  </si>
  <si>
    <t>David Leonard, Leslie Jordan</t>
  </si>
  <si>
    <t>Integrity's Alleluia! Music</t>
  </si>
  <si>
    <t>Christy Nockels, Daniel Carson</t>
  </si>
  <si>
    <t>sixsteps Music</t>
  </si>
  <si>
    <t>Keith Getty, Stuart Townend</t>
  </si>
  <si>
    <t>3/4</t>
  </si>
  <si>
    <t>Thankyou Music</t>
  </si>
  <si>
    <t>Jonas Myrin, Matt Redman</t>
  </si>
  <si>
    <t>Atlas Mountain Songs</t>
  </si>
  <si>
    <t>Chris Tomlin, Ed Cash</t>
  </si>
  <si>
    <t>Alletrop Music</t>
  </si>
  <si>
    <t>Brenton Brown, Paul Baloche</t>
  </si>
  <si>
    <t>Matt Redman, Jonas Myrin</t>
  </si>
  <si>
    <t>Shepherd's Heart Music, Inc.</t>
  </si>
  <si>
    <t>Chris Tomlin, Jesse Reeves</t>
  </si>
  <si>
    <t>Integrity's Hosanna! Music</t>
  </si>
  <si>
    <t>Chris Tomlin, Jason Ingram</t>
  </si>
  <si>
    <t>SHOUT! Music Publishing Australia</t>
  </si>
  <si>
    <t>Darlene Zschech</t>
  </si>
  <si>
    <t>Wondrous Worship</t>
  </si>
  <si>
    <t>Charitie L. Bancroft, Vikki Cook</t>
  </si>
  <si>
    <t>Sovereign Grace Worship</t>
  </si>
  <si>
    <t>Beth Redman, Matt Redman</t>
  </si>
  <si>
    <t>Mike Guglielmucci</t>
  </si>
  <si>
    <t>Planetshakers Ministries Int. Inc.</t>
  </si>
  <si>
    <t>Edward Mote, Eric Liljero</t>
  </si>
  <si>
    <t>Public Domain</t>
  </si>
  <si>
    <t>Krissy Nordhoff, Michael Neale</t>
  </si>
  <si>
    <t>Integrity's Praise! Music</t>
  </si>
  <si>
    <t>Chris Tomlin, Isaac Watts</t>
  </si>
  <si>
    <t>Gloria Gaither, William J. Gaither</t>
  </si>
  <si>
    <t>Hanna Street Music</t>
  </si>
  <si>
    <t>Jennie L. Riddle</t>
  </si>
  <si>
    <t>Gateway Create Publishing</t>
  </si>
  <si>
    <t>Thomas Chisholm, William Runyan</t>
  </si>
  <si>
    <t>Brian Johnson, Christa B. Gifford</t>
  </si>
  <si>
    <t>ChristaJoy Music Publishing</t>
  </si>
  <si>
    <t>Brooke Ligertwood</t>
  </si>
  <si>
    <t>Ben Fielding, Reuben Morgan</t>
  </si>
  <si>
    <t>Joel Houston</t>
  </si>
  <si>
    <t>Chris Tomlin, John Newton</t>
  </si>
  <si>
    <t>Anthony Skinner, Chris McClarney</t>
  </si>
  <si>
    <t>Martin Smith, Stuart Garrard</t>
  </si>
  <si>
    <t>Curious? Music UK</t>
  </si>
  <si>
    <t>Chris Tomlin, Daniel Carson</t>
  </si>
  <si>
    <t>Marc Byrd, Steve Hindalong</t>
  </si>
  <si>
    <t>Ab,Bb</t>
  </si>
  <si>
    <t>Never Say Never Songs</t>
  </si>
  <si>
    <t>Billy J. Foote</t>
  </si>
  <si>
    <t>worshiptogether.com songs</t>
  </si>
  <si>
    <t>6/8</t>
  </si>
  <si>
    <t>Brian Johnson, Christa Black Gifford</t>
  </si>
  <si>
    <t>Kari Jobe Carnes Music</t>
  </si>
  <si>
    <t>David Leonard, Jason Ingram</t>
  </si>
  <si>
    <t> Integrity's Alleluia! Music</t>
  </si>
  <si>
    <t>Brooke Ligertwood, Matt Crocker</t>
  </si>
  <si>
    <t>Chris Brown, Mack Brock</t>
  </si>
  <si>
    <t>Elevation Worship Publishing</t>
  </si>
  <si>
    <t>Brian Johnson, Hunter Thompson</t>
  </si>
  <si>
    <t>Bethel Music Publishing</t>
  </si>
  <si>
    <t>Anthony Brown, Pat Barrett</t>
  </si>
  <si>
    <t>Capitol CMG Paragon</t>
  </si>
  <si>
    <t>Jonathan D. Helser, Brian Johnson</t>
  </si>
  <si>
    <t>Countless Wonder Publishing</t>
  </si>
  <si>
    <t>Brenton Brown, Brian Johnson</t>
  </si>
  <si>
    <t>Meaux Mercy</t>
  </si>
  <si>
    <t>Ben Fielding, Brooke Ligertwood</t>
  </si>
  <si>
    <t>Jason Ingram, Kristian Stanfill</t>
  </si>
  <si>
    <t>S. D. G. Publishing</t>
  </si>
  <si>
    <t>Integrity Worship Music</t>
  </si>
  <si>
    <t>Benjamin Hastings, Dean Ussher</t>
  </si>
  <si>
    <t>Kristian Stanfill, Jason Ingram</t>
  </si>
  <si>
    <t>Kristian Stanfill Publishing Designee</t>
  </si>
  <si>
    <t>John M. McMillan, Sarah McMillan</t>
  </si>
  <si>
    <t>Meaux Jeaux Music</t>
  </si>
  <si>
    <t>Brett Younker, Karl Martin</t>
  </si>
  <si>
    <t>Kaple Music</t>
  </si>
  <si>
    <t>Cory Asbury, Caleb Culver</t>
  </si>
  <si>
    <t>Cory Asbury Publishing</t>
  </si>
  <si>
    <t>Jonas Myrin, Reuben Morgan</t>
  </si>
  <si>
    <t xml:space="preserve"> Hillsong Music Publishing Australia</t>
  </si>
  <si>
    <t>Andres Figueroa, Hank Bentley</t>
  </si>
  <si>
    <t>All Essential Music</t>
  </si>
  <si>
    <t>Steven Furtick, Matt Redman</t>
  </si>
  <si>
    <t>Said And Done Music</t>
  </si>
  <si>
    <t>Phil Wickham, Brian Johnson</t>
  </si>
  <si>
    <t>Joel Houston, Benjamin Hastings</t>
  </si>
  <si>
    <t>2/2</t>
  </si>
  <si>
    <t>Kristene DiMarco, Horatio Spafford</t>
  </si>
  <si>
    <t>3/4+4/4</t>
  </si>
  <si>
    <t>Joel Houston, Jonas Myrin</t>
  </si>
  <si>
    <t>Jonny Robinson, Rich Thompson</t>
  </si>
  <si>
    <t>CityAlight Music</t>
  </si>
  <si>
    <t>Brooke Ligertwood, Scott Ligertwood</t>
  </si>
  <si>
    <t>Jeff Pardo, Ben Glover</t>
  </si>
  <si>
    <t>9t One Songs</t>
  </si>
  <si>
    <t>Chris Davenport, Joel Houston</t>
  </si>
  <si>
    <t>John W. Chapman, Mark Hall</t>
  </si>
  <si>
    <t>My Refuge Music</t>
  </si>
  <si>
    <t>S&amp;S Author</t>
  </si>
  <si>
    <t>S&amp;S Tempo</t>
  </si>
  <si>
    <t>S&amp;S Key</t>
  </si>
  <si>
    <t>Status</t>
  </si>
  <si>
    <t>CCWS?</t>
  </si>
  <si>
    <t>Done</t>
  </si>
  <si>
    <t>NoNumber</t>
  </si>
  <si>
    <t>TBD</t>
  </si>
  <si>
    <t>Tis So Sweet</t>
  </si>
  <si>
    <t>How Great Thou Art</t>
  </si>
  <si>
    <t>Give Me Jesus</t>
  </si>
  <si>
    <t>The Lord is My Salvation</t>
  </si>
  <si>
    <t>He Will Hold Me Fast</t>
  </si>
  <si>
    <t>My Worth Is Not In What I Own</t>
  </si>
  <si>
    <t>In Christ Alone [Hymns]</t>
  </si>
  <si>
    <t>My Jesus I Love Thee</t>
  </si>
  <si>
    <t>Oh Lord Almighty</t>
  </si>
  <si>
    <t>Power of the Cross</t>
  </si>
  <si>
    <t>Come Behold the Wondrous Mystery</t>
  </si>
  <si>
    <t>All Hail The Power of Jesus Name</t>
  </si>
  <si>
    <t>Crown Him With Many Crowns</t>
  </si>
  <si>
    <t>Angels We Have Heard On High</t>
  </si>
  <si>
    <t>O Come All Ye Faithful</t>
  </si>
  <si>
    <t>Go Tell It On The Mountain</t>
  </si>
  <si>
    <t>Joy To The World</t>
  </si>
  <si>
    <t>Silent Night</t>
  </si>
  <si>
    <t>Love Comes Down</t>
  </si>
  <si>
    <t>Come Thou Long Expected Jesus</t>
  </si>
  <si>
    <t>Hark the Herald Angels Sing</t>
  </si>
  <si>
    <t>O Little Town of Bethlehem</t>
  </si>
  <si>
    <t>Breath of Heaven</t>
  </si>
  <si>
    <t>Face of God</t>
  </si>
  <si>
    <t>What Child Is This</t>
  </si>
  <si>
    <t>Away in a Manger</t>
  </si>
  <si>
    <t>Winter Snow</t>
  </si>
  <si>
    <t>It Came Upon A Midnight Clear</t>
  </si>
  <si>
    <t>Take Over</t>
  </si>
  <si>
    <t>Battle Belongs</t>
  </si>
  <si>
    <t xml:space="preserve">At Your Name </t>
  </si>
  <si>
    <t xml:space="preserve">Raise A Hallelujah </t>
  </si>
  <si>
    <t xml:space="preserve">Peace </t>
  </si>
  <si>
    <t xml:space="preserve">Bigger Than I Thought </t>
  </si>
  <si>
    <t xml:space="preserve">Sinking Deep </t>
  </si>
  <si>
    <t xml:space="preserve">Psalm 145 </t>
  </si>
  <si>
    <t xml:space="preserve">Psalm 13 </t>
  </si>
  <si>
    <t xml:space="preserve">The One You'll Find </t>
  </si>
  <si>
    <t xml:space="preserve">Great Reward </t>
  </si>
  <si>
    <t>O Holy Night</t>
  </si>
  <si>
    <t>The First Noel</t>
  </si>
  <si>
    <t>O Come O Come Emmanuel</t>
  </si>
  <si>
    <t>Little Drummer Boy</t>
  </si>
  <si>
    <t>Across The Lands</t>
  </si>
  <si>
    <t>CcliTop100Uk</t>
  </si>
  <si>
    <t>Agnus Dei</t>
  </si>
  <si>
    <t xml:space="preserve">Michael W. Smith   </t>
  </si>
  <si>
    <t>CcliTop100Canada</t>
  </si>
  <si>
    <t>All Who Are Thirsty</t>
  </si>
  <si>
    <t xml:space="preserve">Brenton Brown, Glenn Robertson   </t>
  </si>
  <si>
    <t>Be Still</t>
  </si>
  <si>
    <t>David J. Evans</t>
  </si>
  <si>
    <t>Be The Centre</t>
  </si>
  <si>
    <t>Michael Frye</t>
  </si>
  <si>
    <t>Be Unto Your Name</t>
  </si>
  <si>
    <t xml:space="preserve">Gary Sadler, Lynn DeShazo   </t>
  </si>
  <si>
    <t>Beautiful Saviour</t>
  </si>
  <si>
    <t>Chris Tomlin, Daniel Carson, Ed Cash, Gloria Gaither, Jason Ingram, Matt Maher, William J. Gaither</t>
  </si>
  <si>
    <t>CcliTop100Usa</t>
  </si>
  <si>
    <t>By Faith</t>
  </si>
  <si>
    <t>Keith Getty, Kristyn Getty, Stuart Townend</t>
  </si>
  <si>
    <t>Christ Be Magnified</t>
  </si>
  <si>
    <t>Cody Carnes, Cory Asbury, Ethan Hulse</t>
  </si>
  <si>
    <t>Come People Of The Risen King</t>
  </si>
  <si>
    <t>Come Thou Fount Come Thou King</t>
  </si>
  <si>
    <t>Gateway Worship</t>
  </si>
  <si>
    <t>PraiseChartsTop100AllTime</t>
  </si>
  <si>
    <t>Consuming Fire</t>
  </si>
  <si>
    <t>Faithful One</t>
  </si>
  <si>
    <t xml:space="preserve">Brian Doerksen   </t>
  </si>
  <si>
    <t>Glory To God Forever</t>
  </si>
  <si>
    <t>FEE Band</t>
  </si>
  <si>
    <t xml:space="preserve">Ben Smith, Daniel Bashta, Pat Barrett   </t>
  </si>
  <si>
    <t>God Of Revival</t>
  </si>
  <si>
    <t>Brian Johnson, Phil Wickham</t>
  </si>
  <si>
    <t>God So Loved</t>
  </si>
  <si>
    <t>Andrew Bergthold, Ed Cash, Franni Cash, Martin Cash, Scott Cash</t>
  </si>
  <si>
    <t>God You're So Good</t>
  </si>
  <si>
    <t xml:space="preserve">Brett Younker, Brooke Ligertwood, Kristian Stanfill, Scott Ligertwood   </t>
  </si>
  <si>
    <t>Good Grace</t>
  </si>
  <si>
    <t>Great Big God</t>
  </si>
  <si>
    <t>Jo Hemming, Nigel Hemming</t>
  </si>
  <si>
    <t>Great Is The Lord</t>
  </si>
  <si>
    <t>Steve McEwan</t>
  </si>
  <si>
    <t>Thomas Obediah Chisholm</t>
  </si>
  <si>
    <t xml:space="preserve">Jonas Myrin, Phil Wickham   </t>
  </si>
  <si>
    <t>He Shall Reign Forevermore</t>
  </si>
  <si>
    <t xml:space="preserve">Ada Ruth Habershon, Matthew Merker   </t>
  </si>
  <si>
    <t>Hear The Call Of The Kingdom</t>
  </si>
  <si>
    <t>His Mercy Is More</t>
  </si>
  <si>
    <t xml:space="preserve">Matt Boswell, Matt Papa   </t>
  </si>
  <si>
    <t>Holy Holy</t>
  </si>
  <si>
    <t>Nathan Fellingham</t>
  </si>
  <si>
    <t xml:space="preserve">Keith Getty, Stuart Townend   </t>
  </si>
  <si>
    <t>Holy Water</t>
  </si>
  <si>
    <t>Hope Of The Nations</t>
  </si>
  <si>
    <t xml:space="preserve">Charles Hutchinson Gabriel, Chris Tomlin   </t>
  </si>
  <si>
    <t>I Will Offer Up My Life</t>
  </si>
  <si>
    <t>Is He Worthy</t>
  </si>
  <si>
    <t>Jesus</t>
  </si>
  <si>
    <t>King Of Heaven</t>
  </si>
  <si>
    <t xml:space="preserve">Jason Ingram, Paul Baloche   </t>
  </si>
  <si>
    <t>King Of Kings Majesty</t>
  </si>
  <si>
    <t>Jarrod Cooper</t>
  </si>
  <si>
    <t>Light Of The World</t>
  </si>
  <si>
    <t>Lord Reign In Me</t>
  </si>
  <si>
    <t>Love The Lord</t>
  </si>
  <si>
    <t>Lincoln Brewster</t>
  </si>
  <si>
    <t>My Heart Is Filled</t>
  </si>
  <si>
    <t>New Doxology</t>
  </si>
  <si>
    <t>Nothing Else</t>
  </si>
  <si>
    <t>Cody Carnes, Hank Bentley, Jessie Early</t>
  </si>
  <si>
    <t>O The Blood</t>
  </si>
  <si>
    <t>Only King Forever</t>
  </si>
  <si>
    <t>Chris Brown, Mack Brock, Steven Furtick, Wade Joye</t>
  </si>
  <si>
    <t>Our God Saves</t>
  </si>
  <si>
    <t>Psalm 23</t>
  </si>
  <si>
    <t>Raise A Hallelujah</t>
  </si>
  <si>
    <t xml:space="preserve">Jake Stevens, Jonathan David Helser, Melissa Helser, Molly Skaggs   </t>
  </si>
  <si>
    <t>Refiner's Fire</t>
  </si>
  <si>
    <t>Resurrection Hymn</t>
  </si>
  <si>
    <t>See A Victory</t>
  </si>
  <si>
    <t xml:space="preserve">Ben Fielding, Chris Brown, Jason Ingram, Steven Furtick   </t>
  </si>
  <si>
    <t>Shine Jesus Shine</t>
  </si>
  <si>
    <t>Graham Kendrick</t>
  </si>
  <si>
    <t>Speak O Lord</t>
  </si>
  <si>
    <t>Spirit Break Out</t>
  </si>
  <si>
    <t>Ben Bryant, Luke Hellebronth, Myles Dhillon, Tim Hughes</t>
  </si>
  <si>
    <t xml:space="preserve">Elyssa Smith   </t>
  </si>
  <si>
    <t>Tell Out My Soul</t>
  </si>
  <si>
    <t>Timothy Dudley-Smith</t>
  </si>
  <si>
    <t>The Servant King</t>
  </si>
  <si>
    <t>There Is A Higher Throne</t>
  </si>
  <si>
    <t>Keith Getty, Kristyn Getty</t>
  </si>
  <si>
    <t>This Is A Move</t>
  </si>
  <si>
    <t>Brandon Lake, Nate Moore, Tasha Cobbs Leonard, Tony Brown</t>
  </si>
  <si>
    <t>This Is Our God</t>
  </si>
  <si>
    <t>Reuben Morgan</t>
  </si>
  <si>
    <t>Today Is The Day</t>
  </si>
  <si>
    <t>Unstoppable God</t>
  </si>
  <si>
    <t>Chris Brown, Steven Furtick, Wade Joye</t>
  </si>
  <si>
    <t>Waiting Here For You</t>
  </si>
  <si>
    <t>Chris Tomlin, Jesse Reeves, Martin Smith</t>
  </si>
  <si>
    <t>We Praise You</t>
  </si>
  <si>
    <t xml:space="preserve">Brandon Lake, Brian Johnson, Matt Redman, Phil Wickham   </t>
  </si>
  <si>
    <t>Won't Stop Now</t>
  </si>
  <si>
    <t>Chris Brown, Steven Furtick</t>
  </si>
  <si>
    <t>Worthy Is The Lamb</t>
  </si>
  <si>
    <t>You Alone Can Rescue</t>
  </si>
  <si>
    <t xml:space="preserve">You Are Good </t>
  </si>
  <si>
    <t>Lakewood Church</t>
  </si>
  <si>
    <t>Amen</t>
  </si>
  <si>
    <t>God Is So Good</t>
  </si>
  <si>
    <t>You Are Worthy</t>
  </si>
  <si>
    <t>Surrounded</t>
  </si>
  <si>
    <t>Fight My Battles</t>
  </si>
  <si>
    <t>Source</t>
  </si>
  <si>
    <t>S&amp;S</t>
  </si>
  <si>
    <t>S&amp;S Extra</t>
  </si>
  <si>
    <t>Other ID</t>
  </si>
  <si>
    <t>Other</t>
  </si>
  <si>
    <t>A Mighty Fortress Is Our God</t>
  </si>
  <si>
    <t>Above All</t>
  </si>
  <si>
    <t>All Glory Be To Christ</t>
  </si>
  <si>
    <t>All Heaven Declares</t>
  </si>
  <si>
    <t>Martin Luther</t>
  </si>
  <si>
    <t>Lenny LeBlanc, Paul Baloche</t>
  </si>
  <si>
    <t>Dustin Kensrue</t>
  </si>
  <si>
    <t>We Are Younger We Are Faster Music</t>
  </si>
  <si>
    <t>Noel Richards, Tricia Richards</t>
  </si>
  <si>
    <t>All To Us</t>
  </si>
  <si>
    <t>John Newton, John P. Rees</t>
  </si>
  <si>
    <t>Ancient Words</t>
  </si>
  <si>
    <t>And Can It Be</t>
  </si>
  <si>
    <t>Lynn DeShazo</t>
  </si>
  <si>
    <t>Charles Wesley</t>
  </si>
  <si>
    <t>Are You Washed In The Blood</t>
  </si>
  <si>
    <t>As The Deer</t>
  </si>
  <si>
    <t>Elisha A. Hoffman</t>
  </si>
  <si>
    <t>Martin Nystrom</t>
  </si>
  <si>
    <t>Universal Music</t>
  </si>
  <si>
    <t>Isaac Watts, Ralph E. Hudson</t>
  </si>
  <si>
    <t>Be Thou My Vision</t>
  </si>
  <si>
    <t>Eleanor H. Hull, Mary E. Byrne</t>
  </si>
  <si>
    <t>Behold Our God</t>
  </si>
  <si>
    <t>Behold The Lord</t>
  </si>
  <si>
    <t>Jonathan Baird, Meghan Baird</t>
  </si>
  <si>
    <t>Sovereign Grace Praise</t>
  </si>
  <si>
    <t>Gerald Coates, Noel Richards</t>
  </si>
  <si>
    <t>Fanny J. Crosby</t>
  </si>
  <si>
    <t>9/8</t>
  </si>
  <si>
    <t>Break Every Chain</t>
  </si>
  <si>
    <t>Will Reagan</t>
  </si>
  <si>
    <t>Capitol CMG Genesis</t>
  </si>
  <si>
    <t>Build Your Kingdom Here</t>
  </si>
  <si>
    <t>Came To My Rescue</t>
  </si>
  <si>
    <t>Gareth Gilkeson, Chris Llewellyn</t>
  </si>
  <si>
    <t>Dylan Thoma, Joel Davies</t>
  </si>
  <si>
    <t>Christ The Lord Is Risen Today</t>
  </si>
  <si>
    <t>He Is Not Dead</t>
  </si>
  <si>
    <t>Come Now Is The Time To Worship</t>
  </si>
  <si>
    <t>Charles Wesley, Samuel Arnold</t>
  </si>
  <si>
    <t>Vineyard Songs</t>
  </si>
  <si>
    <t>Robert Robinson</t>
  </si>
  <si>
    <t>Crown Him</t>
  </si>
  <si>
    <t>Days Of Elijah</t>
  </si>
  <si>
    <t>Db,Eb</t>
  </si>
  <si>
    <t>Matthew Bridges, Godfrey Thring</t>
  </si>
  <si>
    <t>Robin Mark</t>
  </si>
  <si>
    <t>Song Solutions Daybreak</t>
  </si>
  <si>
    <t>Death Where Is Your Sting</t>
  </si>
  <si>
    <t>Cory Asbury, Anna Asbury</t>
  </si>
  <si>
    <t>Chris Tomlin, Christy Nockels</t>
  </si>
  <si>
    <t>Gb</t>
  </si>
  <si>
    <t>Forgiven</t>
  </si>
  <si>
    <t>David Crowder, Ed Cash</t>
  </si>
  <si>
    <t>God Of This City</t>
  </si>
  <si>
    <t>Aaron Boyd, Andrew McCann</t>
  </si>
  <si>
    <t>Gracefully Broken</t>
  </si>
  <si>
    <t>Beginning To End</t>
  </si>
  <si>
    <t>William Runyan, Thomas Chisholm</t>
  </si>
  <si>
    <t>Weave Country</t>
  </si>
  <si>
    <t>Up To The Hill</t>
  </si>
  <si>
    <t>He Reigns</t>
  </si>
  <si>
    <t>Ross King, Todd Wright</t>
  </si>
  <si>
    <t>Simple Tense Songs</t>
  </si>
  <si>
    <t>Peter Furler, Steve Taylor</t>
  </si>
  <si>
    <t>Soylent Tunes</t>
  </si>
  <si>
    <t>Here Again</t>
  </si>
  <si>
    <t>Steven Furtick, Chris Brown</t>
  </si>
  <si>
    <t>Here Is Love</t>
  </si>
  <si>
    <t>Holy</t>
  </si>
  <si>
    <t>Wedding Day</t>
  </si>
  <si>
    <t>Holy Holy Holy</t>
  </si>
  <si>
    <t>Robert Lowry, William Rees</t>
  </si>
  <si>
    <t>Aaron Powell, Elias Dummer</t>
  </si>
  <si>
    <t>John B. Dykes, Reginald Heber</t>
  </si>
  <si>
    <t>Carl Tuttle</t>
  </si>
  <si>
    <t>Shadow Spring Music</t>
  </si>
  <si>
    <t>How Firm A Foundation</t>
  </si>
  <si>
    <t>George Keith</t>
  </si>
  <si>
    <t>I Can Only Imagine</t>
  </si>
  <si>
    <t>I Know Whom I Have Believed</t>
  </si>
  <si>
    <t>I Lift My Hands</t>
  </si>
  <si>
    <t>My Savior's Love</t>
  </si>
  <si>
    <t>I Stand In Awe</t>
  </si>
  <si>
    <t>Stuart W. K. Hine</t>
  </si>
  <si>
    <t>Stuart Hine Trust</t>
  </si>
  <si>
    <t>Bart Millard</t>
  </si>
  <si>
    <t>Simpleville Music</t>
  </si>
  <si>
    <t>Daniel W. Whittle</t>
  </si>
  <si>
    <t>Chris Tomlin, Louie Giglio</t>
  </si>
  <si>
    <t>Charles H. Gabriel</t>
  </si>
  <si>
    <t>Mark Altrogge</t>
  </si>
  <si>
    <t>I Will Sing Of My Redeemer</t>
  </si>
  <si>
    <t>I Will Sing The Wondrous Story</t>
  </si>
  <si>
    <t>I'll Fly Away</t>
  </si>
  <si>
    <t>Travis Cottrell, Philip Paul Bliss</t>
  </si>
  <si>
    <t>Francis H. Rawley</t>
  </si>
  <si>
    <t>Albert E. Brumley</t>
  </si>
  <si>
    <t>Hartford Music Company</t>
  </si>
  <si>
    <t>It Is Well With My Soul</t>
  </si>
  <si>
    <t>Jesus I Am Resting</t>
  </si>
  <si>
    <t>Jesus Is Alive</t>
  </si>
  <si>
    <t>Horatio G. Spafford</t>
  </si>
  <si>
    <t>Jean Sophia Pigott</t>
  </si>
  <si>
    <t>Michael Farren, Tiarne Tranter</t>
  </si>
  <si>
    <t>Jesus Son Of God</t>
  </si>
  <si>
    <t>Just As I Am</t>
  </si>
  <si>
    <t>I Come Broken</t>
  </si>
  <si>
    <t>Charlotte Elliot</t>
  </si>
  <si>
    <t>6/4</t>
  </si>
  <si>
    <t>Charlotte Elliott, David Moffitt</t>
  </si>
  <si>
    <t>CCTB Music</t>
  </si>
  <si>
    <t>Knowing You</t>
  </si>
  <si>
    <t>All I Once Held Dear</t>
  </si>
  <si>
    <t>Lamb Of God</t>
  </si>
  <si>
    <t>Lay Me Down</t>
  </si>
  <si>
    <t>Make Way Music</t>
  </si>
  <si>
    <t>Mountain Spring Music</t>
  </si>
  <si>
    <t>Like A River Glorious</t>
  </si>
  <si>
    <t>James Mountain</t>
  </si>
  <si>
    <t>Lord I Lift Your Name On High</t>
  </si>
  <si>
    <t>Rick Founds</t>
  </si>
  <si>
    <t>Jonas Myrin, Keith Getty</t>
  </si>
  <si>
    <t>Love Of God, The</t>
  </si>
  <si>
    <t>Frederick M. Lehman</t>
  </si>
  <si>
    <t>Jack Hayford</t>
  </si>
  <si>
    <t>New Spring</t>
  </si>
  <si>
    <t>Mine Eyes Have Seen The Glory</t>
  </si>
  <si>
    <t>Battle Hymn</t>
  </si>
  <si>
    <t>Mountain</t>
  </si>
  <si>
    <t>You're Wonderful</t>
  </si>
  <si>
    <t>My Lighthouse</t>
  </si>
  <si>
    <t>My Redeemer Lives</t>
  </si>
  <si>
    <t>Nearer My God To Thee</t>
  </si>
  <si>
    <t>Julia W. Howe</t>
  </si>
  <si>
    <t>Matt Crocker, Joel Houston</t>
  </si>
  <si>
    <t>Bryan Torwalt, Katie Torwalt</t>
  </si>
  <si>
    <t>Sarah F. F. Adams</t>
  </si>
  <si>
    <t>O Church Arise</t>
  </si>
  <si>
    <t>O The Deep Deep Love Of Jesus</t>
  </si>
  <si>
    <t>Samuel T. Francis</t>
  </si>
  <si>
    <t>Em</t>
  </si>
  <si>
    <t>Oh What Love</t>
  </si>
  <si>
    <t>Once Again</t>
  </si>
  <si>
    <t>Onward Christian Soldiers</t>
  </si>
  <si>
    <t>Sabine B. Gould</t>
  </si>
  <si>
    <t>Power Of Your Love, The</t>
  </si>
  <si>
    <t>Praise You In This Storm</t>
  </si>
  <si>
    <t>Geoff Bullock</t>
  </si>
  <si>
    <t>Geoff Bullock Music</t>
  </si>
  <si>
    <t>Bernie Herms, Mark Hall</t>
  </si>
  <si>
    <t>Rooftops</t>
  </si>
  <si>
    <t>Lindsey Sweat, Ben Williams</t>
  </si>
  <si>
    <t>Capitol CMG Amplifier</t>
  </si>
  <si>
    <t>Seek Ye First</t>
  </si>
  <si>
    <t>Karen Lafferty</t>
  </si>
  <si>
    <t>CCCM Music</t>
  </si>
  <si>
    <t>Solid Rock, The</t>
  </si>
  <si>
    <t>Edward Mote</t>
  </si>
  <si>
    <t>Still</t>
  </si>
  <si>
    <t>Hide Me Now</t>
  </si>
  <si>
    <t>Sweetly Broken</t>
  </si>
  <si>
    <t>Take My Life And Let It Be</t>
  </si>
  <si>
    <t>There Is A Fountain</t>
  </si>
  <si>
    <t>There Is A Redeemer</t>
  </si>
  <si>
    <t>Mercy / Vineyard Publishing</t>
  </si>
  <si>
    <t>Frances R. Havergal</t>
  </si>
  <si>
    <t>William Cowper</t>
  </si>
  <si>
    <t>Melody Green</t>
  </si>
  <si>
    <t>This Is My Father's World</t>
  </si>
  <si>
    <t>To God Be The Glory</t>
  </si>
  <si>
    <t>Aaron Purdy, Franklin L. Sheppard</t>
  </si>
  <si>
    <t>Jennie Lee Riddle Music</t>
  </si>
  <si>
    <t>Lousa M. R. Stead</t>
  </si>
  <si>
    <t>Fanny Jane Crosby</t>
  </si>
  <si>
    <t>Trust And Obey</t>
  </si>
  <si>
    <t>Victor's Crown</t>
  </si>
  <si>
    <t>Victory In Jesus</t>
  </si>
  <si>
    <t>I Heard An Old Old Story</t>
  </si>
  <si>
    <t>Way Maker</t>
  </si>
  <si>
    <t>We Believe</t>
  </si>
  <si>
    <t>John H. Sammis</t>
  </si>
  <si>
    <t>Darlene Zschech, Israel Houghton</t>
  </si>
  <si>
    <t>Worship Together Music</t>
  </si>
  <si>
    <t>Eugene M. Bartlett</t>
  </si>
  <si>
    <t>Osinachi K. O. Egbu</t>
  </si>
  <si>
    <t>Integrity Music Europe</t>
  </si>
  <si>
    <t>Matthew Hooper, Richie Fike</t>
  </si>
  <si>
    <t>When I Survey The Wondrous Cross</t>
  </si>
  <si>
    <t>When The Roll Is Called Up Yonder</t>
  </si>
  <si>
    <t>Who Am I</t>
  </si>
  <si>
    <t>Isaac Watts</t>
  </si>
  <si>
    <t>James M. Black</t>
  </si>
  <si>
    <t>Mark Hall</t>
  </si>
  <si>
    <t>Wonderful Merciful Savior</t>
  </si>
  <si>
    <t>Dawn Rodgers, Eric Wyse</t>
  </si>
  <si>
    <t>Curb Dayspring Music</t>
  </si>
  <si>
    <t>You Are God Alone</t>
  </si>
  <si>
    <t>Not A God</t>
  </si>
  <si>
    <t>You Are Holy</t>
  </si>
  <si>
    <t>Prince Of Piece</t>
  </si>
  <si>
    <t>Billy J. Foote, Cindy Foote</t>
  </si>
  <si>
    <t>Billy Foote Music</t>
  </si>
  <si>
    <t>Marc Imboden, Tammi Rhoton</t>
  </si>
  <si>
    <t>Imboden Music</t>
  </si>
  <si>
    <t>Your Presence Is Heaven</t>
  </si>
  <si>
    <t>Israel Houghton, Micah Massey</t>
  </si>
  <si>
    <t>CCWS</t>
  </si>
  <si>
    <t>Heath Balltzglier, Brandon Coker</t>
  </si>
  <si>
    <t>Seems Like Music</t>
  </si>
  <si>
    <t>Bobby Strand, Chris Greely</t>
  </si>
  <si>
    <t>Brenton Brown, Ken Riley</t>
  </si>
  <si>
    <t>Jesse Reeves, Matt Maher</t>
  </si>
  <si>
    <t>Chrysalis Music Ltd.</t>
  </si>
  <si>
    <t>Judson DeVenter, Winfield Weeden</t>
  </si>
  <si>
    <t>Jesse Reeves, Laura Story</t>
  </si>
  <si>
    <t>Laura Stories</t>
  </si>
  <si>
    <t>Charles Converse, Joseph Scriven</t>
  </si>
  <si>
    <t>Remove?</t>
  </si>
  <si>
    <t>Remove</t>
  </si>
  <si>
    <t>Notes</t>
  </si>
  <si>
    <t>S&amp;S Adj Key</t>
  </si>
  <si>
    <t>All Keys</t>
  </si>
  <si>
    <t>Title</t>
  </si>
  <si>
    <t>James Montgomery</t>
  </si>
  <si>
    <t>James Chadwick</t>
  </si>
  <si>
    <t>Martin Luther, John McFarland</t>
  </si>
  <si>
    <t>John Work</t>
  </si>
  <si>
    <t>Unknown (English Carol)</t>
  </si>
  <si>
    <t>John Neale</t>
  </si>
  <si>
    <t>Edmund Sears</t>
  </si>
  <si>
    <t>2/4</t>
  </si>
  <si>
    <t>Buddy Greene</t>
  </si>
  <si>
    <t>Cm</t>
  </si>
  <si>
    <t>Rufus Music</t>
  </si>
  <si>
    <t>John Wade, Frederick Oakeley</t>
  </si>
  <si>
    <t>Veni Emmanuel, John Neale</t>
  </si>
  <si>
    <t>Placide Cappeau</t>
  </si>
  <si>
    <t>Phillips Brooks</t>
  </si>
  <si>
    <t>Joseph Mohr</t>
  </si>
  <si>
    <t>John Hopkins</t>
  </si>
  <si>
    <t>William Dix</t>
  </si>
  <si>
    <t>Nahum Tate</t>
  </si>
  <si>
    <t>Angels From The Realms Of Glory</t>
  </si>
  <si>
    <t>God Rest Ye Merry Gentlemen</t>
  </si>
  <si>
    <t>Good Christian Men Rejoice</t>
  </si>
  <si>
    <t>Mary Did You Know</t>
  </si>
  <si>
    <t>We Three Kings</t>
  </si>
  <si>
    <t>While Shepherds Watched</t>
  </si>
  <si>
    <t>CCWS Christmas</t>
  </si>
  <si>
    <t>?</t>
  </si>
  <si>
    <t>Keith &amp; Kristyn Getty</t>
  </si>
  <si>
    <t>Keith Getty</t>
  </si>
  <si>
    <t>Keith and Kristyn Getty</t>
  </si>
  <si>
    <t>Matt Boswell</t>
  </si>
  <si>
    <t>Michael Farren</t>
  </si>
  <si>
    <t>Amy Grant</t>
  </si>
  <si>
    <t>Joy to the World</t>
  </si>
  <si>
    <t>Joyful, Joyful</t>
  </si>
  <si>
    <t>Psalm 46</t>
  </si>
  <si>
    <t>Lord of Hosts</t>
  </si>
  <si>
    <t>Psalm 45</t>
  </si>
  <si>
    <t>Fairest of All</t>
  </si>
  <si>
    <t>Psalm 34</t>
  </si>
  <si>
    <t>Taste and See</t>
  </si>
  <si>
    <t>Psalm 51</t>
  </si>
  <si>
    <t>Wisdom in the Secret Heart</t>
  </si>
  <si>
    <t>Psalm 139</t>
  </si>
  <si>
    <t>Far Too Wonderful</t>
  </si>
  <si>
    <t>Psalm 98</t>
  </si>
  <si>
    <t>Sing Unto The Lord</t>
  </si>
  <si>
    <t>Psalm 91</t>
  </si>
  <si>
    <t>On Eagles' Wings</t>
  </si>
  <si>
    <t>Psalm 63</t>
  </si>
  <si>
    <t>Better than Life</t>
  </si>
  <si>
    <t>Psalm 16</t>
  </si>
  <si>
    <t>Fullness of Joy</t>
  </si>
  <si>
    <t>Psalm 27</t>
  </si>
  <si>
    <t>One Thing</t>
  </si>
  <si>
    <t>Surely Goodness, Surely Mercy</t>
  </si>
  <si>
    <t>Above All Else</t>
  </si>
  <si>
    <t>Holy, Holy, Holy</t>
  </si>
  <si>
    <t>We Bow Before Thee</t>
  </si>
  <si>
    <t>Full of Love</t>
  </si>
  <si>
    <t>Lord You Are</t>
  </si>
  <si>
    <t>Turn Your Eyes Upon Jesus</t>
  </si>
  <si>
    <t>Praise to the Lord</t>
  </si>
  <si>
    <t>Living Waters</t>
  </si>
  <si>
    <t>As the Deer</t>
  </si>
  <si>
    <t>WI Singles</t>
  </si>
  <si>
    <t>Run</t>
  </si>
  <si>
    <t>Liberty Worship Collective</t>
  </si>
  <si>
    <t>Where You Are</t>
  </si>
  <si>
    <t>Better</t>
  </si>
  <si>
    <t>By The Grace of God</t>
  </si>
  <si>
    <t>Make Room</t>
  </si>
  <si>
    <t>Psalm 13</t>
  </si>
  <si>
    <t>Other CCLI#</t>
  </si>
  <si>
    <t>Category</t>
  </si>
  <si>
    <t>Christmas</t>
  </si>
  <si>
    <t>Contemporary</t>
  </si>
  <si>
    <t>Intermediate</t>
  </si>
  <si>
    <t>Brian Doerksen</t>
  </si>
  <si>
    <t>Andrew Peterson, Ben Shive</t>
  </si>
  <si>
    <t>Lisa Gungor, Michael Gungor</t>
  </si>
  <si>
    <t>worshiptogether.com</t>
  </si>
  <si>
    <t>Robert Robinson, John Wyeth</t>
  </si>
  <si>
    <t>Songs From Wellhouse</t>
  </si>
  <si>
    <t>Jason Ingram, Reuben Morgan</t>
  </si>
  <si>
    <t>Ben Cantelon, Tim Hughes</t>
  </si>
  <si>
    <t>Leslie Jordan</t>
  </si>
  <si>
    <t>Special by S&amp;S - Actually CCLI# 4674207</t>
  </si>
  <si>
    <t>Charles Hutchinson Gabriel, Chris Tomlin</t>
  </si>
  <si>
    <t>Horatio Gates Spafford, Philip Paul Bliss</t>
  </si>
  <si>
    <t>Special by S&amp;S - Actually CCLI# 25376</t>
  </si>
  <si>
    <t>Alex Nifong, Elvina Hall</t>
  </si>
  <si>
    <t>Pay Me Please Publishing</t>
  </si>
  <si>
    <t>Matt Redman, Beth Redman</t>
  </si>
  <si>
    <t>Jason Ingram, Matt Redman</t>
  </si>
  <si>
    <t>David Crowder</t>
  </si>
  <si>
    <t>Joel Houston, Scott Ligertwood</t>
  </si>
  <si>
    <t>Tim Neufeld, Jon Neufeld</t>
  </si>
  <si>
    <t>Birdwing Music</t>
  </si>
  <si>
    <t>Tim Hughes, Nick Herbert</t>
  </si>
  <si>
    <t>Shane Barnard, Beth Barnard</t>
  </si>
  <si>
    <t>River Oaks Music Company</t>
  </si>
  <si>
    <t>Shane Barnard, Shane Everett</t>
  </si>
  <si>
    <t>Hillsong?</t>
  </si>
  <si>
    <t>Year</t>
  </si>
  <si>
    <t>Kickstarter Project</t>
  </si>
  <si>
    <t>Prerelease</t>
  </si>
  <si>
    <t>Psalms</t>
  </si>
  <si>
    <t>A Worship Initiative Christmas, Vol. 2</t>
  </si>
  <si>
    <t>Played live but not included on any album</t>
  </si>
  <si>
    <t>A Worship Initiative Christmas, Vol. 1</t>
  </si>
  <si>
    <t>Count</t>
  </si>
  <si>
    <t>Volume</t>
  </si>
  <si>
    <t>TWI Total</t>
  </si>
  <si>
    <t>Volume 1</t>
  </si>
  <si>
    <t>Vol. 1-12</t>
  </si>
  <si>
    <t>ALL CCWS</t>
  </si>
  <si>
    <t>Hymns</t>
  </si>
  <si>
    <t>ALL Other</t>
  </si>
  <si>
    <t>Volume 2</t>
  </si>
  <si>
    <t>Vol. 13-23</t>
  </si>
  <si>
    <t>TWI Special</t>
  </si>
  <si>
    <t>From CCWS Xmas</t>
  </si>
  <si>
    <t>From CCWS</t>
  </si>
  <si>
    <t>Extra</t>
  </si>
  <si>
    <t>CCLI#</t>
  </si>
  <si>
    <t>Album</t>
  </si>
  <si>
    <t>Track</t>
  </si>
  <si>
    <t>Number</t>
  </si>
  <si>
    <t>In List?</t>
  </si>
  <si>
    <t>Psalms, Vol. 2</t>
  </si>
  <si>
    <t>The Worship Initiative, Vol. 01</t>
  </si>
  <si>
    <t>The Worship Initiative, Vol. 02</t>
  </si>
  <si>
    <t>The Worship Initiative, Vol. 03</t>
  </si>
  <si>
    <t>The Worship Initiative, Vol. 04</t>
  </si>
  <si>
    <t>The Worship Initiative, Vol. 05</t>
  </si>
  <si>
    <t>The Worship Initiative, Vol. 06</t>
  </si>
  <si>
    <t>The Worship Initiative, Vol. 07</t>
  </si>
  <si>
    <t>The Worship Initiative, Vol. 08</t>
  </si>
  <si>
    <t>The Worship Initiative, Vol. 09</t>
  </si>
  <si>
    <t>Tracks</t>
  </si>
  <si>
    <t>Order</t>
  </si>
  <si>
    <t>S&amp;S?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</si>
</sst>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C2A29"/>
      <name val="Calibri"/>
      <family val="2"/>
      <scheme val="minor"/>
    </font>
    <font>
      <sz val="11"/>
      <color rgb="FF202122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left" vertical="center"/>
    </xf>
    <xf numFmtId="16" fontId="0" fillId="0" borderId="0" xfId="0" quotePrefix="1" applyNumberFormat="1" applyAlignment="1">
      <alignment horizontal="left"/>
    </xf>
    <xf numFmtId="0" fontId="1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quotePrefix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0" fillId="0" borderId="6" xfId="0" applyBorder="1"/>
    <xf numFmtId="0" fontId="0" fillId="0" borderId="7" xfId="0" applyBorder="1"/>
    <xf numFmtId="0" fontId="1" fillId="0" borderId="5" xfId="0" applyFont="1" applyBorder="1"/>
    <xf numFmtId="0" fontId="0" fillId="0" borderId="8" xfId="0" applyBorder="1"/>
    <xf numFmtId="0" fontId="1" fillId="0" borderId="9" xfId="0" applyFont="1" applyBorder="1"/>
    <xf numFmtId="0" fontId="0" fillId="0" borderId="9" xfId="0" applyBorder="1"/>
    <xf numFmtId="0" fontId="1" fillId="0" borderId="0" xfId="0" applyFont="1" applyBorder="1"/>
    <xf numFmtId="0" fontId="0" fillId="0" borderId="0" xfId="0" applyBorder="1"/>
    <xf numFmtId="15" fontId="4" fillId="0" borderId="9" xfId="0" applyNumberFormat="1" applyFont="1" applyBorder="1"/>
    <xf numFmtId="15" fontId="5" fillId="0" borderId="9" xfId="0" applyNumberFormat="1" applyFont="1" applyBorder="1"/>
  </cellXfs>
  <cellStyles count="1">
    <cellStyle name="Normal" xfId="0" builtinId="0"/>
  </cellStyles>
  <dxfs count="45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HillsongWorship/HillsongWorshi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CcwsBethelCommunity/CcwsBethelCommun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ShaneAndShane/ShaneAndSha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Albums"/>
      <sheetName val="Songs"/>
      <sheetName val="Rejected (Compilations)"/>
    </sheetNames>
    <sheetDataSet>
      <sheetData sheetId="0"/>
      <sheetData sheetId="1"/>
      <sheetData sheetId="2">
        <row r="1">
          <cell r="H1" t="str">
            <v>CCLI#</v>
          </cell>
        </row>
        <row r="229">
          <cell r="H229">
            <v>2725646</v>
          </cell>
        </row>
        <row r="230">
          <cell r="H230">
            <v>3001613</v>
          </cell>
        </row>
        <row r="231">
          <cell r="H231">
            <v>3001620</v>
          </cell>
        </row>
        <row r="232">
          <cell r="H232">
            <v>3001637</v>
          </cell>
        </row>
        <row r="233">
          <cell r="H233">
            <v>2883069</v>
          </cell>
        </row>
        <row r="234">
          <cell r="H234">
            <v>3001644</v>
          </cell>
        </row>
        <row r="235">
          <cell r="H235">
            <v>3001651</v>
          </cell>
        </row>
        <row r="236">
          <cell r="H236">
            <v>2883038</v>
          </cell>
        </row>
        <row r="237">
          <cell r="H237">
            <v>3001668</v>
          </cell>
        </row>
        <row r="238">
          <cell r="H238">
            <v>3001589</v>
          </cell>
        </row>
        <row r="239">
          <cell r="H239">
            <v>3001596</v>
          </cell>
        </row>
        <row r="240">
          <cell r="H240">
            <v>3001606</v>
          </cell>
        </row>
        <row r="241">
          <cell r="H241">
            <v>2938550</v>
          </cell>
        </row>
        <row r="242">
          <cell r="H242">
            <v>2798154</v>
          </cell>
        </row>
        <row r="280">
          <cell r="H280">
            <v>3375583</v>
          </cell>
        </row>
        <row r="281">
          <cell r="H281">
            <v>3375851</v>
          </cell>
        </row>
        <row r="282">
          <cell r="H282">
            <v>3258208</v>
          </cell>
        </row>
        <row r="283">
          <cell r="H283">
            <v>3258150</v>
          </cell>
        </row>
        <row r="284">
          <cell r="H284">
            <v>3258167</v>
          </cell>
        </row>
        <row r="285">
          <cell r="H285">
            <v>3375710</v>
          </cell>
        </row>
        <row r="286">
          <cell r="H286">
            <v>3258174</v>
          </cell>
        </row>
        <row r="287">
          <cell r="H287">
            <v>3220205</v>
          </cell>
        </row>
        <row r="288">
          <cell r="H288">
            <v>3258198</v>
          </cell>
        </row>
        <row r="289">
          <cell r="H289">
            <v>3258181</v>
          </cell>
        </row>
        <row r="290">
          <cell r="H290">
            <v>3217555</v>
          </cell>
        </row>
        <row r="291">
          <cell r="H291">
            <v>3207613</v>
          </cell>
        </row>
        <row r="292">
          <cell r="H292">
            <v>3207596</v>
          </cell>
        </row>
        <row r="293">
          <cell r="H293">
            <v>3490547</v>
          </cell>
        </row>
        <row r="294">
          <cell r="H294">
            <v>3452767</v>
          </cell>
        </row>
        <row r="295">
          <cell r="H295">
            <v>3490554</v>
          </cell>
        </row>
        <row r="296">
          <cell r="H296">
            <v>3290709</v>
          </cell>
        </row>
        <row r="297">
          <cell r="H297">
            <v>3452774</v>
          </cell>
        </row>
        <row r="298">
          <cell r="H298">
            <v>3452781</v>
          </cell>
        </row>
        <row r="299">
          <cell r="H299">
            <v>3452743</v>
          </cell>
        </row>
        <row r="300">
          <cell r="H300">
            <v>3452750</v>
          </cell>
        </row>
        <row r="301">
          <cell r="H301">
            <v>3290716</v>
          </cell>
        </row>
        <row r="302">
          <cell r="H302">
            <v>3490578</v>
          </cell>
        </row>
        <row r="303">
          <cell r="H303">
            <v>3452736</v>
          </cell>
        </row>
        <row r="304">
          <cell r="H304">
            <v>3367560</v>
          </cell>
        </row>
        <row r="305">
          <cell r="H305">
            <v>3324479</v>
          </cell>
        </row>
        <row r="306">
          <cell r="H306">
            <v>3490585</v>
          </cell>
        </row>
        <row r="333">
          <cell r="H333">
            <v>3979862</v>
          </cell>
        </row>
        <row r="334">
          <cell r="H334">
            <v>3744592</v>
          </cell>
        </row>
        <row r="335">
          <cell r="H335">
            <v>3979879</v>
          </cell>
        </row>
        <row r="336">
          <cell r="H336">
            <v>3744585</v>
          </cell>
        </row>
        <row r="337">
          <cell r="H337">
            <v>3951062</v>
          </cell>
        </row>
        <row r="338">
          <cell r="H338">
            <v>3940963</v>
          </cell>
        </row>
        <row r="339">
          <cell r="H339">
            <v>3979886</v>
          </cell>
        </row>
        <row r="340">
          <cell r="H340">
            <v>3979941</v>
          </cell>
        </row>
        <row r="341">
          <cell r="H341">
            <v>3988767</v>
          </cell>
        </row>
        <row r="342">
          <cell r="H342" t="str">
            <v>4042279 (Combo 3266032/4149770)</v>
          </cell>
        </row>
        <row r="343">
          <cell r="H343">
            <v>3979958</v>
          </cell>
        </row>
        <row r="344">
          <cell r="H344">
            <v>3979972</v>
          </cell>
        </row>
        <row r="345">
          <cell r="H345">
            <v>3988750</v>
          </cell>
        </row>
        <row r="346">
          <cell r="H346">
            <v>3713901</v>
          </cell>
        </row>
        <row r="347">
          <cell r="H347">
            <v>3979965</v>
          </cell>
        </row>
        <row r="348">
          <cell r="H348">
            <v>3744578</v>
          </cell>
        </row>
        <row r="349">
          <cell r="H349">
            <v>3744547</v>
          </cell>
        </row>
        <row r="350">
          <cell r="H350">
            <v>3979958</v>
          </cell>
        </row>
        <row r="351">
          <cell r="H351">
            <v>4254689</v>
          </cell>
        </row>
        <row r="352">
          <cell r="H352">
            <v>4222082</v>
          </cell>
        </row>
        <row r="353">
          <cell r="H353">
            <v>4222116</v>
          </cell>
        </row>
        <row r="354">
          <cell r="H354">
            <v>4257734</v>
          </cell>
        </row>
        <row r="355">
          <cell r="H355">
            <v>4222075</v>
          </cell>
        </row>
        <row r="356">
          <cell r="H356">
            <v>4257741</v>
          </cell>
        </row>
        <row r="357">
          <cell r="H357">
            <v>4257727</v>
          </cell>
        </row>
        <row r="358">
          <cell r="H358">
            <v>4257758</v>
          </cell>
        </row>
        <row r="359">
          <cell r="H359">
            <v>4257765</v>
          </cell>
        </row>
        <row r="360">
          <cell r="H360">
            <v>4222099</v>
          </cell>
        </row>
        <row r="361">
          <cell r="H361">
            <v>4257772</v>
          </cell>
        </row>
        <row r="362">
          <cell r="H362">
            <v>4120029</v>
          </cell>
        </row>
        <row r="363">
          <cell r="H363">
            <v>4222051</v>
          </cell>
        </row>
        <row r="364">
          <cell r="H364">
            <v>4257789</v>
          </cell>
        </row>
        <row r="365">
          <cell r="H365">
            <v>4257796</v>
          </cell>
        </row>
        <row r="392">
          <cell r="H392">
            <v>4433390</v>
          </cell>
        </row>
        <row r="393">
          <cell r="H393">
            <v>4451327</v>
          </cell>
        </row>
        <row r="394">
          <cell r="H394">
            <v>4433400</v>
          </cell>
        </row>
        <row r="395">
          <cell r="H395">
            <v>4433417</v>
          </cell>
        </row>
        <row r="396">
          <cell r="H396">
            <v>4433424</v>
          </cell>
        </row>
        <row r="397">
          <cell r="H397">
            <v>4433431</v>
          </cell>
        </row>
        <row r="398">
          <cell r="H398" t="str">
            <v>4645889 (Combo 4462402/4455213)</v>
          </cell>
        </row>
        <row r="399">
          <cell r="H399">
            <v>4433448</v>
          </cell>
        </row>
        <row r="400">
          <cell r="H400">
            <v>4435790</v>
          </cell>
        </row>
        <row r="401">
          <cell r="H401">
            <v>4437846</v>
          </cell>
        </row>
        <row r="402">
          <cell r="H402">
            <v>4455220</v>
          </cell>
        </row>
        <row r="403">
          <cell r="H403">
            <v>4437853</v>
          </cell>
        </row>
        <row r="404">
          <cell r="H404">
            <v>4455237</v>
          </cell>
        </row>
        <row r="405">
          <cell r="H405">
            <v>4455196</v>
          </cell>
        </row>
        <row r="406">
          <cell r="H406">
            <v>4451310</v>
          </cell>
        </row>
        <row r="407">
          <cell r="H407">
            <v>4451327</v>
          </cell>
        </row>
        <row r="408">
          <cell r="H408">
            <v>4451310</v>
          </cell>
        </row>
        <row r="409">
          <cell r="H409">
            <v>4455141</v>
          </cell>
        </row>
        <row r="410">
          <cell r="H410">
            <v>4455213</v>
          </cell>
        </row>
        <row r="411">
          <cell r="H411">
            <v>4455220</v>
          </cell>
        </row>
        <row r="412">
          <cell r="H412">
            <v>4455206</v>
          </cell>
        </row>
        <row r="413">
          <cell r="H413">
            <v>4455237</v>
          </cell>
        </row>
        <row r="414">
          <cell r="H414">
            <v>4455196</v>
          </cell>
        </row>
        <row r="415">
          <cell r="H415">
            <v>4455165</v>
          </cell>
        </row>
        <row r="416">
          <cell r="H416">
            <v>4455158</v>
          </cell>
        </row>
        <row r="417">
          <cell r="H417">
            <v>4455189</v>
          </cell>
        </row>
        <row r="418">
          <cell r="H418">
            <v>4455172</v>
          </cell>
        </row>
        <row r="419">
          <cell r="H419">
            <v>41099</v>
          </cell>
        </row>
        <row r="432">
          <cell r="H432">
            <v>4705152</v>
          </cell>
        </row>
        <row r="433">
          <cell r="H433">
            <v>4591861</v>
          </cell>
        </row>
        <row r="434">
          <cell r="H434">
            <v>4591799</v>
          </cell>
        </row>
        <row r="435">
          <cell r="H435">
            <v>4599715</v>
          </cell>
        </row>
        <row r="436">
          <cell r="H436">
            <v>4591816</v>
          </cell>
        </row>
        <row r="437">
          <cell r="H437">
            <v>4705176</v>
          </cell>
        </row>
        <row r="438">
          <cell r="H438">
            <v>4599722</v>
          </cell>
        </row>
        <row r="439">
          <cell r="H439">
            <v>4599698</v>
          </cell>
        </row>
        <row r="440">
          <cell r="H440">
            <v>4591823</v>
          </cell>
        </row>
        <row r="441">
          <cell r="H441">
            <v>4591854</v>
          </cell>
        </row>
        <row r="442">
          <cell r="H442">
            <v>4691084</v>
          </cell>
        </row>
        <row r="443">
          <cell r="H443">
            <v>4591830</v>
          </cell>
        </row>
        <row r="444">
          <cell r="H444">
            <v>4726186</v>
          </cell>
        </row>
        <row r="445">
          <cell r="H445" t="str">
            <v>N/A</v>
          </cell>
        </row>
        <row r="446">
          <cell r="H446">
            <v>4591782</v>
          </cell>
        </row>
        <row r="461">
          <cell r="H461" t="str">
            <v>N/A</v>
          </cell>
        </row>
        <row r="462">
          <cell r="H462">
            <v>4705145</v>
          </cell>
        </row>
        <row r="463">
          <cell r="H463">
            <v>4705152</v>
          </cell>
        </row>
        <row r="464">
          <cell r="H464">
            <v>4705169</v>
          </cell>
        </row>
        <row r="465">
          <cell r="H465">
            <v>4705176</v>
          </cell>
        </row>
        <row r="466">
          <cell r="H466">
            <v>4705190</v>
          </cell>
        </row>
        <row r="467">
          <cell r="H467" t="str">
            <v>N/A</v>
          </cell>
        </row>
        <row r="468">
          <cell r="H468">
            <v>4726186</v>
          </cell>
        </row>
        <row r="469">
          <cell r="H469" t="str">
            <v>N/A</v>
          </cell>
        </row>
        <row r="470">
          <cell r="H470">
            <v>4705200</v>
          </cell>
        </row>
        <row r="471">
          <cell r="H471">
            <v>4722764</v>
          </cell>
        </row>
        <row r="472">
          <cell r="H472">
            <v>4705217</v>
          </cell>
        </row>
        <row r="473">
          <cell r="H473">
            <v>4705224</v>
          </cell>
        </row>
        <row r="474">
          <cell r="H474">
            <v>4705231</v>
          </cell>
        </row>
        <row r="475">
          <cell r="H475">
            <v>4705248</v>
          </cell>
        </row>
        <row r="476">
          <cell r="H476" t="str">
            <v>N/A</v>
          </cell>
        </row>
        <row r="477">
          <cell r="H477">
            <v>4710484</v>
          </cell>
        </row>
        <row r="492">
          <cell r="H492">
            <v>4869861</v>
          </cell>
        </row>
        <row r="493">
          <cell r="H493">
            <v>4785770</v>
          </cell>
        </row>
        <row r="494">
          <cell r="H494">
            <v>4869902</v>
          </cell>
        </row>
        <row r="495">
          <cell r="H495">
            <v>4869940</v>
          </cell>
        </row>
        <row r="496">
          <cell r="H496">
            <v>4869971</v>
          </cell>
        </row>
        <row r="497">
          <cell r="H497">
            <v>4869957</v>
          </cell>
        </row>
        <row r="498">
          <cell r="H498">
            <v>4869919</v>
          </cell>
        </row>
        <row r="499">
          <cell r="H499">
            <v>4869933</v>
          </cell>
        </row>
        <row r="500">
          <cell r="H500">
            <v>4869926</v>
          </cell>
        </row>
        <row r="501">
          <cell r="H501">
            <v>4869964</v>
          </cell>
        </row>
        <row r="502">
          <cell r="H502">
            <v>4785835</v>
          </cell>
        </row>
        <row r="503">
          <cell r="H503">
            <v>4869885</v>
          </cell>
        </row>
        <row r="504">
          <cell r="H504">
            <v>4869892</v>
          </cell>
        </row>
        <row r="505">
          <cell r="H505">
            <v>4785897</v>
          </cell>
        </row>
        <row r="506">
          <cell r="H506">
            <v>5060841</v>
          </cell>
        </row>
        <row r="507">
          <cell r="H507">
            <v>5060786</v>
          </cell>
        </row>
        <row r="508">
          <cell r="H508">
            <v>5060793</v>
          </cell>
        </row>
        <row r="509">
          <cell r="H509">
            <v>5060834</v>
          </cell>
        </row>
        <row r="510">
          <cell r="H510">
            <v>5065918</v>
          </cell>
        </row>
        <row r="511">
          <cell r="H511">
            <v>5060803</v>
          </cell>
        </row>
        <row r="512">
          <cell r="H512">
            <v>5060810</v>
          </cell>
        </row>
        <row r="513">
          <cell r="H513">
            <v>4873981</v>
          </cell>
        </row>
        <row r="514">
          <cell r="H514">
            <v>5065925</v>
          </cell>
        </row>
        <row r="515">
          <cell r="H515">
            <v>5029978</v>
          </cell>
        </row>
        <row r="516">
          <cell r="H516">
            <v>5060827</v>
          </cell>
        </row>
        <row r="517">
          <cell r="H517">
            <v>5065932</v>
          </cell>
        </row>
        <row r="518">
          <cell r="H518">
            <v>5065949</v>
          </cell>
        </row>
        <row r="519">
          <cell r="H519">
            <v>5012583</v>
          </cell>
        </row>
        <row r="520">
          <cell r="H520">
            <v>15960</v>
          </cell>
        </row>
        <row r="521">
          <cell r="H521">
            <v>5060779</v>
          </cell>
        </row>
        <row r="522">
          <cell r="H522">
            <v>5372113</v>
          </cell>
        </row>
        <row r="523">
          <cell r="H523">
            <v>5372120</v>
          </cell>
        </row>
        <row r="524">
          <cell r="H524">
            <v>5371303</v>
          </cell>
        </row>
        <row r="525">
          <cell r="H525">
            <v>5371293</v>
          </cell>
        </row>
        <row r="526">
          <cell r="H526">
            <v>5060793</v>
          </cell>
        </row>
        <row r="527">
          <cell r="H527">
            <v>5371341</v>
          </cell>
        </row>
        <row r="528">
          <cell r="H528">
            <v>5372144</v>
          </cell>
        </row>
        <row r="529">
          <cell r="H529">
            <v>5372773</v>
          </cell>
        </row>
        <row r="530">
          <cell r="H530">
            <v>5372151</v>
          </cell>
        </row>
        <row r="531">
          <cell r="H531">
            <v>5372151</v>
          </cell>
        </row>
        <row r="532">
          <cell r="H532">
            <v>5060841</v>
          </cell>
        </row>
        <row r="533">
          <cell r="H533">
            <v>5371310</v>
          </cell>
        </row>
        <row r="534">
          <cell r="H534">
            <v>5407325</v>
          </cell>
        </row>
        <row r="535">
          <cell r="H535">
            <v>5409024</v>
          </cell>
        </row>
        <row r="536">
          <cell r="H536">
            <v>5407332</v>
          </cell>
        </row>
        <row r="537">
          <cell r="H537">
            <v>5407291</v>
          </cell>
        </row>
        <row r="538">
          <cell r="H538">
            <v>5409079</v>
          </cell>
        </row>
        <row r="539">
          <cell r="H539">
            <v>5409086</v>
          </cell>
        </row>
        <row r="540">
          <cell r="H540">
            <v>5372120</v>
          </cell>
        </row>
        <row r="541">
          <cell r="H541">
            <v>5409062</v>
          </cell>
        </row>
        <row r="542">
          <cell r="H542">
            <v>5407318</v>
          </cell>
        </row>
        <row r="543">
          <cell r="H543">
            <v>5407301</v>
          </cell>
        </row>
        <row r="544">
          <cell r="H544">
            <v>5409055</v>
          </cell>
        </row>
        <row r="545">
          <cell r="H545">
            <v>5409048</v>
          </cell>
        </row>
        <row r="546">
          <cell r="H546">
            <v>5372151</v>
          </cell>
        </row>
        <row r="547">
          <cell r="H547">
            <v>5636866</v>
          </cell>
        </row>
        <row r="548">
          <cell r="H548">
            <v>5636873</v>
          </cell>
        </row>
        <row r="549">
          <cell r="H549">
            <v>5639997</v>
          </cell>
        </row>
        <row r="550">
          <cell r="H550">
            <v>5636880</v>
          </cell>
        </row>
        <row r="551">
          <cell r="H551">
            <v>5637528</v>
          </cell>
        </row>
        <row r="552">
          <cell r="H552">
            <v>5660739</v>
          </cell>
        </row>
        <row r="553">
          <cell r="H553">
            <v>5636907</v>
          </cell>
        </row>
        <row r="554">
          <cell r="H554">
            <v>5636914</v>
          </cell>
        </row>
        <row r="555">
          <cell r="H555">
            <v>5636921</v>
          </cell>
        </row>
        <row r="556">
          <cell r="H556">
            <v>5637511</v>
          </cell>
        </row>
        <row r="557">
          <cell r="H557">
            <v>5637470</v>
          </cell>
        </row>
        <row r="558">
          <cell r="H558">
            <v>5637487</v>
          </cell>
        </row>
        <row r="559">
          <cell r="H559">
            <v>5639997</v>
          </cell>
        </row>
        <row r="581">
          <cell r="H581">
            <v>5894244</v>
          </cell>
        </row>
        <row r="582">
          <cell r="H582">
            <v>5894189</v>
          </cell>
        </row>
        <row r="583">
          <cell r="H583">
            <v>5894196</v>
          </cell>
        </row>
        <row r="584">
          <cell r="H584">
            <v>5894268</v>
          </cell>
        </row>
        <row r="585">
          <cell r="H585">
            <v>5894275</v>
          </cell>
        </row>
        <row r="586">
          <cell r="H586">
            <v>5894172</v>
          </cell>
        </row>
        <row r="587">
          <cell r="H587">
            <v>5894206</v>
          </cell>
        </row>
        <row r="588">
          <cell r="H588">
            <v>5894251</v>
          </cell>
        </row>
        <row r="589">
          <cell r="H589">
            <v>5887055</v>
          </cell>
        </row>
        <row r="590">
          <cell r="H590">
            <v>5894213</v>
          </cell>
        </row>
        <row r="591">
          <cell r="H591">
            <v>5894220</v>
          </cell>
        </row>
        <row r="592">
          <cell r="H592">
            <v>5806706</v>
          </cell>
        </row>
        <row r="593">
          <cell r="H593">
            <v>5677399</v>
          </cell>
        </row>
        <row r="594">
          <cell r="H594">
            <v>5371310</v>
          </cell>
        </row>
        <row r="595">
          <cell r="H595">
            <v>6177300</v>
          </cell>
        </row>
        <row r="596">
          <cell r="H596">
            <v>6179573</v>
          </cell>
        </row>
        <row r="597">
          <cell r="H597">
            <v>6158927</v>
          </cell>
        </row>
        <row r="598">
          <cell r="H598">
            <v>6177317</v>
          </cell>
        </row>
        <row r="599">
          <cell r="H599">
            <v>6177386</v>
          </cell>
        </row>
        <row r="600">
          <cell r="H600">
            <v>6181114</v>
          </cell>
        </row>
        <row r="601">
          <cell r="H601">
            <v>6177348</v>
          </cell>
        </row>
        <row r="602">
          <cell r="H602">
            <v>6177290</v>
          </cell>
        </row>
        <row r="603">
          <cell r="H603">
            <v>6177379</v>
          </cell>
        </row>
        <row r="604">
          <cell r="H604">
            <v>6177393</v>
          </cell>
        </row>
        <row r="605">
          <cell r="H605">
            <v>6177355</v>
          </cell>
        </row>
        <row r="606">
          <cell r="H606">
            <v>6179566</v>
          </cell>
        </row>
        <row r="607">
          <cell r="H607">
            <v>6177386</v>
          </cell>
        </row>
        <row r="620">
          <cell r="H620">
            <v>6513328</v>
          </cell>
        </row>
        <row r="621">
          <cell r="H621">
            <v>6513335</v>
          </cell>
        </row>
        <row r="622">
          <cell r="H622">
            <v>6514035</v>
          </cell>
        </row>
        <row r="623">
          <cell r="H623">
            <v>6514042</v>
          </cell>
        </row>
        <row r="624">
          <cell r="H624">
            <v>6514059</v>
          </cell>
        </row>
        <row r="625">
          <cell r="H625">
            <v>6514066</v>
          </cell>
        </row>
        <row r="626">
          <cell r="H626">
            <v>6514073</v>
          </cell>
        </row>
        <row r="627">
          <cell r="H627">
            <v>6514097</v>
          </cell>
        </row>
        <row r="628">
          <cell r="H628">
            <v>6476063</v>
          </cell>
        </row>
        <row r="629">
          <cell r="H629">
            <v>6502229</v>
          </cell>
        </row>
        <row r="630">
          <cell r="H630">
            <v>6514114</v>
          </cell>
        </row>
        <row r="631">
          <cell r="H631">
            <v>6514121</v>
          </cell>
        </row>
        <row r="645">
          <cell r="H645">
            <v>7018338</v>
          </cell>
        </row>
        <row r="646">
          <cell r="H646">
            <v>7019977</v>
          </cell>
        </row>
        <row r="647">
          <cell r="H647">
            <v>7019974</v>
          </cell>
        </row>
        <row r="648">
          <cell r="H648">
            <v>7019979</v>
          </cell>
        </row>
        <row r="649">
          <cell r="H649">
            <v>7019976</v>
          </cell>
        </row>
        <row r="650">
          <cell r="H650">
            <v>7018337</v>
          </cell>
        </row>
        <row r="651">
          <cell r="H651">
            <v>7004672</v>
          </cell>
        </row>
        <row r="652">
          <cell r="H652">
            <v>7019975</v>
          </cell>
        </row>
        <row r="653">
          <cell r="H653">
            <v>7019978</v>
          </cell>
        </row>
        <row r="654">
          <cell r="H654">
            <v>7019980</v>
          </cell>
        </row>
        <row r="655">
          <cell r="H655">
            <v>6428853</v>
          </cell>
        </row>
        <row r="668">
          <cell r="H668">
            <v>7037787</v>
          </cell>
        </row>
        <row r="669">
          <cell r="H669">
            <v>7047249</v>
          </cell>
        </row>
        <row r="670">
          <cell r="H670">
            <v>7047247</v>
          </cell>
        </row>
        <row r="671">
          <cell r="H671">
            <v>7047254</v>
          </cell>
        </row>
        <row r="672">
          <cell r="H672">
            <v>7047252</v>
          </cell>
        </row>
        <row r="673">
          <cell r="H673">
            <v>7047248</v>
          </cell>
        </row>
        <row r="674">
          <cell r="H674">
            <v>7037921</v>
          </cell>
        </row>
        <row r="675">
          <cell r="H675">
            <v>7047253</v>
          </cell>
        </row>
        <row r="676">
          <cell r="H676">
            <v>7047251</v>
          </cell>
        </row>
        <row r="677">
          <cell r="H677">
            <v>7037224</v>
          </cell>
        </row>
        <row r="678">
          <cell r="H678">
            <v>7047250</v>
          </cell>
        </row>
        <row r="679">
          <cell r="H679">
            <v>7047255</v>
          </cell>
        </row>
        <row r="680">
          <cell r="H680">
            <v>7068430</v>
          </cell>
        </row>
        <row r="681">
          <cell r="H681">
            <v>7068428</v>
          </cell>
        </row>
        <row r="682">
          <cell r="H682">
            <v>7068422</v>
          </cell>
        </row>
        <row r="683">
          <cell r="H683">
            <v>7068421</v>
          </cell>
        </row>
        <row r="684">
          <cell r="H684">
            <v>7068424</v>
          </cell>
        </row>
        <row r="685">
          <cell r="H685">
            <v>7068426</v>
          </cell>
        </row>
        <row r="686">
          <cell r="H686">
            <v>7069096</v>
          </cell>
        </row>
        <row r="687">
          <cell r="H687">
            <v>7068425</v>
          </cell>
        </row>
        <row r="688">
          <cell r="H688">
            <v>7057218</v>
          </cell>
        </row>
        <row r="689">
          <cell r="H689">
            <v>7069097</v>
          </cell>
        </row>
        <row r="690">
          <cell r="H690">
            <v>7068427</v>
          </cell>
        </row>
        <row r="691">
          <cell r="H691">
            <v>7068429</v>
          </cell>
        </row>
        <row r="694">
          <cell r="H694">
            <v>7095538</v>
          </cell>
        </row>
        <row r="695">
          <cell r="H695">
            <v>7095645</v>
          </cell>
        </row>
        <row r="696">
          <cell r="H696">
            <v>31054</v>
          </cell>
        </row>
        <row r="698">
          <cell r="H698">
            <v>7095539</v>
          </cell>
        </row>
        <row r="699">
          <cell r="H699">
            <v>7095545</v>
          </cell>
        </row>
        <row r="700">
          <cell r="H700">
            <v>7095542</v>
          </cell>
        </row>
        <row r="702">
          <cell r="H702">
            <v>32015</v>
          </cell>
        </row>
        <row r="703">
          <cell r="H703">
            <v>7095541</v>
          </cell>
        </row>
        <row r="716">
          <cell r="H716">
            <v>7102401</v>
          </cell>
        </row>
        <row r="717">
          <cell r="H717">
            <v>7102402</v>
          </cell>
        </row>
        <row r="718">
          <cell r="H718">
            <v>7102399</v>
          </cell>
        </row>
        <row r="719">
          <cell r="H719">
            <v>7102394</v>
          </cell>
        </row>
        <row r="720">
          <cell r="H720">
            <v>7102393</v>
          </cell>
        </row>
        <row r="721">
          <cell r="H721">
            <v>7102398</v>
          </cell>
        </row>
        <row r="722">
          <cell r="H722">
            <v>7102400</v>
          </cell>
        </row>
        <row r="723">
          <cell r="H723">
            <v>7102403</v>
          </cell>
        </row>
        <row r="724">
          <cell r="H724">
            <v>7102395</v>
          </cell>
        </row>
        <row r="725">
          <cell r="H725">
            <v>7102396</v>
          </cell>
        </row>
        <row r="726">
          <cell r="H726">
            <v>7102397</v>
          </cell>
        </row>
        <row r="727">
          <cell r="H727">
            <v>7084123</v>
          </cell>
        </row>
        <row r="728">
          <cell r="H728" t="str">
            <v>N/A</v>
          </cell>
        </row>
        <row r="729">
          <cell r="H729">
            <v>7134998</v>
          </cell>
        </row>
        <row r="730">
          <cell r="H730">
            <v>7134993</v>
          </cell>
        </row>
        <row r="731">
          <cell r="H731">
            <v>7134996</v>
          </cell>
        </row>
        <row r="732">
          <cell r="H732">
            <v>7135000</v>
          </cell>
        </row>
        <row r="733">
          <cell r="H733">
            <v>7127647</v>
          </cell>
        </row>
        <row r="734">
          <cell r="H734" t="str">
            <v>N/A</v>
          </cell>
        </row>
        <row r="735">
          <cell r="H735">
            <v>7134995</v>
          </cell>
        </row>
        <row r="736">
          <cell r="H736">
            <v>7134999</v>
          </cell>
        </row>
        <row r="737">
          <cell r="H737">
            <v>7135001</v>
          </cell>
        </row>
        <row r="738">
          <cell r="H738">
            <v>7134994</v>
          </cell>
        </row>
        <row r="739">
          <cell r="H739">
            <v>7134997</v>
          </cell>
        </row>
        <row r="740">
          <cell r="H740">
            <v>7134996</v>
          </cell>
        </row>
        <row r="741">
          <cell r="H741">
            <v>7127647</v>
          </cell>
        </row>
        <row r="742">
          <cell r="H742">
            <v>7135000</v>
          </cell>
        </row>
        <row r="743">
          <cell r="H743">
            <v>7124903</v>
          </cell>
        </row>
        <row r="744">
          <cell r="H744">
            <v>7124904</v>
          </cell>
        </row>
        <row r="745">
          <cell r="H745">
            <v>7124905</v>
          </cell>
        </row>
        <row r="746">
          <cell r="H746">
            <v>7122452</v>
          </cell>
        </row>
        <row r="747">
          <cell r="H747">
            <v>7124065</v>
          </cell>
        </row>
        <row r="748">
          <cell r="H748">
            <v>7125215</v>
          </cell>
        </row>
        <row r="749">
          <cell r="H749">
            <v>7124909</v>
          </cell>
        </row>
        <row r="750">
          <cell r="H750">
            <v>7122399</v>
          </cell>
        </row>
        <row r="751">
          <cell r="H751">
            <v>7124906</v>
          </cell>
        </row>
        <row r="752">
          <cell r="H752">
            <v>7124907</v>
          </cell>
        </row>
        <row r="753">
          <cell r="H753">
            <v>7122177</v>
          </cell>
        </row>
        <row r="754">
          <cell r="H754">
            <v>7124908</v>
          </cell>
        </row>
        <row r="755">
          <cell r="H755">
            <v>4785835</v>
          </cell>
        </row>
        <row r="756">
          <cell r="H756">
            <v>4785842</v>
          </cell>
        </row>
        <row r="757">
          <cell r="H757">
            <v>7102397</v>
          </cell>
        </row>
        <row r="758">
          <cell r="H758">
            <v>7109453</v>
          </cell>
        </row>
        <row r="759">
          <cell r="H759">
            <v>6177317</v>
          </cell>
        </row>
        <row r="760">
          <cell r="H760">
            <v>7162357</v>
          </cell>
        </row>
        <row r="761">
          <cell r="H761">
            <v>7162731</v>
          </cell>
        </row>
        <row r="762">
          <cell r="H762">
            <v>7019974</v>
          </cell>
        </row>
        <row r="763">
          <cell r="H763">
            <v>7102401</v>
          </cell>
        </row>
        <row r="764">
          <cell r="H764">
            <v>7109454</v>
          </cell>
        </row>
        <row r="765">
          <cell r="H765">
            <v>2478168</v>
          </cell>
        </row>
        <row r="766">
          <cell r="H766">
            <v>7163384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Albums"/>
      <sheetName val="Songs"/>
    </sheetNames>
    <sheetDataSet>
      <sheetData sheetId="0"/>
      <sheetData sheetId="1"/>
      <sheetData sheetId="2">
        <row r="1">
          <cell r="L1" t="str">
            <v>CCLI#</v>
          </cell>
        </row>
        <row r="2">
          <cell r="L2">
            <v>6016351</v>
          </cell>
        </row>
        <row r="3">
          <cell r="L3">
            <v>42964</v>
          </cell>
        </row>
        <row r="4">
          <cell r="L4">
            <v>2672885</v>
          </cell>
        </row>
        <row r="5">
          <cell r="L5">
            <v>7008232</v>
          </cell>
        </row>
        <row r="6">
          <cell r="L6">
            <v>120556</v>
          </cell>
        </row>
        <row r="7">
          <cell r="L7">
            <v>5881130</v>
          </cell>
        </row>
        <row r="8">
          <cell r="L8">
            <v>5869860</v>
          </cell>
        </row>
        <row r="9">
          <cell r="L9">
            <v>22025</v>
          </cell>
        </row>
        <row r="10">
          <cell r="L10">
            <v>4768151</v>
          </cell>
        </row>
        <row r="11">
          <cell r="L11">
            <v>2986399</v>
          </cell>
        </row>
        <row r="12">
          <cell r="L12">
            <v>25280</v>
          </cell>
        </row>
        <row r="13">
          <cell r="L13">
            <v>7124907</v>
          </cell>
        </row>
        <row r="14">
          <cell r="L14">
            <v>21105</v>
          </cell>
        </row>
        <row r="15">
          <cell r="L15">
            <v>1431</v>
          </cell>
        </row>
        <row r="16">
          <cell r="L16">
            <v>29499</v>
          </cell>
        </row>
        <row r="17">
          <cell r="L17">
            <v>7017786</v>
          </cell>
        </row>
        <row r="18">
          <cell r="L18">
            <v>7054178</v>
          </cell>
        </row>
        <row r="19">
          <cell r="L19">
            <v>30639</v>
          </cell>
        </row>
        <row r="20">
          <cell r="L20">
            <v>3915912</v>
          </cell>
        </row>
        <row r="21">
          <cell r="L21">
            <v>16880</v>
          </cell>
        </row>
        <row r="22">
          <cell r="L22">
            <v>2306412</v>
          </cell>
        </row>
        <row r="23">
          <cell r="L23">
            <v>5937510</v>
          </cell>
        </row>
        <row r="24">
          <cell r="L24">
            <v>1101763</v>
          </cell>
        </row>
        <row r="25">
          <cell r="L25">
            <v>1097451</v>
          </cell>
        </row>
        <row r="26">
          <cell r="L26">
            <v>22324</v>
          </cell>
        </row>
        <row r="27">
          <cell r="L27">
            <v>3798438</v>
          </cell>
        </row>
        <row r="28">
          <cell r="L28">
            <v>5910977</v>
          </cell>
        </row>
        <row r="29">
          <cell r="L29">
            <v>7019974</v>
          </cell>
        </row>
        <row r="30">
          <cell r="L30">
            <v>7070345</v>
          </cell>
        </row>
        <row r="31">
          <cell r="L31">
            <v>6186078</v>
          </cell>
        </row>
        <row r="32">
          <cell r="L32">
            <v>4705190</v>
          </cell>
        </row>
        <row r="33">
          <cell r="L33">
            <v>6514035</v>
          </cell>
        </row>
        <row r="34">
          <cell r="L34">
            <v>27965</v>
          </cell>
        </row>
        <row r="35">
          <cell r="L35">
            <v>7019316</v>
          </cell>
        </row>
        <row r="36">
          <cell r="L36">
            <v>2430948</v>
          </cell>
        </row>
        <row r="37">
          <cell r="L37">
            <v>108389</v>
          </cell>
        </row>
        <row r="38">
          <cell r="L38">
            <v>6158927</v>
          </cell>
        </row>
        <row r="39">
          <cell r="L39">
            <v>6463818</v>
          </cell>
        </row>
        <row r="40">
          <cell r="L40">
            <v>23938</v>
          </cell>
        </row>
        <row r="41">
          <cell r="L41">
            <v>1537904</v>
          </cell>
        </row>
        <row r="42">
          <cell r="L42">
            <v>7046448</v>
          </cell>
        </row>
        <row r="43">
          <cell r="L43">
            <v>7102440</v>
          </cell>
        </row>
        <row r="44">
          <cell r="L44">
            <v>7067555</v>
          </cell>
        </row>
        <row r="45">
          <cell r="L45">
            <v>7036288</v>
          </cell>
        </row>
        <row r="46">
          <cell r="L46">
            <v>7030065</v>
          </cell>
        </row>
        <row r="47">
          <cell r="L47">
            <v>4556538</v>
          </cell>
        </row>
        <row r="48">
          <cell r="L48">
            <v>5869877</v>
          </cell>
        </row>
        <row r="49">
          <cell r="L49">
            <v>3148428</v>
          </cell>
        </row>
        <row r="50">
          <cell r="L50">
            <v>7001228</v>
          </cell>
        </row>
        <row r="51">
          <cell r="L51">
            <v>7068806</v>
          </cell>
        </row>
        <row r="52">
          <cell r="L52">
            <v>4705176</v>
          </cell>
        </row>
        <row r="53">
          <cell r="L53">
            <v>7081388</v>
          </cell>
        </row>
        <row r="54">
          <cell r="L54">
            <v>5638022</v>
          </cell>
        </row>
        <row r="55">
          <cell r="L55">
            <v>5037070</v>
          </cell>
        </row>
        <row r="56">
          <cell r="L56">
            <v>3118757</v>
          </cell>
        </row>
        <row r="57">
          <cell r="L57">
            <v>7036612</v>
          </cell>
        </row>
        <row r="58">
          <cell r="L58">
            <v>7091509</v>
          </cell>
        </row>
        <row r="59">
          <cell r="L59">
            <v>6460220</v>
          </cell>
        </row>
        <row r="60">
          <cell r="L60">
            <v>5881491</v>
          </cell>
        </row>
        <row r="61">
          <cell r="L61">
            <v>18723</v>
          </cell>
        </row>
        <row r="62">
          <cell r="L62">
            <v>7109317</v>
          </cell>
        </row>
        <row r="63">
          <cell r="L63">
            <v>7107551</v>
          </cell>
        </row>
        <row r="64">
          <cell r="L64">
            <v>6550556</v>
          </cell>
        </row>
        <row r="65">
          <cell r="L65">
            <v>4026635</v>
          </cell>
        </row>
        <row r="66">
          <cell r="L66">
            <v>4873981</v>
          </cell>
        </row>
        <row r="67">
          <cell r="L67">
            <v>2296522</v>
          </cell>
        </row>
        <row r="68">
          <cell r="L68">
            <v>7111925</v>
          </cell>
        </row>
        <row r="69">
          <cell r="L69">
            <v>5925649</v>
          </cell>
        </row>
        <row r="70">
          <cell r="L70">
            <v>3266032</v>
          </cell>
        </row>
        <row r="71">
          <cell r="L71">
            <v>3287884</v>
          </cell>
        </row>
        <row r="72">
          <cell r="L72">
            <v>6129798</v>
          </cell>
        </row>
        <row r="73">
          <cell r="L73">
            <v>1156</v>
          </cell>
        </row>
        <row r="74">
          <cell r="L74">
            <v>21545</v>
          </cell>
        </row>
        <row r="75">
          <cell r="L75">
            <v>4785835</v>
          </cell>
        </row>
        <row r="76">
          <cell r="L76">
            <v>4662491</v>
          </cell>
        </row>
        <row r="77">
          <cell r="L77">
            <v>1558110</v>
          </cell>
        </row>
        <row r="78">
          <cell r="L78">
            <v>107816</v>
          </cell>
        </row>
        <row r="79">
          <cell r="L79">
            <v>4348399</v>
          </cell>
        </row>
        <row r="80">
          <cell r="L80">
            <v>14181</v>
          </cell>
        </row>
        <row r="81">
          <cell r="L81">
            <v>2978857</v>
          </cell>
        </row>
        <row r="82">
          <cell r="L82">
            <v>31762</v>
          </cell>
        </row>
        <row r="83">
          <cell r="L83">
            <v>5869884</v>
          </cell>
        </row>
        <row r="84">
          <cell r="L84">
            <v>25297</v>
          </cell>
        </row>
        <row r="85">
          <cell r="L85">
            <v>23914</v>
          </cell>
        </row>
        <row r="86">
          <cell r="L86">
            <v>23189</v>
          </cell>
        </row>
        <row r="87">
          <cell r="L87">
            <v>5806878</v>
          </cell>
        </row>
        <row r="88">
          <cell r="L88">
            <v>5183450</v>
          </cell>
        </row>
        <row r="89">
          <cell r="L89">
            <v>7074703</v>
          </cell>
        </row>
        <row r="90">
          <cell r="L90">
            <v>2328610</v>
          </cell>
        </row>
        <row r="91">
          <cell r="L91">
            <v>26399</v>
          </cell>
        </row>
        <row r="92">
          <cell r="L92">
            <v>3350395</v>
          </cell>
        </row>
        <row r="93">
          <cell r="L93">
            <v>4403076</v>
          </cell>
        </row>
        <row r="94">
          <cell r="L94">
            <v>7021972</v>
          </cell>
        </row>
        <row r="95">
          <cell r="L95">
            <v>25376</v>
          </cell>
        </row>
        <row r="96">
          <cell r="L96">
            <v>148576</v>
          </cell>
        </row>
        <row r="97">
          <cell r="L97">
            <v>7121850</v>
          </cell>
        </row>
        <row r="98">
          <cell r="L98">
            <v>5183443</v>
          </cell>
        </row>
        <row r="99">
          <cell r="L99">
            <v>22331</v>
          </cell>
        </row>
        <row r="100">
          <cell r="L100">
            <v>6223539</v>
          </cell>
        </row>
        <row r="101">
          <cell r="L101">
            <v>23206</v>
          </cell>
        </row>
        <row r="102">
          <cell r="L102">
            <v>5635850</v>
          </cell>
        </row>
        <row r="103">
          <cell r="L103">
            <v>7127647</v>
          </cell>
        </row>
        <row r="104">
          <cell r="L104">
            <v>7046145</v>
          </cell>
        </row>
        <row r="105">
          <cell r="L105">
            <v>1045238</v>
          </cell>
        </row>
        <row r="106">
          <cell r="L106">
            <v>16787</v>
          </cell>
        </row>
        <row r="107">
          <cell r="L107">
            <v>6223577</v>
          </cell>
        </row>
        <row r="108">
          <cell r="L108">
            <v>4785828</v>
          </cell>
        </row>
        <row r="109">
          <cell r="L109">
            <v>33935</v>
          </cell>
        </row>
        <row r="110">
          <cell r="L110">
            <v>7038281</v>
          </cell>
        </row>
        <row r="111">
          <cell r="L111">
            <v>7106807</v>
          </cell>
        </row>
        <row r="112">
          <cell r="L112">
            <v>117947</v>
          </cell>
        </row>
        <row r="113">
          <cell r="L113">
            <v>5925687</v>
          </cell>
        </row>
        <row r="114">
          <cell r="L114">
            <v>7063694</v>
          </cell>
        </row>
        <row r="115">
          <cell r="L115">
            <v>6518055</v>
          </cell>
        </row>
        <row r="116">
          <cell r="L116">
            <v>18448</v>
          </cell>
        </row>
        <row r="117">
          <cell r="L117">
            <v>1527</v>
          </cell>
        </row>
        <row r="118">
          <cell r="L118">
            <v>4219071</v>
          </cell>
        </row>
        <row r="119">
          <cell r="L119">
            <v>6476063</v>
          </cell>
        </row>
        <row r="120">
          <cell r="L120">
            <v>7000689</v>
          </cell>
        </row>
        <row r="121">
          <cell r="L121">
            <v>4591782</v>
          </cell>
        </row>
        <row r="122">
          <cell r="L122">
            <v>24133</v>
          </cell>
        </row>
        <row r="123">
          <cell r="L123">
            <v>6428853</v>
          </cell>
        </row>
        <row r="124">
          <cell r="L124">
            <v>7065990</v>
          </cell>
        </row>
        <row r="125">
          <cell r="L125">
            <v>7002032</v>
          </cell>
        </row>
        <row r="126">
          <cell r="L126">
            <v>2397964</v>
          </cell>
        </row>
        <row r="127">
          <cell r="L127">
            <v>78835</v>
          </cell>
        </row>
        <row r="128">
          <cell r="L128">
            <v>7102397</v>
          </cell>
        </row>
        <row r="129">
          <cell r="L129">
            <v>7030123</v>
          </cell>
        </row>
        <row r="130">
          <cell r="L130">
            <v>4611992</v>
          </cell>
        </row>
        <row r="131">
          <cell r="L131">
            <v>7051511</v>
          </cell>
        </row>
        <row r="132">
          <cell r="L132">
            <v>7037787</v>
          </cell>
        </row>
        <row r="133">
          <cell r="L133">
            <v>137178</v>
          </cell>
        </row>
        <row r="134">
          <cell r="L134">
            <v>6428767</v>
          </cell>
        </row>
        <row r="135">
          <cell r="L135">
            <v>7044259</v>
          </cell>
        </row>
        <row r="136">
          <cell r="L136">
            <v>1564362</v>
          </cell>
        </row>
        <row r="137">
          <cell r="L137">
            <v>5508444</v>
          </cell>
        </row>
        <row r="138">
          <cell r="L138">
            <v>47017</v>
          </cell>
        </row>
        <row r="139">
          <cell r="L139">
            <v>2298355</v>
          </cell>
        </row>
        <row r="140">
          <cell r="L140">
            <v>5677416</v>
          </cell>
        </row>
        <row r="141">
          <cell r="L141">
            <v>4490766</v>
          </cell>
        </row>
        <row r="142">
          <cell r="L142">
            <v>917491</v>
          </cell>
        </row>
        <row r="143">
          <cell r="L143">
            <v>4543620</v>
          </cell>
        </row>
        <row r="144">
          <cell r="L144">
            <v>7089641</v>
          </cell>
        </row>
        <row r="145">
          <cell r="L145">
            <v>7051507</v>
          </cell>
        </row>
        <row r="146">
          <cell r="L146">
            <v>4447960</v>
          </cell>
        </row>
        <row r="147">
          <cell r="L147">
            <v>5875153</v>
          </cell>
        </row>
        <row r="148">
          <cell r="L148">
            <v>6428750</v>
          </cell>
        </row>
        <row r="149">
          <cell r="L149">
            <v>1352</v>
          </cell>
        </row>
        <row r="150">
          <cell r="L150">
            <v>1406918</v>
          </cell>
        </row>
        <row r="151">
          <cell r="L151">
            <v>7084123</v>
          </cell>
        </row>
        <row r="152">
          <cell r="L152">
            <v>25417</v>
          </cell>
        </row>
        <row r="153">
          <cell r="L153">
            <v>4705248</v>
          </cell>
        </row>
        <row r="154">
          <cell r="L154">
            <v>3940963</v>
          </cell>
        </row>
        <row r="155">
          <cell r="L155">
            <v>5060810</v>
          </cell>
        </row>
        <row r="156">
          <cell r="L156">
            <v>4514635</v>
          </cell>
        </row>
        <row r="157">
          <cell r="L157">
            <v>1390</v>
          </cell>
        </row>
        <row r="158">
          <cell r="L158">
            <v>27707</v>
          </cell>
        </row>
        <row r="159">
          <cell r="L159">
            <v>11483</v>
          </cell>
        </row>
        <row r="160">
          <cell r="L160">
            <v>6333821</v>
          </cell>
        </row>
        <row r="161">
          <cell r="L161">
            <v>6167640</v>
          </cell>
        </row>
        <row r="162">
          <cell r="L162">
            <v>22609</v>
          </cell>
        </row>
        <row r="163">
          <cell r="L163">
            <v>23426</v>
          </cell>
        </row>
        <row r="164">
          <cell r="L164">
            <v>7065049</v>
          </cell>
        </row>
        <row r="165">
          <cell r="L165">
            <v>22094</v>
          </cell>
        </row>
        <row r="166">
          <cell r="L166">
            <v>6454621</v>
          </cell>
        </row>
        <row r="167">
          <cell r="L167">
            <v>1259</v>
          </cell>
        </row>
        <row r="168">
          <cell r="L168">
            <v>7115744</v>
          </cell>
        </row>
        <row r="169">
          <cell r="L169">
            <v>6367165</v>
          </cell>
        </row>
        <row r="170">
          <cell r="L170">
            <v>7068424</v>
          </cell>
        </row>
        <row r="171">
          <cell r="L171">
            <v>27714</v>
          </cell>
        </row>
        <row r="172">
          <cell r="L172">
            <v>27893</v>
          </cell>
        </row>
        <row r="173">
          <cell r="L173">
            <v>31315</v>
          </cell>
        </row>
        <row r="174">
          <cell r="L174">
            <v>4196651</v>
          </cell>
        </row>
        <row r="175">
          <cell r="L175">
            <v>7102401</v>
          </cell>
        </row>
        <row r="176">
          <cell r="L176">
            <v>6440288</v>
          </cell>
        </row>
        <row r="177">
          <cell r="L177">
            <v>3148435</v>
          </cell>
        </row>
        <row r="178">
          <cell r="L178">
            <v>106879</v>
          </cell>
        </row>
        <row r="179">
          <cell r="L179">
            <v>7121852</v>
          </cell>
        </row>
        <row r="180">
          <cell r="L180">
            <v>4243463</v>
          </cell>
        </row>
        <row r="181">
          <cell r="L181">
            <v>2332149</v>
          </cell>
        </row>
        <row r="182">
          <cell r="L182">
            <v>825356</v>
          </cell>
        </row>
        <row r="183">
          <cell r="L183">
            <v>2456623</v>
          </cell>
        </row>
        <row r="184">
          <cell r="L184">
            <v>4477026</v>
          </cell>
        </row>
        <row r="185">
          <cell r="L185">
            <v>5393329</v>
          </cell>
        </row>
        <row r="186">
          <cell r="L186">
            <v>5337172</v>
          </cell>
        </row>
        <row r="187">
          <cell r="L187">
            <v>6214751</v>
          </cell>
        </row>
        <row r="188">
          <cell r="L188">
            <v>31669</v>
          </cell>
        </row>
        <row r="189">
          <cell r="L189">
            <v>27721</v>
          </cell>
        </row>
        <row r="190">
          <cell r="L190">
            <v>38583</v>
          </cell>
        </row>
        <row r="191">
          <cell r="L191">
            <v>31999</v>
          </cell>
        </row>
        <row r="192">
          <cell r="L192">
            <v>29080</v>
          </cell>
        </row>
        <row r="193">
          <cell r="L193">
            <v>39441</v>
          </cell>
        </row>
        <row r="194">
          <cell r="L194">
            <v>85158</v>
          </cell>
        </row>
        <row r="195">
          <cell r="L195">
            <v>27738</v>
          </cell>
        </row>
        <row r="196">
          <cell r="L196">
            <v>31078</v>
          </cell>
        </row>
        <row r="197">
          <cell r="L197">
            <v>24016</v>
          </cell>
        </row>
        <row r="198">
          <cell r="L198">
            <v>839225</v>
          </cell>
        </row>
        <row r="199">
          <cell r="L199">
            <v>31054</v>
          </cell>
        </row>
        <row r="200">
          <cell r="L200">
            <v>31982</v>
          </cell>
        </row>
        <row r="201">
          <cell r="L201">
            <v>32015</v>
          </cell>
        </row>
        <row r="202">
          <cell r="L202">
            <v>27879</v>
          </cell>
        </row>
        <row r="203">
          <cell r="L203">
            <v>27862</v>
          </cell>
        </row>
        <row r="204">
          <cell r="L204">
            <v>31047</v>
          </cell>
        </row>
        <row r="205">
          <cell r="L205">
            <v>38002</v>
          </cell>
        </row>
        <row r="206">
          <cell r="L206">
            <v>30983</v>
          </cell>
        </row>
        <row r="207">
          <cell r="L207">
            <v>32008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Albums"/>
      <sheetName val="Songs"/>
    </sheetNames>
    <sheetDataSet>
      <sheetData sheetId="0"/>
      <sheetData sheetId="1"/>
      <sheetData sheetId="2">
        <row r="1">
          <cell r="J1" t="str">
            <v>CCLI#</v>
          </cell>
        </row>
        <row r="122">
          <cell r="J122">
            <v>6428767</v>
          </cell>
        </row>
        <row r="123">
          <cell r="J123">
            <v>6333821</v>
          </cell>
        </row>
        <row r="124">
          <cell r="J124">
            <v>5881130</v>
          </cell>
        </row>
        <row r="125">
          <cell r="J125">
            <v>5925687</v>
          </cell>
        </row>
        <row r="126">
          <cell r="J126">
            <v>3350395</v>
          </cell>
        </row>
        <row r="127">
          <cell r="J127">
            <v>5665521</v>
          </cell>
        </row>
        <row r="128">
          <cell r="J128">
            <v>7029505</v>
          </cell>
        </row>
        <row r="129">
          <cell r="J129">
            <v>6016351</v>
          </cell>
        </row>
        <row r="130">
          <cell r="J130">
            <v>6440288</v>
          </cell>
        </row>
        <row r="131">
          <cell r="J131">
            <v>4847027</v>
          </cell>
        </row>
        <row r="132">
          <cell r="J132">
            <v>6578772</v>
          </cell>
        </row>
        <row r="133">
          <cell r="J133">
            <v>4662491</v>
          </cell>
        </row>
        <row r="134">
          <cell r="J134">
            <v>5639997</v>
          </cell>
        </row>
        <row r="135">
          <cell r="J135">
            <v>7000689</v>
          </cell>
        </row>
        <row r="136">
          <cell r="J136">
            <v>4348399</v>
          </cell>
        </row>
        <row r="137">
          <cell r="J137">
            <v>825356</v>
          </cell>
        </row>
        <row r="138">
          <cell r="J138">
            <v>17803</v>
          </cell>
        </row>
        <row r="139">
          <cell r="J139">
            <v>5677416</v>
          </cell>
        </row>
        <row r="140">
          <cell r="J140">
            <v>2298355</v>
          </cell>
        </row>
        <row r="141">
          <cell r="J141">
            <v>1097451</v>
          </cell>
        </row>
        <row r="142">
          <cell r="J142">
            <v>7031125</v>
          </cell>
        </row>
        <row r="143">
          <cell r="J143">
            <v>5806878</v>
          </cell>
        </row>
        <row r="144">
          <cell r="J144">
            <v>6186872</v>
          </cell>
        </row>
        <row r="145">
          <cell r="J145">
            <v>14514</v>
          </cell>
        </row>
        <row r="146">
          <cell r="J146">
            <v>5032549</v>
          </cell>
        </row>
        <row r="147">
          <cell r="J147">
            <v>5997055</v>
          </cell>
        </row>
        <row r="148">
          <cell r="J148">
            <v>1406918</v>
          </cell>
        </row>
        <row r="149">
          <cell r="J149">
            <v>2306412</v>
          </cell>
        </row>
        <row r="150">
          <cell r="J150">
            <v>3915912</v>
          </cell>
        </row>
        <row r="151">
          <cell r="J151">
            <v>3798438</v>
          </cell>
        </row>
        <row r="152">
          <cell r="J152">
            <v>7029507</v>
          </cell>
        </row>
        <row r="153">
          <cell r="J153">
            <v>5636866</v>
          </cell>
        </row>
        <row r="154">
          <cell r="J154">
            <v>4158039</v>
          </cell>
        </row>
        <row r="155">
          <cell r="J155">
            <v>5925649</v>
          </cell>
        </row>
        <row r="156">
          <cell r="J156">
            <v>5881037</v>
          </cell>
        </row>
        <row r="157">
          <cell r="J157">
            <v>3266032</v>
          </cell>
        </row>
        <row r="158">
          <cell r="J158">
            <v>5627772</v>
          </cell>
        </row>
        <row r="159">
          <cell r="J159">
            <v>4873981</v>
          </cell>
        </row>
        <row r="160">
          <cell r="J160">
            <v>7029513</v>
          </cell>
        </row>
        <row r="161">
          <cell r="J161">
            <v>4158022</v>
          </cell>
        </row>
        <row r="162">
          <cell r="J162">
            <v>6158927</v>
          </cell>
        </row>
        <row r="163">
          <cell r="J163">
            <v>5207587</v>
          </cell>
        </row>
        <row r="164">
          <cell r="J164">
            <v>5124055</v>
          </cell>
        </row>
        <row r="165">
          <cell r="J165">
            <v>6590798</v>
          </cell>
        </row>
        <row r="166">
          <cell r="J166">
            <v>3040980</v>
          </cell>
        </row>
        <row r="167">
          <cell r="J167">
            <v>5880784</v>
          </cell>
        </row>
        <row r="168">
          <cell r="J168">
            <v>2060208</v>
          </cell>
        </row>
        <row r="169">
          <cell r="J169">
            <v>4689508</v>
          </cell>
        </row>
        <row r="170">
          <cell r="J170">
            <v>5393329</v>
          </cell>
        </row>
        <row r="171">
          <cell r="J171">
            <v>3148435</v>
          </cell>
        </row>
        <row r="172">
          <cell r="J172">
            <v>16880</v>
          </cell>
        </row>
        <row r="173">
          <cell r="J173">
            <v>7029241</v>
          </cell>
        </row>
        <row r="174">
          <cell r="J174">
            <v>4447960</v>
          </cell>
        </row>
        <row r="175">
          <cell r="J175">
            <v>18723</v>
          </cell>
        </row>
        <row r="176">
          <cell r="J176">
            <v>6521035</v>
          </cell>
        </row>
        <row r="177">
          <cell r="J177">
            <v>4491002</v>
          </cell>
        </row>
        <row r="178">
          <cell r="J178">
            <v>3148428</v>
          </cell>
        </row>
        <row r="179">
          <cell r="J179">
            <v>5508444</v>
          </cell>
        </row>
        <row r="180">
          <cell r="J180">
            <v>4785828</v>
          </cell>
        </row>
        <row r="181">
          <cell r="J181">
            <v>4477026</v>
          </cell>
        </row>
        <row r="182">
          <cell r="J182">
            <v>5124024</v>
          </cell>
        </row>
        <row r="183">
          <cell r="J183">
            <v>4785835</v>
          </cell>
        </row>
        <row r="184">
          <cell r="J184">
            <v>4591782</v>
          </cell>
        </row>
        <row r="185">
          <cell r="J185">
            <v>1383</v>
          </cell>
        </row>
        <row r="186">
          <cell r="J186">
            <v>5060793</v>
          </cell>
        </row>
        <row r="187">
          <cell r="J187">
            <v>164361</v>
          </cell>
        </row>
        <row r="188">
          <cell r="J188">
            <v>5710744</v>
          </cell>
        </row>
        <row r="189">
          <cell r="J189">
            <v>5627758</v>
          </cell>
        </row>
        <row r="190">
          <cell r="J190">
            <v>4556538</v>
          </cell>
        </row>
        <row r="191">
          <cell r="J191">
            <v>5409079</v>
          </cell>
        </row>
        <row r="192">
          <cell r="J192">
            <v>4705248</v>
          </cell>
        </row>
        <row r="193">
          <cell r="J193">
            <v>4403076</v>
          </cell>
        </row>
        <row r="194">
          <cell r="J194">
            <v>1866132</v>
          </cell>
        </row>
        <row r="195">
          <cell r="J195">
            <v>4329411</v>
          </cell>
        </row>
        <row r="196">
          <cell r="J196">
            <v>4447984</v>
          </cell>
        </row>
        <row r="197">
          <cell r="J197">
            <v>4674166</v>
          </cell>
        </row>
        <row r="198">
          <cell r="J198">
            <v>3599479</v>
          </cell>
        </row>
        <row r="199">
          <cell r="J199">
            <v>4768151</v>
          </cell>
        </row>
        <row r="200">
          <cell r="J200">
            <v>5553530</v>
          </cell>
        </row>
        <row r="201">
          <cell r="J201">
            <v>4325556</v>
          </cell>
        </row>
        <row r="202">
          <cell r="J202">
            <v>5295221</v>
          </cell>
        </row>
        <row r="203">
          <cell r="J203">
            <v>7029516</v>
          </cell>
        </row>
        <row r="204">
          <cell r="J204">
            <v>2296522</v>
          </cell>
        </row>
        <row r="205">
          <cell r="J205">
            <v>4705176</v>
          </cell>
        </row>
        <row r="206">
          <cell r="J206">
            <v>5060810</v>
          </cell>
        </row>
        <row r="207">
          <cell r="J207">
            <v>6590839</v>
          </cell>
        </row>
        <row r="208">
          <cell r="J208">
            <v>5242683</v>
          </cell>
        </row>
        <row r="209">
          <cell r="J209">
            <v>17827</v>
          </cell>
        </row>
        <row r="210">
          <cell r="J210">
            <v>5720105</v>
          </cell>
        </row>
        <row r="211">
          <cell r="J211">
            <v>4611679</v>
          </cell>
        </row>
        <row r="212">
          <cell r="J212">
            <v>5894275</v>
          </cell>
        </row>
        <row r="213">
          <cell r="J213">
            <v>5337172</v>
          </cell>
        </row>
        <row r="214">
          <cell r="J214">
            <v>7000686</v>
          </cell>
        </row>
        <row r="215">
          <cell r="J215">
            <v>7029242</v>
          </cell>
        </row>
        <row r="216">
          <cell r="J216">
            <v>4219071</v>
          </cell>
        </row>
        <row r="217">
          <cell r="J217">
            <v>5183443</v>
          </cell>
        </row>
        <row r="218">
          <cell r="J218">
            <v>5183450</v>
          </cell>
        </row>
        <row r="219">
          <cell r="J219">
            <v>3118757</v>
          </cell>
        </row>
        <row r="220">
          <cell r="J220">
            <v>2456623</v>
          </cell>
        </row>
        <row r="221">
          <cell r="J221">
            <v>1558110</v>
          </cell>
        </row>
        <row r="222">
          <cell r="J222">
            <v>7053138</v>
          </cell>
        </row>
        <row r="223">
          <cell r="J223">
            <v>7054933</v>
          </cell>
        </row>
        <row r="224">
          <cell r="J224">
            <v>7054932</v>
          </cell>
        </row>
        <row r="225">
          <cell r="J225">
            <v>7054928</v>
          </cell>
        </row>
        <row r="226">
          <cell r="J226">
            <v>7054936</v>
          </cell>
        </row>
        <row r="227">
          <cell r="J227">
            <v>7054935</v>
          </cell>
        </row>
        <row r="228">
          <cell r="J228" t="str">
            <v>N/A</v>
          </cell>
        </row>
        <row r="229">
          <cell r="J229">
            <v>7054927</v>
          </cell>
        </row>
        <row r="230">
          <cell r="J230">
            <v>7054929</v>
          </cell>
        </row>
        <row r="231">
          <cell r="J231">
            <v>7057211</v>
          </cell>
        </row>
        <row r="232">
          <cell r="J232">
            <v>7054931</v>
          </cell>
        </row>
        <row r="233">
          <cell r="J233">
            <v>7054930</v>
          </cell>
        </row>
        <row r="234">
          <cell r="J234">
            <v>7041770</v>
          </cell>
        </row>
        <row r="235">
          <cell r="J235">
            <v>7030072</v>
          </cell>
        </row>
        <row r="236">
          <cell r="J236">
            <v>7018338</v>
          </cell>
        </row>
        <row r="237">
          <cell r="J237">
            <v>6428750</v>
          </cell>
        </row>
        <row r="238">
          <cell r="J238">
            <v>7001228</v>
          </cell>
        </row>
        <row r="239">
          <cell r="J239">
            <v>7028829</v>
          </cell>
        </row>
        <row r="240">
          <cell r="J240">
            <v>7016414</v>
          </cell>
        </row>
        <row r="241">
          <cell r="J241">
            <v>7003306</v>
          </cell>
        </row>
        <row r="242">
          <cell r="J242">
            <v>6460220</v>
          </cell>
        </row>
        <row r="243">
          <cell r="J243">
            <v>6476063</v>
          </cell>
        </row>
        <row r="257">
          <cell r="J257">
            <v>7051511</v>
          </cell>
        </row>
        <row r="258">
          <cell r="J258">
            <v>6304702</v>
          </cell>
        </row>
        <row r="259">
          <cell r="J259">
            <v>7054178</v>
          </cell>
        </row>
        <row r="260">
          <cell r="J260">
            <v>7036612</v>
          </cell>
        </row>
        <row r="261">
          <cell r="J261">
            <v>6087919</v>
          </cell>
        </row>
        <row r="262">
          <cell r="J262">
            <v>6087919</v>
          </cell>
        </row>
        <row r="263">
          <cell r="J263">
            <v>7030123</v>
          </cell>
        </row>
        <row r="264">
          <cell r="J264">
            <v>7017786</v>
          </cell>
        </row>
        <row r="265">
          <cell r="J265">
            <v>7032344</v>
          </cell>
        </row>
        <row r="266">
          <cell r="J266">
            <v>6011370</v>
          </cell>
        </row>
        <row r="267">
          <cell r="J267">
            <v>6327734</v>
          </cell>
        </row>
        <row r="268">
          <cell r="J268">
            <v>27721</v>
          </cell>
        </row>
        <row r="269">
          <cell r="J269">
            <v>31054</v>
          </cell>
        </row>
        <row r="270">
          <cell r="J270">
            <v>29080</v>
          </cell>
        </row>
        <row r="271">
          <cell r="J271">
            <v>32015</v>
          </cell>
        </row>
        <row r="272">
          <cell r="J272">
            <v>24016</v>
          </cell>
        </row>
        <row r="273">
          <cell r="J273">
            <v>27862</v>
          </cell>
        </row>
        <row r="274">
          <cell r="J274">
            <v>31047</v>
          </cell>
        </row>
        <row r="275">
          <cell r="J275">
            <v>31982</v>
          </cell>
        </row>
        <row r="278">
          <cell r="J278">
            <v>31999</v>
          </cell>
        </row>
        <row r="279">
          <cell r="J279">
            <v>7036006</v>
          </cell>
        </row>
        <row r="280">
          <cell r="J280">
            <v>27738</v>
          </cell>
        </row>
        <row r="281">
          <cell r="J281">
            <v>27879</v>
          </cell>
        </row>
        <row r="284">
          <cell r="J284">
            <v>30983</v>
          </cell>
        </row>
        <row r="285">
          <cell r="J285">
            <v>38583</v>
          </cell>
        </row>
        <row r="287">
          <cell r="J287">
            <v>31078</v>
          </cell>
        </row>
        <row r="288">
          <cell r="J288">
            <v>7083703</v>
          </cell>
        </row>
        <row r="289">
          <cell r="J289">
            <v>7030068</v>
          </cell>
        </row>
        <row r="290">
          <cell r="J290">
            <v>7038281</v>
          </cell>
        </row>
        <row r="291">
          <cell r="J291">
            <v>6605212</v>
          </cell>
        </row>
        <row r="292">
          <cell r="J292">
            <v>7030065</v>
          </cell>
        </row>
        <row r="293">
          <cell r="J293">
            <v>7030065</v>
          </cell>
        </row>
        <row r="294">
          <cell r="J294">
            <v>7068424</v>
          </cell>
        </row>
        <row r="295">
          <cell r="J295">
            <v>7083710</v>
          </cell>
        </row>
        <row r="296">
          <cell r="J296">
            <v>7017790</v>
          </cell>
        </row>
        <row r="297">
          <cell r="J297">
            <v>6518055</v>
          </cell>
        </row>
        <row r="298">
          <cell r="J298">
            <v>7036288</v>
          </cell>
        </row>
        <row r="299">
          <cell r="J299">
            <v>5881491</v>
          </cell>
        </row>
        <row r="300">
          <cell r="J300">
            <v>7037787</v>
          </cell>
        </row>
        <row r="301">
          <cell r="J301">
            <v>7023294</v>
          </cell>
        </row>
        <row r="302">
          <cell r="J302">
            <v>7068428</v>
          </cell>
        </row>
        <row r="303">
          <cell r="J303">
            <v>7081388</v>
          </cell>
        </row>
        <row r="304">
          <cell r="J304">
            <v>7046145</v>
          </cell>
        </row>
        <row r="305">
          <cell r="J305">
            <v>5858163</v>
          </cell>
        </row>
        <row r="306">
          <cell r="J306">
            <v>7052927</v>
          </cell>
        </row>
        <row r="307">
          <cell r="J307">
            <v>7070345</v>
          </cell>
        </row>
        <row r="308">
          <cell r="J308">
            <v>7032328</v>
          </cell>
        </row>
        <row r="309">
          <cell r="J309">
            <v>6517898</v>
          </cell>
        </row>
        <row r="310">
          <cell r="J310">
            <v>7046448</v>
          </cell>
        </row>
        <row r="311">
          <cell r="J311">
            <v>22609</v>
          </cell>
        </row>
        <row r="312">
          <cell r="J312">
            <v>14181</v>
          </cell>
        </row>
        <row r="313">
          <cell r="J313" t="str">
            <v>N/A</v>
          </cell>
        </row>
        <row r="314">
          <cell r="J314">
            <v>7029505</v>
          </cell>
        </row>
        <row r="315">
          <cell r="J315">
            <v>7063694</v>
          </cell>
        </row>
        <row r="316">
          <cell r="J316">
            <v>7118356</v>
          </cell>
        </row>
        <row r="317">
          <cell r="J317">
            <v>7016161</v>
          </cell>
        </row>
        <row r="318">
          <cell r="J318">
            <v>7024758</v>
          </cell>
        </row>
        <row r="319">
          <cell r="J319">
            <v>3350395</v>
          </cell>
        </row>
        <row r="320">
          <cell r="J320">
            <v>7125088</v>
          </cell>
        </row>
        <row r="321">
          <cell r="J321">
            <v>7056332</v>
          </cell>
        </row>
        <row r="322">
          <cell r="J322">
            <v>15960</v>
          </cell>
        </row>
        <row r="323">
          <cell r="J323">
            <v>27817</v>
          </cell>
        </row>
        <row r="324">
          <cell r="J324">
            <v>43073</v>
          </cell>
        </row>
        <row r="325">
          <cell r="J325">
            <v>7128814</v>
          </cell>
        </row>
        <row r="326">
          <cell r="J326">
            <v>4490766</v>
          </cell>
        </row>
        <row r="327">
          <cell r="J327" t="str">
            <v>N/A</v>
          </cell>
        </row>
        <row r="328">
          <cell r="J328">
            <v>7063743</v>
          </cell>
        </row>
        <row r="329">
          <cell r="J329">
            <v>25400</v>
          </cell>
        </row>
        <row r="330">
          <cell r="J330">
            <v>23938</v>
          </cell>
        </row>
        <row r="331">
          <cell r="J331">
            <v>7089641</v>
          </cell>
        </row>
        <row r="332">
          <cell r="J332">
            <v>7054720</v>
          </cell>
        </row>
        <row r="333">
          <cell r="J333">
            <v>6514035</v>
          </cell>
        </row>
        <row r="334">
          <cell r="J334">
            <v>7065049</v>
          </cell>
        </row>
        <row r="335">
          <cell r="J335">
            <v>7051507</v>
          </cell>
        </row>
        <row r="336">
          <cell r="J336">
            <v>7107554</v>
          </cell>
        </row>
        <row r="337">
          <cell r="J337">
            <v>7067555</v>
          </cell>
        </row>
        <row r="338">
          <cell r="J338">
            <v>7106807</v>
          </cell>
        </row>
        <row r="339">
          <cell r="J339">
            <v>7102401</v>
          </cell>
        </row>
        <row r="340">
          <cell r="J340">
            <v>7060709</v>
          </cell>
        </row>
        <row r="341">
          <cell r="J341">
            <v>7068430</v>
          </cell>
        </row>
        <row r="342">
          <cell r="J342">
            <v>7084123</v>
          </cell>
        </row>
        <row r="343">
          <cell r="J343">
            <v>7017785</v>
          </cell>
        </row>
        <row r="344">
          <cell r="J344">
            <v>7068422</v>
          </cell>
        </row>
        <row r="345">
          <cell r="J345">
            <v>7060031</v>
          </cell>
        </row>
        <row r="364">
          <cell r="J364">
            <v>7117726</v>
          </cell>
        </row>
        <row r="365">
          <cell r="J365">
            <v>7033417</v>
          </cell>
        </row>
        <row r="366">
          <cell r="J366">
            <v>7104907</v>
          </cell>
        </row>
        <row r="367">
          <cell r="J367">
            <v>7080403</v>
          </cell>
        </row>
        <row r="368">
          <cell r="J368">
            <v>7100876</v>
          </cell>
        </row>
        <row r="369">
          <cell r="J369">
            <v>7021972</v>
          </cell>
        </row>
        <row r="370">
          <cell r="J370">
            <v>7006188</v>
          </cell>
        </row>
        <row r="371">
          <cell r="J371">
            <v>7102397</v>
          </cell>
        </row>
        <row r="372">
          <cell r="J372">
            <v>7004369</v>
          </cell>
        </row>
        <row r="373">
          <cell r="J373">
            <v>7078152</v>
          </cell>
        </row>
        <row r="374">
          <cell r="J374">
            <v>7081764</v>
          </cell>
        </row>
        <row r="375">
          <cell r="J375">
            <v>7019974</v>
          </cell>
        </row>
        <row r="376">
          <cell r="J376">
            <v>7097216</v>
          </cell>
        </row>
        <row r="377">
          <cell r="J377">
            <v>7121852</v>
          </cell>
        </row>
        <row r="378">
          <cell r="J378">
            <v>7076958</v>
          </cell>
        </row>
        <row r="379">
          <cell r="J379">
            <v>7127647</v>
          </cell>
        </row>
        <row r="380">
          <cell r="J380">
            <v>7120418</v>
          </cell>
        </row>
        <row r="381">
          <cell r="J381">
            <v>7107821</v>
          </cell>
        </row>
        <row r="382">
          <cell r="J382">
            <v>7089024</v>
          </cell>
        </row>
        <row r="383">
          <cell r="J383">
            <v>7105442</v>
          </cell>
        </row>
        <row r="384">
          <cell r="J384">
            <v>7107551</v>
          </cell>
        </row>
        <row r="385">
          <cell r="J385">
            <v>7076958</v>
          </cell>
        </row>
        <row r="386">
          <cell r="J386">
            <v>7124907</v>
          </cell>
        </row>
        <row r="387">
          <cell r="J387">
            <v>7133375</v>
          </cell>
        </row>
        <row r="388">
          <cell r="J388">
            <v>7048885</v>
          </cell>
        </row>
        <row r="389">
          <cell r="J389">
            <v>7109453</v>
          </cell>
        </row>
        <row r="390">
          <cell r="J390">
            <v>7073332</v>
          </cell>
        </row>
        <row r="391">
          <cell r="J391">
            <v>7036096</v>
          </cell>
        </row>
        <row r="392">
          <cell r="J392">
            <v>5174122</v>
          </cell>
        </row>
        <row r="393">
          <cell r="J393">
            <v>7098243</v>
          </cell>
        </row>
        <row r="394">
          <cell r="J394">
            <v>7011451</v>
          </cell>
        </row>
        <row r="395">
          <cell r="J395">
            <v>7142008</v>
          </cell>
        </row>
        <row r="396">
          <cell r="J396">
            <v>7122996</v>
          </cell>
        </row>
        <row r="397">
          <cell r="J397">
            <v>7102399</v>
          </cell>
        </row>
        <row r="398">
          <cell r="J398">
            <v>7127096</v>
          </cell>
        </row>
        <row r="399">
          <cell r="J399">
            <v>7110696</v>
          </cell>
        </row>
        <row r="400">
          <cell r="J400">
            <v>6517269</v>
          </cell>
        </row>
        <row r="401">
          <cell r="J401">
            <v>7147502</v>
          </cell>
        </row>
        <row r="402">
          <cell r="J402">
            <v>7054548</v>
          </cell>
        </row>
        <row r="403">
          <cell r="J403">
            <v>5638022</v>
          </cell>
        </row>
        <row r="404">
          <cell r="J404">
            <v>7067561</v>
          </cell>
        </row>
        <row r="405">
          <cell r="J405">
            <v>7107548</v>
          </cell>
        </row>
        <row r="406">
          <cell r="J406" t="str">
            <v>N/A</v>
          </cell>
        </row>
        <row r="407">
          <cell r="J407">
            <v>7059306</v>
          </cell>
        </row>
        <row r="408">
          <cell r="J408">
            <v>7138219</v>
          </cell>
        </row>
        <row r="409">
          <cell r="J409">
            <v>27714</v>
          </cell>
        </row>
        <row r="410">
          <cell r="J410">
            <v>3469389</v>
          </cell>
        </row>
        <row r="411">
          <cell r="J411">
            <v>7054172</v>
          </cell>
        </row>
        <row r="412">
          <cell r="J412">
            <v>7138939</v>
          </cell>
        </row>
        <row r="413">
          <cell r="J413">
            <v>23189</v>
          </cell>
        </row>
        <row r="414">
          <cell r="J414">
            <v>7141227</v>
          </cell>
        </row>
        <row r="415">
          <cell r="J415">
            <v>7147007</v>
          </cell>
        </row>
        <row r="416">
          <cell r="J416">
            <v>4582588</v>
          </cell>
        </row>
        <row r="417">
          <cell r="J417">
            <v>7146673</v>
          </cell>
        </row>
        <row r="418">
          <cell r="J418">
            <v>7149439</v>
          </cell>
        </row>
        <row r="419">
          <cell r="J419">
            <v>7079706</v>
          </cell>
        </row>
        <row r="420">
          <cell r="J420">
            <v>7130622</v>
          </cell>
        </row>
        <row r="421">
          <cell r="J421">
            <v>5942543</v>
          </cell>
        </row>
        <row r="422">
          <cell r="J422">
            <v>7126793</v>
          </cell>
        </row>
        <row r="423">
          <cell r="J423">
            <v>7153516</v>
          </cell>
        </row>
        <row r="424">
          <cell r="J424">
            <v>6472799</v>
          </cell>
        </row>
        <row r="425">
          <cell r="J425">
            <v>7068421</v>
          </cell>
        </row>
        <row r="426">
          <cell r="J426">
            <v>7151239</v>
          </cell>
        </row>
        <row r="427">
          <cell r="J427">
            <v>7025708</v>
          </cell>
        </row>
        <row r="428">
          <cell r="J428">
            <v>7133494</v>
          </cell>
        </row>
        <row r="429">
          <cell r="J429">
            <v>7125876</v>
          </cell>
        </row>
        <row r="430">
          <cell r="J430">
            <v>7108556</v>
          </cell>
        </row>
        <row r="431">
          <cell r="J431">
            <v>7108656</v>
          </cell>
        </row>
        <row r="432">
          <cell r="J432">
            <v>19007</v>
          </cell>
        </row>
        <row r="433">
          <cell r="J433">
            <v>7143863</v>
          </cell>
        </row>
        <row r="434">
          <cell r="J434">
            <v>7149237</v>
          </cell>
        </row>
        <row r="435">
          <cell r="J435">
            <v>7122057</v>
          </cell>
        </row>
        <row r="436">
          <cell r="J436">
            <v>7087303</v>
          </cell>
        </row>
        <row r="437">
          <cell r="J437">
            <v>7148126</v>
          </cell>
        </row>
        <row r="438">
          <cell r="J438">
            <v>5942543</v>
          </cell>
        </row>
        <row r="439">
          <cell r="J439">
            <v>7119315</v>
          </cell>
        </row>
        <row r="440">
          <cell r="J440">
            <v>7104628</v>
          </cell>
        </row>
        <row r="441">
          <cell r="J441">
            <v>7123203</v>
          </cell>
        </row>
        <row r="442">
          <cell r="J442">
            <v>6605236</v>
          </cell>
        </row>
        <row r="443">
          <cell r="J443">
            <v>3407011</v>
          </cell>
        </row>
        <row r="444">
          <cell r="J444">
            <v>3406988</v>
          </cell>
        </row>
        <row r="445">
          <cell r="J445">
            <v>6590815</v>
          </cell>
        </row>
        <row r="446">
          <cell r="J446">
            <v>5627789</v>
          </cell>
        </row>
        <row r="447">
          <cell r="J447">
            <v>7087777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3613-09CC-448F-BA04-38D70A7338FF}">
  <dimension ref="A1:F18"/>
  <sheetViews>
    <sheetView workbookViewId="0"/>
  </sheetViews>
  <sheetFormatPr defaultRowHeight="15" x14ac:dyDescent="0.25"/>
  <sheetData>
    <row r="1" spans="1:6" x14ac:dyDescent="0.25">
      <c r="A1" s="13" t="s">
        <v>942</v>
      </c>
      <c r="B1" s="14" t="s">
        <v>979</v>
      </c>
      <c r="D1" s="13" t="s">
        <v>980</v>
      </c>
      <c r="E1" s="15" t="s">
        <v>942</v>
      </c>
      <c r="F1" s="14" t="s">
        <v>979</v>
      </c>
    </row>
    <row r="2" spans="1:6" x14ac:dyDescent="0.25">
      <c r="A2" s="16" t="s">
        <v>981</v>
      </c>
      <c r="B2" s="17">
        <v>232</v>
      </c>
      <c r="D2" s="18" t="s">
        <v>982</v>
      </c>
      <c r="E2" t="s">
        <v>983</v>
      </c>
      <c r="F2" s="17">
        <v>124</v>
      </c>
    </row>
    <row r="3" spans="1:6" x14ac:dyDescent="0.25">
      <c r="A3" s="16" t="s">
        <v>984</v>
      </c>
      <c r="B3" s="17">
        <v>186</v>
      </c>
      <c r="D3" s="16"/>
      <c r="E3" t="s">
        <v>985</v>
      </c>
      <c r="F3" s="17">
        <v>20</v>
      </c>
    </row>
    <row r="4" spans="1:6" x14ac:dyDescent="0.25">
      <c r="A4" s="19" t="s">
        <v>986</v>
      </c>
      <c r="B4" s="20">
        <v>163</v>
      </c>
      <c r="D4" s="16"/>
      <c r="E4" t="s">
        <v>975</v>
      </c>
      <c r="F4" s="17">
        <v>12</v>
      </c>
    </row>
    <row r="5" spans="1:6" x14ac:dyDescent="0.25">
      <c r="D5" s="16"/>
      <c r="F5" s="21">
        <f>SUM(F2:F4)</f>
        <v>156</v>
      </c>
    </row>
    <row r="6" spans="1:6" x14ac:dyDescent="0.25">
      <c r="A6" s="13" t="s">
        <v>942</v>
      </c>
      <c r="B6" s="14" t="s">
        <v>979</v>
      </c>
      <c r="D6" s="16"/>
      <c r="F6" s="17"/>
    </row>
    <row r="7" spans="1:6" x14ac:dyDescent="0.25">
      <c r="A7" s="16" t="s">
        <v>983</v>
      </c>
      <c r="B7" s="17">
        <v>124</v>
      </c>
      <c r="D7" s="18" t="s">
        <v>987</v>
      </c>
      <c r="E7" t="s">
        <v>988</v>
      </c>
      <c r="F7" s="17">
        <v>98</v>
      </c>
    </row>
    <row r="8" spans="1:6" x14ac:dyDescent="0.25">
      <c r="A8" s="16" t="s">
        <v>988</v>
      </c>
      <c r="B8" s="17">
        <v>98</v>
      </c>
      <c r="D8" s="16"/>
      <c r="E8" t="s">
        <v>989</v>
      </c>
      <c r="F8" s="17">
        <v>10</v>
      </c>
    </row>
    <row r="9" spans="1:6" x14ac:dyDescent="0.25">
      <c r="A9" s="16" t="s">
        <v>989</v>
      </c>
      <c r="B9" s="17">
        <v>10</v>
      </c>
      <c r="D9" s="16"/>
      <c r="E9" t="s">
        <v>18</v>
      </c>
      <c r="F9" s="17">
        <v>10</v>
      </c>
    </row>
    <row r="10" spans="1:6" x14ac:dyDescent="0.25">
      <c r="A10" s="16" t="s">
        <v>18</v>
      </c>
      <c r="B10" s="17">
        <v>10</v>
      </c>
      <c r="D10" s="16"/>
      <c r="E10" t="s">
        <v>933</v>
      </c>
      <c r="F10" s="17">
        <v>1</v>
      </c>
    </row>
    <row r="11" spans="1:6" x14ac:dyDescent="0.25">
      <c r="A11" s="16" t="s">
        <v>933</v>
      </c>
      <c r="B11" s="17">
        <v>1</v>
      </c>
      <c r="D11" s="16"/>
      <c r="E11" t="s">
        <v>943</v>
      </c>
      <c r="F11" s="17">
        <v>20</v>
      </c>
    </row>
    <row r="12" spans="1:6" x14ac:dyDescent="0.25">
      <c r="A12" s="16" t="s">
        <v>985</v>
      </c>
      <c r="B12" s="17">
        <v>20</v>
      </c>
      <c r="D12" s="16"/>
      <c r="E12" t="s">
        <v>990</v>
      </c>
      <c r="F12" s="17">
        <v>6</v>
      </c>
    </row>
    <row r="13" spans="1:6" x14ac:dyDescent="0.25">
      <c r="A13" s="16" t="s">
        <v>943</v>
      </c>
      <c r="B13" s="17">
        <v>20</v>
      </c>
      <c r="D13" s="16"/>
      <c r="F13" s="21">
        <f>SUM(F7:F12)</f>
        <v>145</v>
      </c>
    </row>
    <row r="14" spans="1:6" x14ac:dyDescent="0.25">
      <c r="A14" s="16" t="s">
        <v>975</v>
      </c>
      <c r="B14" s="17">
        <v>12</v>
      </c>
      <c r="D14" s="16"/>
      <c r="F14" s="17"/>
    </row>
    <row r="15" spans="1:6" x14ac:dyDescent="0.25">
      <c r="A15" s="16" t="s">
        <v>991</v>
      </c>
      <c r="B15" s="17">
        <v>94</v>
      </c>
      <c r="D15" s="18" t="s">
        <v>992</v>
      </c>
      <c r="E15" t="s">
        <v>991</v>
      </c>
      <c r="F15" s="17">
        <v>94</v>
      </c>
    </row>
    <row r="16" spans="1:6" x14ac:dyDescent="0.25">
      <c r="A16" s="16" t="s">
        <v>990</v>
      </c>
      <c r="B16" s="17">
        <v>6</v>
      </c>
      <c r="D16" s="19"/>
      <c r="E16" s="22" t="s">
        <v>642</v>
      </c>
      <c r="F16" s="20">
        <v>69</v>
      </c>
    </row>
    <row r="17" spans="1:6" x14ac:dyDescent="0.25">
      <c r="A17" s="19" t="s">
        <v>642</v>
      </c>
      <c r="B17" s="20">
        <v>69</v>
      </c>
      <c r="F17" s="1">
        <f>SUM(F15:F16)</f>
        <v>163</v>
      </c>
    </row>
    <row r="18" spans="1:6" x14ac:dyDescent="0.25">
      <c r="B18">
        <f>SUM(B7:B17)</f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114C-5757-48D5-BC32-E094B4022FC3}">
  <dimension ref="A1:G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3" max="3" width="37.28515625" bestFit="1" customWidth="1"/>
    <col min="6" max="6" width="10.140625" style="24" bestFit="1" customWidth="1"/>
    <col min="7" max="7" width="9.140625" style="26"/>
  </cols>
  <sheetData>
    <row r="1" spans="1:7" s="1" customFormat="1" x14ac:dyDescent="0.25">
      <c r="A1" s="1" t="s">
        <v>1009</v>
      </c>
      <c r="B1" s="1" t="s">
        <v>972</v>
      </c>
      <c r="C1" s="1" t="s">
        <v>867</v>
      </c>
      <c r="D1" s="1" t="s">
        <v>1008</v>
      </c>
      <c r="E1" s="1" t="s">
        <v>997</v>
      </c>
      <c r="F1" s="23" t="s">
        <v>972</v>
      </c>
      <c r="G1" s="25" t="s">
        <v>864</v>
      </c>
    </row>
    <row r="2" spans="1:7" x14ac:dyDescent="0.25">
      <c r="A2">
        <v>1</v>
      </c>
      <c r="B2">
        <v>2014</v>
      </c>
      <c r="C2" t="s">
        <v>999</v>
      </c>
      <c r="D2">
        <v>10</v>
      </c>
      <c r="E2" t="str">
        <f>IF(COUNTIF(Songs!$C:$C,C2),"","NO")</f>
        <v/>
      </c>
      <c r="F2" s="27">
        <v>41765</v>
      </c>
    </row>
    <row r="3" spans="1:7" x14ac:dyDescent="0.25">
      <c r="A3">
        <v>1</v>
      </c>
      <c r="B3">
        <v>2014</v>
      </c>
      <c r="C3" t="s">
        <v>1000</v>
      </c>
      <c r="D3">
        <v>10</v>
      </c>
      <c r="E3" t="str">
        <f>IF(COUNTIF(Songs!$C:$C,C3),"","NO")</f>
        <v/>
      </c>
      <c r="F3" s="27">
        <v>41786</v>
      </c>
    </row>
    <row r="4" spans="1:7" x14ac:dyDescent="0.25">
      <c r="A4">
        <v>1</v>
      </c>
      <c r="B4">
        <v>2014</v>
      </c>
      <c r="C4" t="s">
        <v>1001</v>
      </c>
      <c r="D4">
        <v>10</v>
      </c>
      <c r="E4" t="str">
        <f>IF(COUNTIF(Songs!$C:$C,C4),"","NO")</f>
        <v/>
      </c>
      <c r="F4" s="27">
        <v>41807</v>
      </c>
    </row>
    <row r="5" spans="1:7" x14ac:dyDescent="0.25">
      <c r="A5">
        <v>1</v>
      </c>
      <c r="B5">
        <v>2014</v>
      </c>
      <c r="C5" t="s">
        <v>1002</v>
      </c>
      <c r="D5">
        <v>10</v>
      </c>
      <c r="E5" t="str">
        <f>IF(COUNTIF(Songs!$C:$C,C5),"","NO")</f>
        <v/>
      </c>
      <c r="F5" s="27">
        <v>41828</v>
      </c>
    </row>
    <row r="6" spans="1:7" x14ac:dyDescent="0.25">
      <c r="A6">
        <v>1</v>
      </c>
      <c r="B6">
        <v>2014</v>
      </c>
      <c r="C6" t="s">
        <v>1003</v>
      </c>
      <c r="D6">
        <v>10</v>
      </c>
      <c r="E6" t="str">
        <f>IF(COUNTIF(Songs!$C:$C,C6),"","NO")</f>
        <v/>
      </c>
      <c r="F6" s="27">
        <v>41849</v>
      </c>
    </row>
    <row r="7" spans="1:7" x14ac:dyDescent="0.25">
      <c r="A7">
        <v>1</v>
      </c>
      <c r="B7">
        <v>2014</v>
      </c>
      <c r="C7" t="s">
        <v>1004</v>
      </c>
      <c r="D7">
        <v>10</v>
      </c>
      <c r="E7" t="str">
        <f>IF(COUNTIF(Songs!$C:$C,C7),"","NO")</f>
        <v/>
      </c>
      <c r="F7" s="27">
        <v>41872</v>
      </c>
    </row>
    <row r="8" spans="1:7" x14ac:dyDescent="0.25">
      <c r="A8">
        <v>1</v>
      </c>
      <c r="B8">
        <v>2014</v>
      </c>
      <c r="C8" t="s">
        <v>1005</v>
      </c>
      <c r="D8">
        <v>10</v>
      </c>
      <c r="E8" t="str">
        <f>IF(COUNTIF(Songs!$C:$C,C8),"","NO")</f>
        <v/>
      </c>
      <c r="F8" s="27">
        <v>41891</v>
      </c>
    </row>
    <row r="9" spans="1:7" x14ac:dyDescent="0.25">
      <c r="A9">
        <v>1</v>
      </c>
      <c r="B9">
        <v>2014</v>
      </c>
      <c r="C9" t="s">
        <v>1006</v>
      </c>
      <c r="D9">
        <v>10</v>
      </c>
      <c r="E9" t="str">
        <f>IF(COUNTIF(Songs!$C:$C,C9),"","NO")</f>
        <v/>
      </c>
      <c r="F9" s="27">
        <v>41912</v>
      </c>
    </row>
    <row r="10" spans="1:7" x14ac:dyDescent="0.25">
      <c r="A10">
        <v>1</v>
      </c>
      <c r="B10">
        <v>2014</v>
      </c>
      <c r="C10" t="s">
        <v>1007</v>
      </c>
      <c r="D10">
        <v>10</v>
      </c>
      <c r="E10" t="str">
        <f>IF(COUNTIF(Songs!$C:$C,C10),"","NO")</f>
        <v/>
      </c>
      <c r="F10" s="27">
        <v>41933</v>
      </c>
    </row>
    <row r="11" spans="1:7" x14ac:dyDescent="0.25">
      <c r="A11">
        <v>1</v>
      </c>
      <c r="B11">
        <v>2014</v>
      </c>
      <c r="C11" t="s">
        <v>0</v>
      </c>
      <c r="D11">
        <v>10</v>
      </c>
      <c r="E11" t="str">
        <f>IF(COUNTIF(Songs!$C:$C,C11),"","NO")</f>
        <v/>
      </c>
      <c r="F11" s="27">
        <v>41961</v>
      </c>
    </row>
    <row r="12" spans="1:7" x14ac:dyDescent="0.25">
      <c r="A12">
        <v>1</v>
      </c>
      <c r="B12">
        <v>2015</v>
      </c>
      <c r="C12" t="s">
        <v>1</v>
      </c>
      <c r="D12">
        <v>10</v>
      </c>
      <c r="E12" t="str">
        <f>IF(COUNTIF(Songs!$C:$C,C12),"","NO")</f>
        <v/>
      </c>
      <c r="F12" s="27">
        <v>42122</v>
      </c>
      <c r="G12" s="26" t="s">
        <v>973</v>
      </c>
    </row>
    <row r="13" spans="1:7" x14ac:dyDescent="0.25">
      <c r="A13">
        <v>1</v>
      </c>
      <c r="B13">
        <v>2016</v>
      </c>
      <c r="C13" t="s">
        <v>2</v>
      </c>
      <c r="D13">
        <v>11</v>
      </c>
      <c r="E13" t="str">
        <f>IF(COUNTIF(Songs!$C:$C,C13),"","NO")</f>
        <v/>
      </c>
      <c r="F13" s="27">
        <v>42643</v>
      </c>
    </row>
    <row r="14" spans="1:7" x14ac:dyDescent="0.25">
      <c r="A14">
        <v>1</v>
      </c>
      <c r="B14">
        <v>2017</v>
      </c>
      <c r="C14" t="s">
        <v>3</v>
      </c>
      <c r="D14">
        <v>13</v>
      </c>
      <c r="E14" t="str">
        <f>IF(COUNTIF(Songs!$C:$C,C14),"","NO")</f>
        <v/>
      </c>
      <c r="F14" s="27">
        <v>42839</v>
      </c>
    </row>
    <row r="15" spans="1:7" x14ac:dyDescent="0.25">
      <c r="A15">
        <v>1</v>
      </c>
      <c r="B15">
        <v>2017</v>
      </c>
      <c r="C15" t="s">
        <v>4</v>
      </c>
      <c r="D15">
        <v>5</v>
      </c>
      <c r="E15" t="str">
        <f>IF(COUNTIF(Songs!$C:$C,C15),"","NO")</f>
        <v/>
      </c>
      <c r="F15" s="27">
        <v>43000</v>
      </c>
    </row>
    <row r="16" spans="1:7" x14ac:dyDescent="0.25">
      <c r="A16">
        <v>1</v>
      </c>
      <c r="B16">
        <v>2017</v>
      </c>
      <c r="C16" t="s">
        <v>5</v>
      </c>
      <c r="D16">
        <v>5</v>
      </c>
      <c r="E16" t="str">
        <f>IF(COUNTIF(Songs!$C:$C,C16),"","NO")</f>
        <v/>
      </c>
      <c r="F16" s="27">
        <v>43039</v>
      </c>
    </row>
    <row r="17" spans="1:7" x14ac:dyDescent="0.25">
      <c r="A17">
        <v>1</v>
      </c>
      <c r="B17">
        <v>2018</v>
      </c>
      <c r="C17" t="s">
        <v>6</v>
      </c>
      <c r="D17">
        <v>5</v>
      </c>
      <c r="E17" t="str">
        <f>IF(COUNTIF(Songs!$C:$C,C17),"","NO")</f>
        <v/>
      </c>
      <c r="F17" s="27">
        <v>43145</v>
      </c>
    </row>
    <row r="18" spans="1:7" x14ac:dyDescent="0.25">
      <c r="A18">
        <v>1</v>
      </c>
      <c r="B18">
        <v>2018</v>
      </c>
      <c r="C18" t="s">
        <v>7</v>
      </c>
      <c r="D18">
        <v>10</v>
      </c>
      <c r="E18" t="str">
        <f>IF(COUNTIF(Songs!$C:$C,C18),"","NO")</f>
        <v/>
      </c>
      <c r="F18" s="27">
        <v>43297</v>
      </c>
    </row>
    <row r="19" spans="1:7" x14ac:dyDescent="0.25">
      <c r="A19">
        <v>1</v>
      </c>
      <c r="B19">
        <v>2019</v>
      </c>
      <c r="C19" t="s">
        <v>8</v>
      </c>
      <c r="D19">
        <v>12</v>
      </c>
      <c r="E19" t="str">
        <f>IF(COUNTIF(Songs!$C:$C,C19),"","NO")</f>
        <v/>
      </c>
      <c r="F19" s="27">
        <v>43630</v>
      </c>
    </row>
    <row r="20" spans="1:7" x14ac:dyDescent="0.25">
      <c r="A20">
        <v>1</v>
      </c>
      <c r="B20">
        <v>2020</v>
      </c>
      <c r="C20" t="s">
        <v>9</v>
      </c>
      <c r="D20">
        <v>10</v>
      </c>
      <c r="E20" t="str">
        <f>IF(COUNTIF(Songs!$C:$C,C20),"","NO")</f>
        <v/>
      </c>
      <c r="F20" s="27">
        <v>43847</v>
      </c>
    </row>
    <row r="21" spans="1:7" x14ac:dyDescent="0.25">
      <c r="A21">
        <v>1</v>
      </c>
      <c r="B21">
        <v>2020</v>
      </c>
      <c r="C21" t="s">
        <v>10</v>
      </c>
      <c r="D21">
        <v>10</v>
      </c>
      <c r="E21" t="str">
        <f>IF(COUNTIF(Songs!$C:$C,C21),"","NO")</f>
        <v/>
      </c>
      <c r="F21" s="27">
        <v>43889</v>
      </c>
    </row>
    <row r="22" spans="1:7" x14ac:dyDescent="0.25">
      <c r="A22">
        <v>1</v>
      </c>
      <c r="B22">
        <v>2020</v>
      </c>
      <c r="C22" t="s">
        <v>11</v>
      </c>
      <c r="D22">
        <v>10</v>
      </c>
      <c r="E22" t="str">
        <f>IF(COUNTIF(Songs!$C:$C,C22),"","NO")</f>
        <v/>
      </c>
      <c r="F22" s="28">
        <v>43924</v>
      </c>
    </row>
    <row r="23" spans="1:7" x14ac:dyDescent="0.25">
      <c r="A23">
        <v>1</v>
      </c>
      <c r="B23">
        <v>2020</v>
      </c>
      <c r="C23" t="s">
        <v>12</v>
      </c>
      <c r="D23">
        <v>10</v>
      </c>
      <c r="E23" t="str">
        <f>IF(COUNTIF(Songs!$C:$C,C23),"","NO")</f>
        <v/>
      </c>
      <c r="F23" s="28">
        <v>44001</v>
      </c>
    </row>
    <row r="24" spans="1:7" x14ac:dyDescent="0.25">
      <c r="A24">
        <v>1</v>
      </c>
      <c r="B24">
        <v>2020</v>
      </c>
      <c r="C24" t="s">
        <v>13</v>
      </c>
      <c r="D24">
        <v>11</v>
      </c>
      <c r="E24" t="str">
        <f>IF(COUNTIF(Songs!$C:$C,C24),"","NO")</f>
        <v/>
      </c>
      <c r="F24" s="28">
        <v>44099</v>
      </c>
    </row>
    <row r="25" spans="1:7" x14ac:dyDescent="0.25">
      <c r="A25">
        <v>1</v>
      </c>
      <c r="B25">
        <v>2021</v>
      </c>
      <c r="C25" t="s">
        <v>14</v>
      </c>
      <c r="D25">
        <v>10</v>
      </c>
      <c r="E25" t="str">
        <f>IF(COUNTIF(Songs!$C:$C,C25),"","NO")</f>
        <v/>
      </c>
      <c r="F25" s="27">
        <v>44204</v>
      </c>
      <c r="G25" s="26" t="s">
        <v>974</v>
      </c>
    </row>
    <row r="26" spans="1:7" x14ac:dyDescent="0.25">
      <c r="A26">
        <v>2</v>
      </c>
      <c r="B26">
        <v>2018</v>
      </c>
      <c r="C26" t="s">
        <v>15</v>
      </c>
      <c r="D26">
        <v>10</v>
      </c>
      <c r="E26" t="str">
        <f>IF(COUNTIF(Songs!$C:$C,C26),"","NO")</f>
        <v/>
      </c>
      <c r="F26" s="27">
        <v>43350</v>
      </c>
    </row>
    <row r="27" spans="1:7" x14ac:dyDescent="0.25">
      <c r="A27">
        <v>2</v>
      </c>
      <c r="B27">
        <v>2018</v>
      </c>
      <c r="C27" t="s">
        <v>16</v>
      </c>
      <c r="D27">
        <v>10</v>
      </c>
      <c r="E27" t="str">
        <f>IF(COUNTIF(Songs!$C:$C,C27),"","NO")</f>
        <v/>
      </c>
      <c r="F27" s="27">
        <v>43700</v>
      </c>
    </row>
    <row r="28" spans="1:7" x14ac:dyDescent="0.25">
      <c r="A28">
        <v>3</v>
      </c>
      <c r="B28">
        <v>2017</v>
      </c>
      <c r="C28" t="s">
        <v>978</v>
      </c>
      <c r="D28">
        <v>10</v>
      </c>
      <c r="E28" t="str">
        <f>IF(COUNTIF(Songs!$C:$C,C28),"","NO")</f>
        <v/>
      </c>
      <c r="F28" s="27">
        <v>42839</v>
      </c>
    </row>
    <row r="29" spans="1:7" x14ac:dyDescent="0.25">
      <c r="A29">
        <v>3</v>
      </c>
      <c r="B29">
        <v>2017</v>
      </c>
      <c r="C29" t="s">
        <v>976</v>
      </c>
      <c r="D29">
        <v>10</v>
      </c>
      <c r="E29" t="str">
        <f>IF(COUNTIF(Songs!$C:$C,C29),"","NO")</f>
        <v/>
      </c>
      <c r="F29" s="27">
        <v>42839</v>
      </c>
    </row>
    <row r="30" spans="1:7" x14ac:dyDescent="0.25">
      <c r="A30">
        <v>4</v>
      </c>
      <c r="B30">
        <v>2015</v>
      </c>
      <c r="C30" t="s">
        <v>998</v>
      </c>
      <c r="D30">
        <v>12</v>
      </c>
      <c r="E30" t="str">
        <f>IF(COUNTIF(Songs!$C:$C,C30),"","NO")</f>
        <v/>
      </c>
      <c r="F30" s="27">
        <v>42300</v>
      </c>
    </row>
    <row r="31" spans="1:7" x14ac:dyDescent="0.25">
      <c r="A31">
        <v>5</v>
      </c>
      <c r="C31" t="s">
        <v>18</v>
      </c>
      <c r="D31">
        <v>10</v>
      </c>
      <c r="E31" t="str">
        <f>IF(COUNTIF(Songs!$C:$C,C31),"","NO")</f>
        <v/>
      </c>
      <c r="G31" s="26" t="s">
        <v>977</v>
      </c>
    </row>
    <row r="32" spans="1:7" x14ac:dyDescent="0.25">
      <c r="A32">
        <v>5</v>
      </c>
      <c r="C32" t="s">
        <v>933</v>
      </c>
      <c r="D32">
        <v>1</v>
      </c>
    </row>
    <row r="33" spans="1:4" x14ac:dyDescent="0.25">
      <c r="A33">
        <v>6</v>
      </c>
      <c r="C33" t="s">
        <v>851</v>
      </c>
    </row>
    <row r="34" spans="1:4" x14ac:dyDescent="0.25">
      <c r="A34">
        <v>7</v>
      </c>
      <c r="C34" t="s">
        <v>893</v>
      </c>
    </row>
    <row r="35" spans="1:4" x14ac:dyDescent="0.25">
      <c r="A35">
        <v>8</v>
      </c>
      <c r="C35" t="s">
        <v>642</v>
      </c>
    </row>
    <row r="36" spans="1:4" x14ac:dyDescent="0.25">
      <c r="D36">
        <f>SUM(D2:D32)</f>
        <v>295</v>
      </c>
    </row>
  </sheetData>
  <autoFilter ref="A1:G36" xr:uid="{E09D84F1-E8AB-4D6B-A43E-E18C0166C86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7ADA-0055-40DD-889B-734737ABDB6A}">
  <dimension ref="A1:AB465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2" width="9.140625" customWidth="1"/>
    <col min="3" max="3" width="27.5703125" customWidth="1"/>
    <col min="4" max="4" width="7.85546875" bestFit="1" customWidth="1"/>
    <col min="5" max="5" width="35.5703125" bestFit="1" customWidth="1"/>
    <col min="6" max="6" width="9.140625" customWidth="1"/>
    <col min="12" max="12" width="10.5703125" style="10" bestFit="1" customWidth="1"/>
    <col min="13" max="13" width="9.140625" style="4"/>
    <col min="16" max="16" width="9.140625" style="24" customWidth="1"/>
    <col min="17" max="23" width="9.140625" customWidth="1"/>
  </cols>
  <sheetData>
    <row r="1" spans="1:28" s="1" customFormat="1" x14ac:dyDescent="0.25">
      <c r="A1" s="1" t="s">
        <v>996</v>
      </c>
      <c r="B1" s="1" t="s">
        <v>972</v>
      </c>
      <c r="C1" s="1" t="s">
        <v>994</v>
      </c>
      <c r="D1" s="1" t="s">
        <v>995</v>
      </c>
      <c r="E1" s="1" t="s">
        <v>867</v>
      </c>
      <c r="F1" s="1" t="s">
        <v>19</v>
      </c>
      <c r="G1" s="2" t="s">
        <v>20</v>
      </c>
      <c r="H1" s="2" t="s">
        <v>21</v>
      </c>
      <c r="I1" s="2" t="s">
        <v>365</v>
      </c>
      <c r="J1" s="2" t="s">
        <v>366</v>
      </c>
      <c r="K1" s="2" t="s">
        <v>367</v>
      </c>
      <c r="L1" s="8" t="s">
        <v>993</v>
      </c>
      <c r="M1" s="2" t="s">
        <v>368</v>
      </c>
      <c r="N1" s="2" t="s">
        <v>369</v>
      </c>
      <c r="O1" s="2" t="s">
        <v>942</v>
      </c>
      <c r="P1" s="23" t="s">
        <v>474</v>
      </c>
      <c r="Q1" s="1" t="s">
        <v>475</v>
      </c>
      <c r="R1" s="1" t="s">
        <v>476</v>
      </c>
      <c r="S1" s="1" t="s">
        <v>865</v>
      </c>
      <c r="T1" s="1" t="s">
        <v>477</v>
      </c>
      <c r="U1" s="1" t="s">
        <v>478</v>
      </c>
      <c r="V1" s="1" t="s">
        <v>1010</v>
      </c>
      <c r="W1" s="1" t="s">
        <v>971</v>
      </c>
      <c r="X1" s="1" t="s">
        <v>638</v>
      </c>
      <c r="Y1" s="1" t="s">
        <v>641</v>
      </c>
      <c r="Z1" s="1" t="s">
        <v>864</v>
      </c>
      <c r="AA1" s="1" t="s">
        <v>866</v>
      </c>
      <c r="AB1" s="1" t="s">
        <v>941</v>
      </c>
    </row>
    <row r="2" spans="1:28" x14ac:dyDescent="0.25">
      <c r="A2">
        <v>1</v>
      </c>
      <c r="B2">
        <v>2014</v>
      </c>
      <c r="C2" t="s">
        <v>999</v>
      </c>
      <c r="D2">
        <v>1</v>
      </c>
      <c r="E2" t="s">
        <v>22</v>
      </c>
      <c r="F2" t="s">
        <v>23</v>
      </c>
      <c r="G2" t="s">
        <v>370</v>
      </c>
      <c r="H2" s="3" t="s">
        <v>39</v>
      </c>
      <c r="I2" s="3" t="s">
        <v>39</v>
      </c>
      <c r="J2" s="4">
        <v>60</v>
      </c>
      <c r="K2" s="5" t="s">
        <v>371</v>
      </c>
      <c r="L2" s="10">
        <v>6428767</v>
      </c>
      <c r="M2" s="4">
        <v>2012</v>
      </c>
      <c r="N2" s="4" t="s">
        <v>372</v>
      </c>
      <c r="O2" t="s">
        <v>944</v>
      </c>
      <c r="P2" s="24" t="s">
        <v>24</v>
      </c>
      <c r="Q2">
        <v>130</v>
      </c>
      <c r="R2" t="s">
        <v>25</v>
      </c>
      <c r="S2" t="s">
        <v>25</v>
      </c>
      <c r="T2" t="s">
        <v>479</v>
      </c>
      <c r="U2" t="str">
        <f>IF(AND(ISNUMBER(L2),COUNTIF([2]Songs!$L:$L,L2)&gt;0),"YES","")</f>
        <v>YES</v>
      </c>
      <c r="V2" t="str">
        <f>IF(AND(ISNUMBER(L2),COUNTIF([3]Songs!$J:$J,L2)&gt;0),"YES","")</f>
        <v>YES</v>
      </c>
      <c r="W2" t="str">
        <f>IF(AND(ISNUMBER(L2),COUNTIF([1]Songs!$H:$H,L2)&gt;0),"YES","")</f>
        <v/>
      </c>
      <c r="X2" t="s">
        <v>639</v>
      </c>
      <c r="Y2">
        <v>1</v>
      </c>
      <c r="AA2" t="str">
        <f>I2
&amp;IF(H2=I2,""," "&amp;H2)
&amp;IF(OR(R2=I2,R2=H2),""," "&amp;R2)
&amp;IF(R2=S2,""," "&amp;S2)</f>
        <v>D G</v>
      </c>
    </row>
    <row r="3" spans="1:28" x14ac:dyDescent="0.25">
      <c r="A3">
        <v>1</v>
      </c>
      <c r="B3">
        <v>2014</v>
      </c>
      <c r="C3" t="s">
        <v>999</v>
      </c>
      <c r="D3">
        <v>2</v>
      </c>
      <c r="E3" t="s">
        <v>26</v>
      </c>
      <c r="F3" t="s">
        <v>23</v>
      </c>
      <c r="G3" t="s">
        <v>373</v>
      </c>
      <c r="H3" s="3" t="s">
        <v>25</v>
      </c>
      <c r="I3" s="3" t="s">
        <v>28</v>
      </c>
      <c r="J3" s="4">
        <v>100</v>
      </c>
      <c r="K3" s="5" t="s">
        <v>371</v>
      </c>
      <c r="L3" s="10">
        <v>6333821</v>
      </c>
      <c r="M3" s="4">
        <v>2012</v>
      </c>
      <c r="N3" s="4" t="s">
        <v>374</v>
      </c>
      <c r="O3" t="s">
        <v>944</v>
      </c>
      <c r="P3" s="24" t="s">
        <v>27</v>
      </c>
      <c r="Q3">
        <v>99</v>
      </c>
      <c r="R3" t="s">
        <v>28</v>
      </c>
      <c r="S3" t="s">
        <v>52</v>
      </c>
      <c r="T3" t="s">
        <v>479</v>
      </c>
      <c r="U3" t="str">
        <f>IF(AND(ISNUMBER(L3),COUNTIF([2]Songs!$L:$L,L3)&gt;0),"YES","")</f>
        <v>YES</v>
      </c>
      <c r="V3" t="str">
        <f>IF(AND(ISNUMBER(L3),COUNTIF([3]Songs!$J:$J,L3)&gt;0),"YES","")</f>
        <v>YES</v>
      </c>
      <c r="W3" t="str">
        <f>IF(AND(ISNUMBER(L3),COUNTIF([1]Songs!$H:$H,L3)&gt;0),"YES","")</f>
        <v/>
      </c>
      <c r="X3" t="s">
        <v>639</v>
      </c>
      <c r="Y3">
        <v>2</v>
      </c>
      <c r="AA3" t="str">
        <f>I3
&amp;IF(H3=I3,""," "&amp;H3)
&amp;IF(OR(R3=I3,R3=H3),""," "&amp;R3)
&amp;IF(R3=S3,""," "&amp;S3)</f>
        <v>Bb G A</v>
      </c>
    </row>
    <row r="4" spans="1:28" x14ac:dyDescent="0.25">
      <c r="A4">
        <v>1</v>
      </c>
      <c r="B4">
        <v>2014</v>
      </c>
      <c r="C4" t="s">
        <v>999</v>
      </c>
      <c r="D4">
        <v>3</v>
      </c>
      <c r="E4" t="s">
        <v>29</v>
      </c>
      <c r="F4" t="s">
        <v>23</v>
      </c>
      <c r="G4" t="s">
        <v>375</v>
      </c>
      <c r="H4" s="3" t="s">
        <v>52</v>
      </c>
      <c r="I4" s="3" t="s">
        <v>52</v>
      </c>
      <c r="J4" s="4">
        <v>76</v>
      </c>
      <c r="K4" s="5" t="s">
        <v>371</v>
      </c>
      <c r="L4" s="10">
        <v>5881130</v>
      </c>
      <c r="M4" s="4">
        <v>2011</v>
      </c>
      <c r="N4" s="6" t="s">
        <v>376</v>
      </c>
      <c r="O4" t="s">
        <v>944</v>
      </c>
      <c r="P4" s="24" t="s">
        <v>30</v>
      </c>
      <c r="Q4">
        <v>72</v>
      </c>
      <c r="R4" t="s">
        <v>31</v>
      </c>
      <c r="S4" t="s">
        <v>31</v>
      </c>
      <c r="T4" t="s">
        <v>479</v>
      </c>
      <c r="U4" t="str">
        <f>IF(AND(ISNUMBER(L4),COUNTIF([2]Songs!$L:$L,L4)&gt;0),"YES","")</f>
        <v>YES</v>
      </c>
      <c r="V4" t="str">
        <f>IF(AND(ISNUMBER(L4),COUNTIF([3]Songs!$J:$J,L4)&gt;0),"YES","")</f>
        <v>YES</v>
      </c>
      <c r="W4" t="str">
        <f>IF(AND(ISNUMBER(L4),COUNTIF([1]Songs!$H:$H,L4)&gt;0),"YES","")</f>
        <v/>
      </c>
      <c r="X4" t="s">
        <v>639</v>
      </c>
      <c r="Y4">
        <v>3</v>
      </c>
      <c r="AA4" t="str">
        <f>I4
&amp;IF(H4=I4,""," "&amp;H4)
&amp;IF(OR(R4=I4,R4=H4),""," "&amp;R4)
&amp;IF(R4=S4,""," "&amp;S4)</f>
        <v>A B</v>
      </c>
    </row>
    <row r="5" spans="1:28" x14ac:dyDescent="0.25">
      <c r="A5">
        <v>1</v>
      </c>
      <c r="B5">
        <v>2014</v>
      </c>
      <c r="C5" t="s">
        <v>999</v>
      </c>
      <c r="D5">
        <v>4</v>
      </c>
      <c r="E5" t="s">
        <v>32</v>
      </c>
      <c r="F5" t="s">
        <v>23</v>
      </c>
      <c r="G5" t="s">
        <v>377</v>
      </c>
      <c r="H5" s="3" t="s">
        <v>31</v>
      </c>
      <c r="I5" s="3" t="s">
        <v>31</v>
      </c>
      <c r="J5" s="4">
        <v>74</v>
      </c>
      <c r="K5" s="4" t="s">
        <v>371</v>
      </c>
      <c r="L5" s="10">
        <v>5925687</v>
      </c>
      <c r="M5" s="4">
        <v>2011</v>
      </c>
      <c r="N5" s="4" t="s">
        <v>378</v>
      </c>
      <c r="O5" t="s">
        <v>944</v>
      </c>
      <c r="P5" s="24" t="s">
        <v>33</v>
      </c>
      <c r="Q5">
        <v>72</v>
      </c>
      <c r="R5" t="s">
        <v>31</v>
      </c>
      <c r="S5" t="s">
        <v>31</v>
      </c>
      <c r="T5" t="s">
        <v>479</v>
      </c>
      <c r="U5" t="str">
        <f>IF(AND(ISNUMBER(L5),COUNTIF([2]Songs!$L:$L,L5)&gt;0),"YES","")</f>
        <v>YES</v>
      </c>
      <c r="V5" t="str">
        <f>IF(AND(ISNUMBER(L5),COUNTIF([3]Songs!$J:$J,L5)&gt;0),"YES","")</f>
        <v>YES</v>
      </c>
      <c r="W5" t="str">
        <f>IF(AND(ISNUMBER(L5),COUNTIF([1]Songs!$H:$H,L5)&gt;0),"YES","")</f>
        <v/>
      </c>
      <c r="X5" t="s">
        <v>639</v>
      </c>
      <c r="Y5">
        <v>4</v>
      </c>
      <c r="AA5" t="str">
        <f>I5
&amp;IF(H5=I5,""," "&amp;H5)
&amp;IF(OR(R5=I5,R5=H5),""," "&amp;R5)
&amp;IF(R5=S5,""," "&amp;S5)</f>
        <v>B</v>
      </c>
    </row>
    <row r="6" spans="1:28" x14ac:dyDescent="0.25">
      <c r="A6">
        <v>1</v>
      </c>
      <c r="B6">
        <v>2014</v>
      </c>
      <c r="C6" t="s">
        <v>999</v>
      </c>
      <c r="D6">
        <v>5</v>
      </c>
      <c r="E6" t="s">
        <v>34</v>
      </c>
      <c r="F6" t="s">
        <v>35</v>
      </c>
      <c r="G6" t="s">
        <v>379</v>
      </c>
      <c r="H6" s="3" t="s">
        <v>39</v>
      </c>
      <c r="I6" s="3" t="s">
        <v>39</v>
      </c>
      <c r="J6" s="4">
        <v>60</v>
      </c>
      <c r="K6" s="5" t="s">
        <v>380</v>
      </c>
      <c r="L6" s="10">
        <v>3350395</v>
      </c>
      <c r="M6" s="4">
        <v>2001</v>
      </c>
      <c r="N6" s="4" t="s">
        <v>381</v>
      </c>
      <c r="O6" t="s">
        <v>944</v>
      </c>
      <c r="P6" s="24" t="s">
        <v>35</v>
      </c>
      <c r="Q6">
        <v>64</v>
      </c>
      <c r="R6" t="s">
        <v>36</v>
      </c>
      <c r="S6" t="s">
        <v>36</v>
      </c>
      <c r="T6" t="s">
        <v>479</v>
      </c>
      <c r="U6" t="str">
        <f>IF(AND(ISNUMBER(L6),COUNTIF([2]Songs!$L:$L,L6)&gt;0),"YES","")</f>
        <v>YES</v>
      </c>
      <c r="V6" t="str">
        <f>IF(AND(ISNUMBER(L6),COUNTIF([3]Songs!$J:$J,L6)&gt;0),"YES","")</f>
        <v>YES</v>
      </c>
      <c r="W6" t="str">
        <f>IF(AND(ISNUMBER(L6),COUNTIF([1]Songs!$H:$H,L6)&gt;0),"YES","")</f>
        <v/>
      </c>
      <c r="X6" t="s">
        <v>639</v>
      </c>
      <c r="Y6">
        <v>5</v>
      </c>
      <c r="AA6" t="str">
        <f>I6
&amp;IF(H6=I6,""," "&amp;H6)
&amp;IF(OR(R6=I6,R6=H6),""," "&amp;R6)
&amp;IF(R6=S6,""," "&amp;S6)</f>
        <v>D E</v>
      </c>
    </row>
    <row r="7" spans="1:28" x14ac:dyDescent="0.25">
      <c r="A7">
        <v>1</v>
      </c>
      <c r="B7">
        <v>2014</v>
      </c>
      <c r="C7" t="s">
        <v>999</v>
      </c>
      <c r="D7">
        <v>6</v>
      </c>
      <c r="E7" t="s">
        <v>37</v>
      </c>
      <c r="F7" t="s">
        <v>23</v>
      </c>
      <c r="G7" t="s">
        <v>948</v>
      </c>
      <c r="H7" s="3" t="s">
        <v>39</v>
      </c>
      <c r="I7" s="3" t="s">
        <v>39</v>
      </c>
      <c r="J7" s="4">
        <v>82</v>
      </c>
      <c r="K7" s="5" t="s">
        <v>371</v>
      </c>
      <c r="L7" s="10">
        <v>5665521</v>
      </c>
      <c r="M7" s="4">
        <v>2009</v>
      </c>
      <c r="N7" t="s">
        <v>949</v>
      </c>
      <c r="O7" t="s">
        <v>944</v>
      </c>
      <c r="P7" s="24" t="s">
        <v>38</v>
      </c>
      <c r="Q7">
        <v>78</v>
      </c>
      <c r="R7" t="s">
        <v>39</v>
      </c>
      <c r="S7" t="s">
        <v>39</v>
      </c>
      <c r="T7" t="s">
        <v>479</v>
      </c>
      <c r="U7" t="str">
        <f>IF(AND(ISNUMBER(L7),COUNTIF([2]Songs!$L:$L,L7)&gt;0),"YES","")</f>
        <v/>
      </c>
      <c r="V7" t="str">
        <f>IF(AND(ISNUMBER(L7),COUNTIF([3]Songs!$J:$J,L7)&gt;0),"YES","")</f>
        <v>YES</v>
      </c>
      <c r="W7" t="str">
        <f>IF(AND(ISNUMBER(L7),COUNTIF([1]Songs!$H:$H,L7)&gt;0),"YES","")</f>
        <v/>
      </c>
      <c r="X7" t="s">
        <v>639</v>
      </c>
      <c r="Y7">
        <v>6</v>
      </c>
      <c r="AA7" t="str">
        <f>I7
&amp;IF(H7=I7,""," "&amp;H7)
&amp;IF(OR(R7=I7,R7=H7),""," "&amp;R7)
&amp;IF(R7=S7,""," "&amp;S7)</f>
        <v>D</v>
      </c>
    </row>
    <row r="8" spans="1:28" x14ac:dyDescent="0.25">
      <c r="A8">
        <v>1</v>
      </c>
      <c r="B8">
        <v>2014</v>
      </c>
      <c r="C8" t="s">
        <v>999</v>
      </c>
      <c r="D8">
        <v>7</v>
      </c>
      <c r="E8" t="s">
        <v>40</v>
      </c>
      <c r="F8" t="s">
        <v>41</v>
      </c>
      <c r="G8" t="s">
        <v>950</v>
      </c>
      <c r="H8" s="3" t="s">
        <v>39</v>
      </c>
      <c r="I8" s="3" t="s">
        <v>39</v>
      </c>
      <c r="J8" s="4">
        <v>68</v>
      </c>
      <c r="K8" s="5" t="s">
        <v>380</v>
      </c>
      <c r="L8" s="10">
        <v>7029505</v>
      </c>
      <c r="M8" s="4">
        <v>2013</v>
      </c>
      <c r="N8" t="s">
        <v>951</v>
      </c>
      <c r="O8" t="s">
        <v>944</v>
      </c>
      <c r="P8" s="24" t="s">
        <v>1</v>
      </c>
      <c r="Q8">
        <v>68</v>
      </c>
      <c r="R8" t="s">
        <v>39</v>
      </c>
      <c r="S8" t="s">
        <v>39</v>
      </c>
      <c r="T8" t="s">
        <v>479</v>
      </c>
      <c r="U8" t="str">
        <f>IF(AND(ISNUMBER(L8),COUNTIF([2]Songs!$L:$L,L8)&gt;0),"YES","")</f>
        <v/>
      </c>
      <c r="V8" t="str">
        <f>IF(AND(ISNUMBER(L8),COUNTIF([3]Songs!$J:$J,L8)&gt;0),"YES","")</f>
        <v>YES</v>
      </c>
      <c r="W8" t="str">
        <f>IF(AND(ISNUMBER(L8),COUNTIF([1]Songs!$H:$H,L8)&gt;0),"YES","")</f>
        <v/>
      </c>
      <c r="X8" t="s">
        <v>639</v>
      </c>
      <c r="Y8">
        <v>7</v>
      </c>
      <c r="AA8" t="str">
        <f>I8
&amp;IF(H8=I8,""," "&amp;H8)
&amp;IF(OR(R8=I8,R8=H8),""," "&amp;R8)
&amp;IF(R8=S8,""," "&amp;S8)</f>
        <v>D</v>
      </c>
    </row>
    <row r="9" spans="1:28" x14ac:dyDescent="0.25">
      <c r="A9">
        <v>1</v>
      </c>
      <c r="B9">
        <v>2014</v>
      </c>
      <c r="C9" t="s">
        <v>999</v>
      </c>
      <c r="D9">
        <v>8</v>
      </c>
      <c r="E9" t="s">
        <v>42</v>
      </c>
      <c r="F9" t="s">
        <v>23</v>
      </c>
      <c r="G9" t="s">
        <v>382</v>
      </c>
      <c r="H9" s="3" t="s">
        <v>25</v>
      </c>
      <c r="I9" s="3" t="s">
        <v>25</v>
      </c>
      <c r="J9" s="4">
        <v>73</v>
      </c>
      <c r="K9" s="5" t="s">
        <v>371</v>
      </c>
      <c r="L9" s="10">
        <v>6016351</v>
      </c>
      <c r="M9" s="4">
        <v>2011</v>
      </c>
      <c r="N9" s="6" t="s">
        <v>383</v>
      </c>
      <c r="O9" t="s">
        <v>944</v>
      </c>
      <c r="P9" s="24" t="s">
        <v>43</v>
      </c>
      <c r="Q9">
        <v>70</v>
      </c>
      <c r="R9" t="s">
        <v>25</v>
      </c>
      <c r="S9" t="s">
        <v>25</v>
      </c>
      <c r="T9" t="s">
        <v>479</v>
      </c>
      <c r="U9" t="str">
        <f>IF(AND(ISNUMBER(L9),COUNTIF([2]Songs!$L:$L,L9)&gt;0),"YES","")</f>
        <v>YES</v>
      </c>
      <c r="V9" t="str">
        <f>IF(AND(ISNUMBER(L9),COUNTIF([3]Songs!$J:$J,L9)&gt;0),"YES","")</f>
        <v>YES</v>
      </c>
      <c r="W9" t="str">
        <f>IF(AND(ISNUMBER(L9),COUNTIF([1]Songs!$H:$H,L9)&gt;0),"YES","")</f>
        <v/>
      </c>
      <c r="X9" t="s">
        <v>639</v>
      </c>
      <c r="Y9">
        <v>8</v>
      </c>
      <c r="AA9" t="str">
        <f>I9
&amp;IF(H9=I9,""," "&amp;H9)
&amp;IF(OR(R9=I9,R9=H9),""," "&amp;R9)
&amp;IF(R9=S9,""," "&amp;S9)</f>
        <v>G</v>
      </c>
    </row>
    <row r="10" spans="1:28" x14ac:dyDescent="0.25">
      <c r="A10">
        <v>1</v>
      </c>
      <c r="B10">
        <v>2014</v>
      </c>
      <c r="C10" t="s">
        <v>999</v>
      </c>
      <c r="D10">
        <v>9</v>
      </c>
      <c r="E10" t="s">
        <v>44</v>
      </c>
      <c r="F10" t="s">
        <v>45</v>
      </c>
      <c r="G10" t="s">
        <v>384</v>
      </c>
      <c r="H10" s="3" t="s">
        <v>47</v>
      </c>
      <c r="I10" s="3" t="s">
        <v>47</v>
      </c>
      <c r="J10" s="4">
        <v>75</v>
      </c>
      <c r="K10" s="5" t="s">
        <v>371</v>
      </c>
      <c r="L10" s="10">
        <v>6440288</v>
      </c>
      <c r="M10" s="4">
        <v>2012</v>
      </c>
      <c r="N10" s="6" t="s">
        <v>385</v>
      </c>
      <c r="O10" t="s">
        <v>944</v>
      </c>
      <c r="P10" s="24" t="s">
        <v>46</v>
      </c>
      <c r="Q10">
        <v>74</v>
      </c>
      <c r="R10" t="s">
        <v>47</v>
      </c>
      <c r="S10" t="s">
        <v>47</v>
      </c>
      <c r="T10" t="s">
        <v>479</v>
      </c>
      <c r="U10" t="str">
        <f>IF(AND(ISNUMBER(L10),COUNTIF([2]Songs!$L:$L,L10)&gt;0),"YES","")</f>
        <v>YES</v>
      </c>
      <c r="V10" t="str">
        <f>IF(AND(ISNUMBER(L10),COUNTIF([3]Songs!$J:$J,L10)&gt;0),"YES","")</f>
        <v>YES</v>
      </c>
      <c r="W10" t="str">
        <f>IF(AND(ISNUMBER(L10),COUNTIF([1]Songs!$H:$H,L10)&gt;0),"YES","")</f>
        <v/>
      </c>
      <c r="X10" t="s">
        <v>639</v>
      </c>
      <c r="Y10">
        <v>9</v>
      </c>
      <c r="AA10" t="str">
        <f>I10
&amp;IF(H10=I10,""," "&amp;H10)
&amp;IF(OR(R10=I10,R10=H10),""," "&amp;R10)
&amp;IF(R10=S10,""," "&amp;S10)</f>
        <v>C</v>
      </c>
    </row>
    <row r="11" spans="1:28" x14ac:dyDescent="0.25">
      <c r="A11">
        <v>1</v>
      </c>
      <c r="B11">
        <v>2014</v>
      </c>
      <c r="C11" t="s">
        <v>999</v>
      </c>
      <c r="D11">
        <v>10</v>
      </c>
      <c r="E11" t="s">
        <v>48</v>
      </c>
      <c r="F11" t="s">
        <v>23</v>
      </c>
      <c r="G11" t="s">
        <v>953</v>
      </c>
      <c r="H11" s="3" t="s">
        <v>47</v>
      </c>
      <c r="I11" s="3" t="s">
        <v>47</v>
      </c>
      <c r="J11" s="4">
        <v>152</v>
      </c>
      <c r="K11" s="5" t="s">
        <v>371</v>
      </c>
      <c r="L11" s="10">
        <v>4847027</v>
      </c>
      <c r="M11" s="4">
        <v>2006</v>
      </c>
      <c r="N11" s="6" t="s">
        <v>381</v>
      </c>
      <c r="O11" t="s">
        <v>944</v>
      </c>
      <c r="P11" s="24" t="s">
        <v>49</v>
      </c>
      <c r="Q11">
        <v>132</v>
      </c>
      <c r="R11" t="s">
        <v>47</v>
      </c>
      <c r="S11" t="s">
        <v>47</v>
      </c>
      <c r="T11" t="s">
        <v>479</v>
      </c>
      <c r="U11" t="str">
        <f>IF(AND(ISNUMBER(L11),COUNTIF([2]Songs!$L:$L,L11)&gt;0),"YES","")</f>
        <v/>
      </c>
      <c r="V11" t="str">
        <f>IF(AND(ISNUMBER(L11),COUNTIF([3]Songs!$J:$J,L11)&gt;0),"YES","")</f>
        <v>YES</v>
      </c>
      <c r="W11" t="str">
        <f>IF(AND(ISNUMBER(L11),COUNTIF([1]Songs!$H:$H,L11)&gt;0),"YES","")</f>
        <v/>
      </c>
      <c r="X11" t="s">
        <v>639</v>
      </c>
      <c r="Y11">
        <v>10</v>
      </c>
      <c r="AA11" t="str">
        <f>I11
&amp;IF(H11=I11,""," "&amp;H11)
&amp;IF(OR(R11=I11,R11=H11),""," "&amp;R11)
&amp;IF(R11=S11,""," "&amp;S11)</f>
        <v>C</v>
      </c>
    </row>
    <row r="12" spans="1:28" x14ac:dyDescent="0.25">
      <c r="A12">
        <v>1</v>
      </c>
      <c r="B12">
        <v>2014</v>
      </c>
      <c r="C12" t="s">
        <v>1000</v>
      </c>
      <c r="D12">
        <v>1</v>
      </c>
      <c r="E12" t="s">
        <v>50</v>
      </c>
      <c r="F12" t="s">
        <v>23</v>
      </c>
      <c r="L12" s="10">
        <v>6578772</v>
      </c>
      <c r="N12" t="s">
        <v>853</v>
      </c>
      <c r="P12" s="24" t="s">
        <v>51</v>
      </c>
      <c r="Q12">
        <v>112</v>
      </c>
      <c r="R12" t="s">
        <v>52</v>
      </c>
      <c r="S12" t="s">
        <v>52</v>
      </c>
      <c r="T12" t="s">
        <v>327</v>
      </c>
      <c r="U12" t="str">
        <f>IF(AND(ISNUMBER(L12),COUNTIF([2]Songs!$L:$L,L12)&gt;0),"YES","")</f>
        <v/>
      </c>
      <c r="V12" t="str">
        <f>IF(AND(ISNUMBER(L12),COUNTIF([3]Songs!$J:$J,L12)&gt;0),"YES","")</f>
        <v>YES</v>
      </c>
      <c r="W12" t="str">
        <f>IF(AND(ISNUMBER(L12),COUNTIF([1]Songs!$H:$H,L12)&gt;0),"YES","")</f>
        <v/>
      </c>
      <c r="X12" t="s">
        <v>639</v>
      </c>
      <c r="Y12">
        <v>11</v>
      </c>
      <c r="AA12" t="str">
        <f>I12
&amp;IF(H12=I12,""," "&amp;H12)
&amp;IF(OR(R12=I12,R12=H12),""," "&amp;R12)
&amp;IF(R12=S12,""," "&amp;S12)</f>
        <v xml:space="preserve"> A</v>
      </c>
    </row>
    <row r="13" spans="1:28" x14ac:dyDescent="0.25">
      <c r="A13">
        <v>1</v>
      </c>
      <c r="B13">
        <v>2014</v>
      </c>
      <c r="C13" t="s">
        <v>1000</v>
      </c>
      <c r="D13">
        <v>2</v>
      </c>
      <c r="E13" t="s">
        <v>53</v>
      </c>
      <c r="F13" t="s">
        <v>54</v>
      </c>
      <c r="G13" t="s">
        <v>386</v>
      </c>
      <c r="H13" s="3" t="s">
        <v>25</v>
      </c>
      <c r="I13" s="3" t="s">
        <v>25</v>
      </c>
      <c r="J13" s="4">
        <v>114</v>
      </c>
      <c r="K13" s="5" t="s">
        <v>371</v>
      </c>
      <c r="L13" s="10">
        <v>4662491</v>
      </c>
      <c r="M13" s="4">
        <v>2006</v>
      </c>
      <c r="N13" s="6" t="s">
        <v>381</v>
      </c>
      <c r="O13" t="s">
        <v>944</v>
      </c>
      <c r="P13" s="24" t="s">
        <v>55</v>
      </c>
      <c r="Q13">
        <v>106</v>
      </c>
      <c r="R13" t="s">
        <v>52</v>
      </c>
      <c r="S13" t="s">
        <v>52</v>
      </c>
      <c r="T13" t="s">
        <v>479</v>
      </c>
      <c r="U13" t="str">
        <f>IF(AND(ISNUMBER(L13),COUNTIF([2]Songs!$L:$L,L13)&gt;0),"YES","")</f>
        <v>YES</v>
      </c>
      <c r="V13" t="str">
        <f>IF(AND(ISNUMBER(L13),COUNTIF([3]Songs!$J:$J,L13)&gt;0),"YES","")</f>
        <v>YES</v>
      </c>
      <c r="W13" t="str">
        <f>IF(AND(ISNUMBER(L13),COUNTIF([1]Songs!$H:$H,L13)&gt;0),"YES","")</f>
        <v/>
      </c>
      <c r="X13" t="s">
        <v>639</v>
      </c>
      <c r="Y13">
        <v>12</v>
      </c>
      <c r="AA13" t="str">
        <f>I13
&amp;IF(H13=I13,""," "&amp;H13)
&amp;IF(OR(R13=I13,R13=H13),""," "&amp;R13)
&amp;IF(R13=S13,""," "&amp;S13)</f>
        <v>G A</v>
      </c>
    </row>
    <row r="14" spans="1:28" x14ac:dyDescent="0.25">
      <c r="A14">
        <v>1</v>
      </c>
      <c r="B14">
        <v>2014</v>
      </c>
      <c r="C14" t="s">
        <v>1000</v>
      </c>
      <c r="D14">
        <v>3</v>
      </c>
      <c r="E14" t="s">
        <v>56</v>
      </c>
      <c r="F14" t="s">
        <v>23</v>
      </c>
      <c r="G14" t="s">
        <v>952</v>
      </c>
      <c r="H14" s="3" t="s">
        <v>47</v>
      </c>
      <c r="I14" s="3" t="s">
        <v>47</v>
      </c>
      <c r="J14" s="4">
        <v>83</v>
      </c>
      <c r="K14" s="5" t="s">
        <v>371</v>
      </c>
      <c r="L14" s="10">
        <v>5639997</v>
      </c>
      <c r="M14" s="4">
        <v>2009</v>
      </c>
      <c r="N14" s="6" t="s">
        <v>372</v>
      </c>
      <c r="O14" t="s">
        <v>944</v>
      </c>
      <c r="P14" s="24" t="s">
        <v>24</v>
      </c>
      <c r="Q14">
        <v>83</v>
      </c>
      <c r="R14" t="s">
        <v>47</v>
      </c>
      <c r="S14" t="s">
        <v>47</v>
      </c>
      <c r="T14" t="s">
        <v>479</v>
      </c>
      <c r="U14" t="str">
        <f>IF(AND(ISNUMBER(L14),COUNTIF([2]Songs!$L:$L,L14)&gt;0),"YES","")</f>
        <v/>
      </c>
      <c r="V14" t="str">
        <f>IF(AND(ISNUMBER(L14),COUNTIF([3]Songs!$J:$J,L14)&gt;0),"YES","")</f>
        <v>YES</v>
      </c>
      <c r="W14" t="str">
        <f>IF(AND(ISNUMBER(L14),COUNTIF([1]Songs!$H:$H,L14)&gt;0),"YES","")</f>
        <v>YES</v>
      </c>
      <c r="X14" t="s">
        <v>639</v>
      </c>
      <c r="Y14">
        <v>13</v>
      </c>
      <c r="AA14" t="str">
        <f>I14
&amp;IF(H14=I14,""," "&amp;H14)
&amp;IF(OR(R14=I14,R14=H14),""," "&amp;R14)
&amp;IF(R14=S14,""," "&amp;S14)</f>
        <v>C</v>
      </c>
    </row>
    <row r="15" spans="1:28" x14ac:dyDescent="0.25">
      <c r="A15">
        <v>1</v>
      </c>
      <c r="B15">
        <v>2014</v>
      </c>
      <c r="C15" t="s">
        <v>1000</v>
      </c>
      <c r="D15">
        <v>4</v>
      </c>
      <c r="E15" t="s">
        <v>57</v>
      </c>
      <c r="F15" t="s">
        <v>23</v>
      </c>
      <c r="G15" t="s">
        <v>387</v>
      </c>
      <c r="H15" s="3" t="s">
        <v>47</v>
      </c>
      <c r="I15" s="3" t="s">
        <v>47</v>
      </c>
      <c r="J15" s="4">
        <v>73</v>
      </c>
      <c r="K15" s="4" t="s">
        <v>371</v>
      </c>
      <c r="L15" s="10">
        <v>7000689</v>
      </c>
      <c r="M15" s="4">
        <v>2013</v>
      </c>
      <c r="N15" s="6" t="s">
        <v>383</v>
      </c>
      <c r="O15" t="s">
        <v>944</v>
      </c>
      <c r="P15" s="24" t="s">
        <v>43</v>
      </c>
      <c r="Q15">
        <v>73</v>
      </c>
      <c r="R15" t="s">
        <v>47</v>
      </c>
      <c r="S15" t="s">
        <v>47</v>
      </c>
      <c r="T15" t="s">
        <v>479</v>
      </c>
      <c r="U15" t="str">
        <f>IF(AND(ISNUMBER(L15),COUNTIF([2]Songs!$L:$L,L15)&gt;0),"YES","")</f>
        <v>YES</v>
      </c>
      <c r="V15" t="str">
        <f>IF(AND(ISNUMBER(L15),COUNTIF([3]Songs!$J:$J,L15)&gt;0),"YES","")</f>
        <v>YES</v>
      </c>
      <c r="W15" t="str">
        <f>IF(AND(ISNUMBER(L15),COUNTIF([1]Songs!$H:$H,L15)&gt;0),"YES","")</f>
        <v/>
      </c>
      <c r="X15" t="s">
        <v>639</v>
      </c>
      <c r="Y15">
        <v>14</v>
      </c>
      <c r="AA15" t="str">
        <f>I15
&amp;IF(H15=I15,""," "&amp;H15)
&amp;IF(OR(R15=I15,R15=H15),""," "&amp;R15)
&amp;IF(R15=S15,""," "&amp;S15)</f>
        <v>C</v>
      </c>
    </row>
    <row r="16" spans="1:28" x14ac:dyDescent="0.25">
      <c r="A16">
        <v>1</v>
      </c>
      <c r="B16">
        <v>2014</v>
      </c>
      <c r="C16" t="s">
        <v>1000</v>
      </c>
      <c r="D16">
        <v>5</v>
      </c>
      <c r="E16" t="s">
        <v>58</v>
      </c>
      <c r="F16" t="s">
        <v>23</v>
      </c>
      <c r="G16" t="s">
        <v>384</v>
      </c>
      <c r="H16" s="3" t="s">
        <v>47</v>
      </c>
      <c r="I16" s="3" t="s">
        <v>47</v>
      </c>
      <c r="J16" s="4">
        <v>76</v>
      </c>
      <c r="K16" s="4" t="s">
        <v>371</v>
      </c>
      <c r="L16" s="10">
        <v>4348399</v>
      </c>
      <c r="M16" s="4">
        <v>2004</v>
      </c>
      <c r="N16" s="4" t="s">
        <v>378</v>
      </c>
      <c r="O16" t="s">
        <v>944</v>
      </c>
      <c r="P16" s="24" t="s">
        <v>46</v>
      </c>
      <c r="Q16">
        <v>84</v>
      </c>
      <c r="R16" t="s">
        <v>47</v>
      </c>
      <c r="S16" t="s">
        <v>47</v>
      </c>
      <c r="T16" t="s">
        <v>479</v>
      </c>
      <c r="U16" t="str">
        <f>IF(AND(ISNUMBER(L16),COUNTIF([2]Songs!$L:$L,L16)&gt;0),"YES","")</f>
        <v>YES</v>
      </c>
      <c r="V16" t="str">
        <f>IF(AND(ISNUMBER(L16),COUNTIF([3]Songs!$J:$J,L16)&gt;0),"YES","")</f>
        <v>YES</v>
      </c>
      <c r="W16" t="str">
        <f>IF(AND(ISNUMBER(L16),COUNTIF([1]Songs!$H:$H,L16)&gt;0),"YES","")</f>
        <v/>
      </c>
      <c r="X16" t="s">
        <v>639</v>
      </c>
      <c r="Y16">
        <v>15</v>
      </c>
      <c r="AA16" t="str">
        <f>I16
&amp;IF(H16=I16,""," "&amp;H16)
&amp;IF(OR(R16=I16,R16=H16),""," "&amp;R16)
&amp;IF(R16=S16,""," "&amp;S16)</f>
        <v>C</v>
      </c>
    </row>
    <row r="17" spans="1:27" x14ac:dyDescent="0.25">
      <c r="A17">
        <v>1</v>
      </c>
      <c r="B17">
        <v>2014</v>
      </c>
      <c r="C17" t="s">
        <v>1000</v>
      </c>
      <c r="D17">
        <v>6</v>
      </c>
      <c r="E17" t="s">
        <v>59</v>
      </c>
      <c r="F17" t="s">
        <v>23</v>
      </c>
      <c r="G17" t="s">
        <v>60</v>
      </c>
      <c r="H17" s="3" t="s">
        <v>176</v>
      </c>
      <c r="I17" s="3" t="s">
        <v>176</v>
      </c>
      <c r="J17" s="4">
        <v>80</v>
      </c>
      <c r="K17" s="5" t="s">
        <v>371</v>
      </c>
      <c r="L17" s="10">
        <v>825356</v>
      </c>
      <c r="M17" s="4">
        <v>1991</v>
      </c>
      <c r="N17" s="6" t="s">
        <v>388</v>
      </c>
      <c r="O17" t="s">
        <v>945</v>
      </c>
      <c r="P17" s="24" t="s">
        <v>60</v>
      </c>
      <c r="Q17">
        <v>128</v>
      </c>
      <c r="R17" t="s">
        <v>25</v>
      </c>
      <c r="S17" t="s">
        <v>25</v>
      </c>
      <c r="T17" t="s">
        <v>479</v>
      </c>
      <c r="U17" t="str">
        <f>IF(AND(ISNUMBER(L17),COUNTIF([2]Songs!$L:$L,L17)&gt;0),"YES","")</f>
        <v>YES</v>
      </c>
      <c r="V17" t="str">
        <f>IF(AND(ISNUMBER(L17),COUNTIF([3]Songs!$J:$J,L17)&gt;0),"YES","")</f>
        <v>YES</v>
      </c>
      <c r="W17" t="str">
        <f>IF(AND(ISNUMBER(L17),COUNTIF([1]Songs!$H:$H,L17)&gt;0),"YES","")</f>
        <v/>
      </c>
      <c r="X17" t="s">
        <v>639</v>
      </c>
      <c r="Y17">
        <v>16</v>
      </c>
      <c r="AA17" t="str">
        <f>I17
&amp;IF(H17=I17,""," "&amp;H17)
&amp;IF(OR(R17=I17,R17=H17),""," "&amp;R17)
&amp;IF(R17=S17,""," "&amp;S17)</f>
        <v>F G</v>
      </c>
    </row>
    <row r="18" spans="1:27" x14ac:dyDescent="0.25">
      <c r="A18">
        <v>1</v>
      </c>
      <c r="B18">
        <v>2014</v>
      </c>
      <c r="C18" t="s">
        <v>1000</v>
      </c>
      <c r="D18">
        <v>7</v>
      </c>
      <c r="E18" t="s">
        <v>61</v>
      </c>
      <c r="F18" t="s">
        <v>23</v>
      </c>
      <c r="L18" s="10">
        <v>17803</v>
      </c>
      <c r="P18" s="24" t="s">
        <v>62</v>
      </c>
      <c r="Q18">
        <v>68</v>
      </c>
      <c r="R18" t="s">
        <v>25</v>
      </c>
      <c r="S18" t="s">
        <v>25</v>
      </c>
      <c r="T18" t="s">
        <v>327</v>
      </c>
      <c r="U18" t="str">
        <f>IF(AND(ISNUMBER(L18),COUNTIF([2]Songs!$L:$L,L18)&gt;0),"YES","")</f>
        <v/>
      </c>
      <c r="V18" t="str">
        <f>IF(AND(ISNUMBER(L18),COUNTIF([3]Songs!$J:$J,L18)&gt;0),"YES","")</f>
        <v>YES</v>
      </c>
      <c r="W18" t="str">
        <f>IF(AND(ISNUMBER(L18),COUNTIF([1]Songs!$H:$H,L18)&gt;0),"YES","")</f>
        <v/>
      </c>
      <c r="X18" t="s">
        <v>639</v>
      </c>
      <c r="Y18">
        <v>17</v>
      </c>
      <c r="AA18" t="str">
        <f>I18
&amp;IF(H18=I18,""," "&amp;H18)
&amp;IF(OR(R18=I18,R18=H18),""," "&amp;R18)
&amp;IF(R18=S18,""," "&amp;S18)</f>
        <v xml:space="preserve"> G</v>
      </c>
    </row>
    <row r="19" spans="1:27" x14ac:dyDescent="0.25">
      <c r="A19">
        <v>1</v>
      </c>
      <c r="B19">
        <v>2014</v>
      </c>
      <c r="C19" t="s">
        <v>1000</v>
      </c>
      <c r="D19">
        <v>8</v>
      </c>
      <c r="E19" t="s">
        <v>63</v>
      </c>
      <c r="F19" t="s">
        <v>23</v>
      </c>
      <c r="G19" t="s">
        <v>389</v>
      </c>
      <c r="H19" s="3" t="s">
        <v>31</v>
      </c>
      <c r="I19" s="3" t="s">
        <v>31</v>
      </c>
      <c r="J19" s="4">
        <v>105</v>
      </c>
      <c r="K19" s="5" t="s">
        <v>371</v>
      </c>
      <c r="L19" s="10">
        <v>5677416</v>
      </c>
      <c r="M19" s="4">
        <v>2010</v>
      </c>
      <c r="N19" s="6" t="s">
        <v>383</v>
      </c>
      <c r="O19" t="s">
        <v>944</v>
      </c>
      <c r="P19" s="24" t="s">
        <v>46</v>
      </c>
      <c r="Q19">
        <v>106</v>
      </c>
      <c r="R19" t="s">
        <v>31</v>
      </c>
      <c r="S19" t="s">
        <v>31</v>
      </c>
      <c r="T19" t="s">
        <v>479</v>
      </c>
      <c r="U19" t="str">
        <f>IF(AND(ISNUMBER(L19),COUNTIF([2]Songs!$L:$L,L19)&gt;0),"YES","")</f>
        <v>YES</v>
      </c>
      <c r="V19" t="str">
        <f>IF(AND(ISNUMBER(L19),COUNTIF([3]Songs!$J:$J,L19)&gt;0),"YES","")</f>
        <v>YES</v>
      </c>
      <c r="W19" t="str">
        <f>IF(AND(ISNUMBER(L19),COUNTIF([1]Songs!$H:$H,L19)&gt;0),"YES","")</f>
        <v/>
      </c>
      <c r="X19" t="s">
        <v>639</v>
      </c>
      <c r="Y19">
        <v>18</v>
      </c>
      <c r="AA19" t="str">
        <f>I19
&amp;IF(H19=I19,""," "&amp;H19)
&amp;IF(OR(R19=I19,R19=H19),""," "&amp;R19)
&amp;IF(R19=S19,""," "&amp;S19)</f>
        <v>B</v>
      </c>
    </row>
    <row r="20" spans="1:27" x14ac:dyDescent="0.25">
      <c r="A20">
        <v>1</v>
      </c>
      <c r="B20">
        <v>2014</v>
      </c>
      <c r="C20" t="s">
        <v>1000</v>
      </c>
      <c r="D20">
        <v>9</v>
      </c>
      <c r="E20" t="s">
        <v>64</v>
      </c>
      <c r="F20" t="s">
        <v>23</v>
      </c>
      <c r="G20" t="s">
        <v>55</v>
      </c>
      <c r="H20" s="3" t="s">
        <v>36</v>
      </c>
      <c r="I20" s="3" t="s">
        <v>36</v>
      </c>
      <c r="J20" s="4">
        <v>112</v>
      </c>
      <c r="K20" s="5" t="s">
        <v>371</v>
      </c>
      <c r="L20" s="10">
        <v>2298355</v>
      </c>
      <c r="M20" s="4">
        <v>1997</v>
      </c>
      <c r="N20" s="4" t="s">
        <v>390</v>
      </c>
      <c r="O20" t="s">
        <v>945</v>
      </c>
      <c r="P20" s="24" t="s">
        <v>55</v>
      </c>
      <c r="Q20">
        <v>110</v>
      </c>
      <c r="R20" t="s">
        <v>31</v>
      </c>
      <c r="S20" t="s">
        <v>31</v>
      </c>
      <c r="T20" t="s">
        <v>479</v>
      </c>
      <c r="U20" t="str">
        <f>IF(AND(ISNUMBER(L20),COUNTIF([2]Songs!$L:$L,L20)&gt;0),"YES","")</f>
        <v>YES</v>
      </c>
      <c r="V20" t="str">
        <f>IF(AND(ISNUMBER(L20),COUNTIF([3]Songs!$J:$J,L20)&gt;0),"YES","")</f>
        <v>YES</v>
      </c>
      <c r="W20" t="str">
        <f>IF(AND(ISNUMBER(L20),COUNTIF([1]Songs!$H:$H,L20)&gt;0),"YES","")</f>
        <v/>
      </c>
      <c r="X20" t="s">
        <v>639</v>
      </c>
      <c r="Y20">
        <v>19</v>
      </c>
      <c r="AA20" t="str">
        <f>I20
&amp;IF(H20=I20,""," "&amp;H20)
&amp;IF(OR(R20=I20,R20=H20),""," "&amp;R20)
&amp;IF(R20=S20,""," "&amp;S20)</f>
        <v>E B</v>
      </c>
    </row>
    <row r="21" spans="1:27" x14ac:dyDescent="0.25">
      <c r="A21">
        <v>1</v>
      </c>
      <c r="B21">
        <v>2014</v>
      </c>
      <c r="C21" t="s">
        <v>1000</v>
      </c>
      <c r="D21">
        <v>10</v>
      </c>
      <c r="E21" t="s">
        <v>65</v>
      </c>
      <c r="F21" t="s">
        <v>23</v>
      </c>
      <c r="G21" t="s">
        <v>43</v>
      </c>
      <c r="H21" s="3" t="s">
        <v>36</v>
      </c>
      <c r="I21" s="3" t="s">
        <v>36</v>
      </c>
      <c r="J21" s="4">
        <v>77</v>
      </c>
      <c r="K21" s="4" t="s">
        <v>371</v>
      </c>
      <c r="L21" s="10">
        <v>1097451</v>
      </c>
      <c r="M21" s="4">
        <v>1995</v>
      </c>
      <c r="N21" s="6" t="s">
        <v>381</v>
      </c>
      <c r="O21" t="s">
        <v>945</v>
      </c>
      <c r="P21" s="24" t="s">
        <v>43</v>
      </c>
      <c r="Q21">
        <v>79</v>
      </c>
      <c r="R21" t="s">
        <v>36</v>
      </c>
      <c r="S21" t="s">
        <v>36</v>
      </c>
      <c r="T21" t="s">
        <v>479</v>
      </c>
      <c r="U21" t="str">
        <f>IF(AND(ISNUMBER(L21),COUNTIF([2]Songs!$L:$L,L21)&gt;0),"YES","")</f>
        <v>YES</v>
      </c>
      <c r="V21" t="str">
        <f>IF(AND(ISNUMBER(L21),COUNTIF([3]Songs!$J:$J,L21)&gt;0),"YES","")</f>
        <v>YES</v>
      </c>
      <c r="W21" t="str">
        <f>IF(AND(ISNUMBER(L21),COUNTIF([1]Songs!$H:$H,L21)&gt;0),"YES","")</f>
        <v/>
      </c>
      <c r="X21" t="s">
        <v>639</v>
      </c>
      <c r="Y21">
        <v>20</v>
      </c>
      <c r="AA21" t="str">
        <f>I21
&amp;IF(H21=I21,""," "&amp;H21)
&amp;IF(OR(R21=I21,R21=H21),""," "&amp;R21)
&amp;IF(R21=S21,""," "&amp;S21)</f>
        <v>E</v>
      </c>
    </row>
    <row r="22" spans="1:27" x14ac:dyDescent="0.25">
      <c r="A22">
        <v>1</v>
      </c>
      <c r="B22">
        <v>2014</v>
      </c>
      <c r="C22" t="s">
        <v>1001</v>
      </c>
      <c r="D22">
        <v>1</v>
      </c>
      <c r="E22" t="s">
        <v>66</v>
      </c>
      <c r="F22" t="s">
        <v>23</v>
      </c>
      <c r="L22" s="10">
        <v>7031125</v>
      </c>
      <c r="P22" s="24" t="s">
        <v>1</v>
      </c>
      <c r="Q22">
        <v>124</v>
      </c>
      <c r="R22" t="s">
        <v>67</v>
      </c>
      <c r="S22" t="s">
        <v>25</v>
      </c>
      <c r="T22" t="s">
        <v>327</v>
      </c>
      <c r="U22" t="str">
        <f>IF(AND(ISNUMBER(L22),COUNTIF([2]Songs!$L:$L,L22)&gt;0),"YES","")</f>
        <v/>
      </c>
      <c r="V22" t="str">
        <f>IF(AND(ISNUMBER(L22),COUNTIF([3]Songs!$J:$J,L22)&gt;0),"YES","")</f>
        <v>YES</v>
      </c>
      <c r="W22" t="str">
        <f>IF(AND(ISNUMBER(L22),COUNTIF([1]Songs!$H:$H,L22)&gt;0),"YES","")</f>
        <v/>
      </c>
      <c r="X22" t="s">
        <v>639</v>
      </c>
      <c r="Y22">
        <v>21</v>
      </c>
      <c r="AA22" t="str">
        <f>I22
&amp;IF(H22=I22,""," "&amp;H22)
&amp;IF(OR(R22=I22,R22=H22),""," "&amp;R22)
&amp;IF(R22=S22,""," "&amp;S22)</f>
        <v xml:space="preserve"> Ab G</v>
      </c>
    </row>
    <row r="23" spans="1:27" x14ac:dyDescent="0.25">
      <c r="A23">
        <v>1</v>
      </c>
      <c r="B23">
        <v>2014</v>
      </c>
      <c r="C23" t="s">
        <v>1001</v>
      </c>
      <c r="D23">
        <v>2</v>
      </c>
      <c r="E23" t="s">
        <v>68</v>
      </c>
      <c r="F23" t="s">
        <v>23</v>
      </c>
      <c r="G23" t="s">
        <v>391</v>
      </c>
      <c r="H23" s="3" t="s">
        <v>52</v>
      </c>
      <c r="I23" s="3" t="s">
        <v>28</v>
      </c>
      <c r="J23" s="4">
        <v>96</v>
      </c>
      <c r="K23" s="4" t="s">
        <v>371</v>
      </c>
      <c r="L23" s="10">
        <v>5806878</v>
      </c>
      <c r="M23" s="4">
        <v>2010</v>
      </c>
      <c r="N23" s="4" t="s">
        <v>392</v>
      </c>
      <c r="O23" t="s">
        <v>944</v>
      </c>
      <c r="P23" s="24" t="s">
        <v>46</v>
      </c>
      <c r="Q23">
        <v>96</v>
      </c>
      <c r="R23" t="s">
        <v>25</v>
      </c>
      <c r="S23" t="s">
        <v>25</v>
      </c>
      <c r="T23" t="s">
        <v>479</v>
      </c>
      <c r="U23" t="str">
        <f>IF(AND(ISNUMBER(L23),COUNTIF([2]Songs!$L:$L,L23)&gt;0),"YES","")</f>
        <v>YES</v>
      </c>
      <c r="V23" t="str">
        <f>IF(AND(ISNUMBER(L23),COUNTIF([3]Songs!$J:$J,L23)&gt;0),"YES","")</f>
        <v>YES</v>
      </c>
      <c r="W23" t="str">
        <f>IF(AND(ISNUMBER(L23),COUNTIF([1]Songs!$H:$H,L23)&gt;0),"YES","")</f>
        <v/>
      </c>
      <c r="X23" t="s">
        <v>639</v>
      </c>
      <c r="Y23">
        <v>22</v>
      </c>
      <c r="AA23" t="str">
        <f>I23
&amp;IF(H23=I23,""," "&amp;H23)
&amp;IF(OR(R23=I23,R23=H23),""," "&amp;R23)
&amp;IF(R23=S23,""," "&amp;S23)</f>
        <v>Bb A G</v>
      </c>
    </row>
    <row r="24" spans="1:27" x14ac:dyDescent="0.25">
      <c r="A24">
        <v>1</v>
      </c>
      <c r="B24">
        <v>2014</v>
      </c>
      <c r="C24" t="s">
        <v>1001</v>
      </c>
      <c r="D24">
        <v>3</v>
      </c>
      <c r="E24" t="s">
        <v>69</v>
      </c>
      <c r="F24" t="s">
        <v>23</v>
      </c>
      <c r="L24" s="10">
        <v>6186872</v>
      </c>
      <c r="P24" s="24" t="s">
        <v>70</v>
      </c>
      <c r="Q24">
        <v>111</v>
      </c>
      <c r="R24" t="s">
        <v>25</v>
      </c>
      <c r="S24" t="s">
        <v>25</v>
      </c>
      <c r="T24" t="s">
        <v>327</v>
      </c>
      <c r="U24" t="str">
        <f>IF(AND(ISNUMBER(L24),COUNTIF([2]Songs!$L:$L,L24)&gt;0),"YES","")</f>
        <v/>
      </c>
      <c r="V24" t="str">
        <f>IF(AND(ISNUMBER(L24),COUNTIF([3]Songs!$J:$J,L24)&gt;0),"YES","")</f>
        <v>YES</v>
      </c>
      <c r="W24" t="str">
        <f>IF(AND(ISNUMBER(L24),COUNTIF([1]Songs!$H:$H,L24)&gt;0),"YES","")</f>
        <v/>
      </c>
      <c r="X24" t="s">
        <v>639</v>
      </c>
      <c r="Y24">
        <v>23</v>
      </c>
      <c r="AA24" t="str">
        <f>I24
&amp;IF(H24=I24,""," "&amp;H24)
&amp;IF(OR(R24=I24,R24=H24),""," "&amp;R24)
&amp;IF(R24=S24,""," "&amp;S24)</f>
        <v xml:space="preserve"> G</v>
      </c>
    </row>
    <row r="25" spans="1:27" x14ac:dyDescent="0.25">
      <c r="A25">
        <v>1</v>
      </c>
      <c r="B25">
        <v>2014</v>
      </c>
      <c r="C25" t="s">
        <v>1001</v>
      </c>
      <c r="D25">
        <v>4</v>
      </c>
      <c r="E25" t="s">
        <v>71</v>
      </c>
      <c r="F25" t="s">
        <v>23</v>
      </c>
      <c r="G25" t="s">
        <v>72</v>
      </c>
      <c r="H25" s="3" t="s">
        <v>39</v>
      </c>
      <c r="I25" s="3" t="s">
        <v>39</v>
      </c>
      <c r="J25" s="4">
        <v>54</v>
      </c>
      <c r="K25" s="5" t="s">
        <v>371</v>
      </c>
      <c r="L25" s="10">
        <v>14514</v>
      </c>
      <c r="M25" s="4">
        <v>1980</v>
      </c>
      <c r="N25" s="4" t="s">
        <v>662</v>
      </c>
      <c r="O25" t="s">
        <v>945</v>
      </c>
      <c r="P25" s="24" t="s">
        <v>72</v>
      </c>
      <c r="Q25">
        <v>56</v>
      </c>
      <c r="R25" t="s">
        <v>25</v>
      </c>
      <c r="S25" t="s">
        <v>25</v>
      </c>
      <c r="T25" t="s">
        <v>479</v>
      </c>
      <c r="U25" t="str">
        <f>IF(AND(ISNUMBER(L25),COUNTIF([2]Songs!$L:$L,L25)&gt;0),"YES","")</f>
        <v/>
      </c>
      <c r="V25" t="str">
        <f>IF(AND(ISNUMBER(L25),COUNTIF([3]Songs!$J:$J,L25)&gt;0),"YES","")</f>
        <v>YES</v>
      </c>
      <c r="W25" t="str">
        <f>IF(AND(ISNUMBER(L25),COUNTIF([1]Songs!$H:$H,L25)&gt;0),"YES","")</f>
        <v/>
      </c>
      <c r="X25" t="s">
        <v>639</v>
      </c>
      <c r="Y25">
        <v>24</v>
      </c>
      <c r="AA25" t="str">
        <f>I25
&amp;IF(H25=I25,""," "&amp;H25)
&amp;IF(OR(R25=I25,R25=H25),""," "&amp;R25)
&amp;IF(R25=S25,""," "&amp;S25)</f>
        <v>D G</v>
      </c>
    </row>
    <row r="26" spans="1:27" x14ac:dyDescent="0.25">
      <c r="A26">
        <v>1</v>
      </c>
      <c r="B26">
        <v>2014</v>
      </c>
      <c r="C26" t="s">
        <v>1001</v>
      </c>
      <c r="D26">
        <v>5</v>
      </c>
      <c r="E26" t="s">
        <v>73</v>
      </c>
      <c r="F26" t="s">
        <v>23</v>
      </c>
      <c r="G26" t="s">
        <v>74</v>
      </c>
      <c r="H26" s="3" t="s">
        <v>47</v>
      </c>
      <c r="I26" s="3" t="s">
        <v>47</v>
      </c>
      <c r="J26" s="4">
        <v>49</v>
      </c>
      <c r="K26" s="5" t="s">
        <v>425</v>
      </c>
      <c r="L26" s="10">
        <v>5032549</v>
      </c>
      <c r="M26" s="4">
        <v>2005</v>
      </c>
      <c r="N26" s="6" t="s">
        <v>390</v>
      </c>
      <c r="O26" t="s">
        <v>944</v>
      </c>
      <c r="P26" s="24" t="s">
        <v>74</v>
      </c>
      <c r="Q26">
        <v>72.5</v>
      </c>
      <c r="R26" t="s">
        <v>47</v>
      </c>
      <c r="S26" t="s">
        <v>47</v>
      </c>
      <c r="T26" t="s">
        <v>479</v>
      </c>
      <c r="U26" t="str">
        <f>IF(AND(ISNUMBER(L26),COUNTIF([2]Songs!$L:$L,L26)&gt;0),"YES","")</f>
        <v/>
      </c>
      <c r="V26" t="str">
        <f>IF(AND(ISNUMBER(L26),COUNTIF([3]Songs!$J:$J,L26)&gt;0),"YES","")</f>
        <v>YES</v>
      </c>
      <c r="W26" t="str">
        <f>IF(AND(ISNUMBER(L26),COUNTIF([1]Songs!$H:$H,L26)&gt;0),"YES","")</f>
        <v/>
      </c>
      <c r="X26" t="s">
        <v>639</v>
      </c>
      <c r="Y26">
        <v>25</v>
      </c>
      <c r="AA26" t="str">
        <f>I26
&amp;IF(H26=I26,""," "&amp;H26)
&amp;IF(OR(R26=I26,R26=H26),""," "&amp;R26)
&amp;IF(R26=S26,""," "&amp;S26)</f>
        <v>C</v>
      </c>
    </row>
    <row r="27" spans="1:27" x14ac:dyDescent="0.25">
      <c r="A27">
        <v>1</v>
      </c>
      <c r="B27">
        <v>2014</v>
      </c>
      <c r="C27" t="s">
        <v>1001</v>
      </c>
      <c r="D27">
        <v>6</v>
      </c>
      <c r="E27" t="s">
        <v>75</v>
      </c>
      <c r="F27" t="s">
        <v>23</v>
      </c>
      <c r="G27" t="s">
        <v>962</v>
      </c>
      <c r="H27" s="3" t="s">
        <v>31</v>
      </c>
      <c r="I27" s="3" t="s">
        <v>31</v>
      </c>
      <c r="J27" s="4">
        <v>68</v>
      </c>
      <c r="K27" s="5" t="s">
        <v>371</v>
      </c>
      <c r="L27" s="10">
        <v>5997055</v>
      </c>
      <c r="M27" s="4">
        <v>2011</v>
      </c>
      <c r="N27" t="s">
        <v>857</v>
      </c>
      <c r="O27" t="s">
        <v>944</v>
      </c>
      <c r="P27" s="24" t="s">
        <v>43</v>
      </c>
      <c r="Q27">
        <v>70</v>
      </c>
      <c r="R27" t="s">
        <v>47</v>
      </c>
      <c r="S27" t="s">
        <v>47</v>
      </c>
      <c r="T27" t="s">
        <v>479</v>
      </c>
      <c r="U27" t="str">
        <f>IF(AND(ISNUMBER(L27),COUNTIF([2]Songs!$L:$L,L27)&gt;0),"YES","")</f>
        <v/>
      </c>
      <c r="V27" t="str">
        <f>IF(AND(ISNUMBER(L27),COUNTIF([3]Songs!$J:$J,L27)&gt;0),"YES","")</f>
        <v>YES</v>
      </c>
      <c r="W27" t="str">
        <f>IF(AND(ISNUMBER(L27),COUNTIF([1]Songs!$H:$H,L27)&gt;0),"YES","")</f>
        <v/>
      </c>
      <c r="X27" t="s">
        <v>639</v>
      </c>
      <c r="Y27">
        <v>26</v>
      </c>
      <c r="AA27" t="str">
        <f>I27
&amp;IF(H27=I27,""," "&amp;H27)
&amp;IF(OR(R27=I27,R27=H27),""," "&amp;R27)
&amp;IF(R27=S27,""," "&amp;S27)</f>
        <v>B C</v>
      </c>
    </row>
    <row r="28" spans="1:27" x14ac:dyDescent="0.25">
      <c r="A28">
        <v>1</v>
      </c>
      <c r="B28">
        <v>2014</v>
      </c>
      <c r="C28" t="s">
        <v>1001</v>
      </c>
      <c r="D28">
        <v>7</v>
      </c>
      <c r="E28" t="s">
        <v>76</v>
      </c>
      <c r="F28" t="s">
        <v>23</v>
      </c>
      <c r="G28" t="s">
        <v>393</v>
      </c>
      <c r="H28" s="3" t="s">
        <v>52</v>
      </c>
      <c r="I28" s="3" t="s">
        <v>52</v>
      </c>
      <c r="J28" s="4">
        <v>76</v>
      </c>
      <c r="K28" s="5" t="s">
        <v>371</v>
      </c>
      <c r="L28" s="10">
        <v>1406918</v>
      </c>
      <c r="M28" s="4">
        <v>1993</v>
      </c>
      <c r="N28" s="6" t="s">
        <v>394</v>
      </c>
      <c r="O28" t="s">
        <v>945</v>
      </c>
      <c r="P28" s="24" t="s">
        <v>24</v>
      </c>
      <c r="Q28">
        <v>80</v>
      </c>
      <c r="R28" t="s">
        <v>31</v>
      </c>
      <c r="S28" t="s">
        <v>31</v>
      </c>
      <c r="T28" t="s">
        <v>479</v>
      </c>
      <c r="U28" t="str">
        <f>IF(AND(ISNUMBER(L28),COUNTIF([2]Songs!$L:$L,L28)&gt;0),"YES","")</f>
        <v>YES</v>
      </c>
      <c r="V28" t="str">
        <f>IF(AND(ISNUMBER(L28),COUNTIF([3]Songs!$J:$J,L28)&gt;0),"YES","")</f>
        <v>YES</v>
      </c>
      <c r="W28" t="str">
        <f>IF(AND(ISNUMBER(L28),COUNTIF([1]Songs!$H:$H,L28)&gt;0),"YES","")</f>
        <v/>
      </c>
      <c r="X28" t="s">
        <v>639</v>
      </c>
      <c r="Y28">
        <v>27</v>
      </c>
      <c r="AA28" t="str">
        <f>I28
&amp;IF(H28=I28,""," "&amp;H28)
&amp;IF(OR(R28=I28,R28=H28),""," "&amp;R28)
&amp;IF(R28=S28,""," "&amp;S28)</f>
        <v>A B</v>
      </c>
    </row>
    <row r="29" spans="1:27" x14ac:dyDescent="0.25">
      <c r="A29">
        <v>1</v>
      </c>
      <c r="B29">
        <v>2014</v>
      </c>
      <c r="C29" t="s">
        <v>1001</v>
      </c>
      <c r="D29">
        <v>8</v>
      </c>
      <c r="E29" t="s">
        <v>77</v>
      </c>
      <c r="F29" t="s">
        <v>23</v>
      </c>
      <c r="G29" t="s">
        <v>395</v>
      </c>
      <c r="H29" s="3" t="s">
        <v>39</v>
      </c>
      <c r="I29" s="3" t="s">
        <v>39</v>
      </c>
      <c r="J29" s="4">
        <v>76</v>
      </c>
      <c r="K29" s="4" t="s">
        <v>380</v>
      </c>
      <c r="L29" s="10">
        <v>2306412</v>
      </c>
      <c r="M29" s="4">
        <v>1997</v>
      </c>
      <c r="N29" s="4" t="s">
        <v>396</v>
      </c>
      <c r="O29" t="s">
        <v>945</v>
      </c>
      <c r="P29" s="24" t="s">
        <v>70</v>
      </c>
      <c r="Q29">
        <v>68</v>
      </c>
      <c r="R29" t="s">
        <v>78</v>
      </c>
      <c r="S29" t="s">
        <v>39</v>
      </c>
      <c r="T29" t="s">
        <v>479</v>
      </c>
      <c r="U29" t="str">
        <f>IF(AND(ISNUMBER(L29),COUNTIF([2]Songs!$L:$L,L29)&gt;0),"YES","")</f>
        <v>YES</v>
      </c>
      <c r="V29" t="str">
        <f>IF(AND(ISNUMBER(L29),COUNTIF([3]Songs!$J:$J,L29)&gt;0),"YES","")</f>
        <v>YES</v>
      </c>
      <c r="W29" t="str">
        <f>IF(AND(ISNUMBER(L29),COUNTIF([1]Songs!$H:$H,L29)&gt;0),"YES","")</f>
        <v/>
      </c>
      <c r="X29" t="s">
        <v>639</v>
      </c>
      <c r="Y29">
        <v>28</v>
      </c>
      <c r="AA29" t="str">
        <f>I29
&amp;IF(H29=I29,""," "&amp;H29)
&amp;IF(OR(R29=I29,R29=H29),""," "&amp;R29)
&amp;IF(R29=S29,""," "&amp;S29)</f>
        <v>D Eb D</v>
      </c>
    </row>
    <row r="30" spans="1:27" x14ac:dyDescent="0.25">
      <c r="A30">
        <v>1</v>
      </c>
      <c r="B30">
        <v>2014</v>
      </c>
      <c r="C30" t="s">
        <v>1001</v>
      </c>
      <c r="D30">
        <v>9</v>
      </c>
      <c r="E30" t="s">
        <v>79</v>
      </c>
      <c r="F30" t="s">
        <v>23</v>
      </c>
      <c r="G30" t="s">
        <v>49</v>
      </c>
      <c r="H30" s="3" t="s">
        <v>39</v>
      </c>
      <c r="I30" s="3" t="s">
        <v>39</v>
      </c>
      <c r="J30" s="4">
        <v>122</v>
      </c>
      <c r="K30" s="5" t="s">
        <v>371</v>
      </c>
      <c r="L30" s="10">
        <v>3915912</v>
      </c>
      <c r="M30" s="4">
        <v>2002</v>
      </c>
      <c r="N30" s="4" t="s">
        <v>381</v>
      </c>
      <c r="O30" t="s">
        <v>944</v>
      </c>
      <c r="P30" s="24" t="s">
        <v>49</v>
      </c>
      <c r="Q30">
        <v>120</v>
      </c>
      <c r="R30" t="s">
        <v>78</v>
      </c>
      <c r="S30" t="s">
        <v>39</v>
      </c>
      <c r="T30" t="s">
        <v>479</v>
      </c>
      <c r="U30" t="str">
        <f>IF(AND(ISNUMBER(L30),COUNTIF([2]Songs!$L:$L,L30)&gt;0),"YES","")</f>
        <v>YES</v>
      </c>
      <c r="V30" t="str">
        <f>IF(AND(ISNUMBER(L30),COUNTIF([3]Songs!$J:$J,L30)&gt;0),"YES","")</f>
        <v>YES</v>
      </c>
      <c r="W30" t="str">
        <f>IF(AND(ISNUMBER(L30),COUNTIF([1]Songs!$H:$H,L30)&gt;0),"YES","")</f>
        <v/>
      </c>
      <c r="X30" t="s">
        <v>639</v>
      </c>
      <c r="Y30">
        <v>29</v>
      </c>
      <c r="AA30" t="str">
        <f>I30
&amp;IF(H30=I30,""," "&amp;H30)
&amp;IF(OR(R30=I30,R30=H30),""," "&amp;R30)
&amp;IF(R30=S30,""," "&amp;S30)</f>
        <v>D Eb D</v>
      </c>
    </row>
    <row r="31" spans="1:27" x14ac:dyDescent="0.25">
      <c r="A31">
        <v>1</v>
      </c>
      <c r="B31">
        <v>2014</v>
      </c>
      <c r="C31" t="s">
        <v>1001</v>
      </c>
      <c r="D31">
        <v>10</v>
      </c>
      <c r="E31" t="s">
        <v>80</v>
      </c>
      <c r="F31" t="s">
        <v>23</v>
      </c>
      <c r="G31" t="s">
        <v>397</v>
      </c>
      <c r="H31" s="3" t="s">
        <v>31</v>
      </c>
      <c r="I31" s="3" t="s">
        <v>31</v>
      </c>
      <c r="J31" s="4">
        <v>116</v>
      </c>
      <c r="K31" s="4" t="s">
        <v>371</v>
      </c>
      <c r="L31" s="10">
        <v>3798438</v>
      </c>
      <c r="M31" s="4">
        <v>2002</v>
      </c>
      <c r="N31" s="6" t="s">
        <v>381</v>
      </c>
      <c r="O31" t="s">
        <v>944</v>
      </c>
      <c r="P31" s="24" t="s">
        <v>43</v>
      </c>
      <c r="Q31">
        <v>114</v>
      </c>
      <c r="R31" t="s">
        <v>31</v>
      </c>
      <c r="S31" t="s">
        <v>31</v>
      </c>
      <c r="T31" t="s">
        <v>479</v>
      </c>
      <c r="U31" t="str">
        <f>IF(AND(ISNUMBER(L31),COUNTIF([2]Songs!$L:$L,L31)&gt;0),"YES","")</f>
        <v>YES</v>
      </c>
      <c r="V31" t="str">
        <f>IF(AND(ISNUMBER(L31),COUNTIF([3]Songs!$J:$J,L31)&gt;0),"YES","")</f>
        <v>YES</v>
      </c>
      <c r="W31" t="str">
        <f>IF(AND(ISNUMBER(L31),COUNTIF([1]Songs!$H:$H,L31)&gt;0),"YES","")</f>
        <v/>
      </c>
      <c r="X31" t="s">
        <v>639</v>
      </c>
      <c r="Y31">
        <v>30</v>
      </c>
      <c r="AA31" t="str">
        <f>I31
&amp;IF(H31=I31,""," "&amp;H31)
&amp;IF(OR(R31=I31,R31=H31),""," "&amp;R31)
&amp;IF(R31=S31,""," "&amp;S31)</f>
        <v>B</v>
      </c>
    </row>
    <row r="32" spans="1:27" x14ac:dyDescent="0.25">
      <c r="A32">
        <v>1</v>
      </c>
      <c r="B32">
        <v>2014</v>
      </c>
      <c r="C32" t="s">
        <v>1002</v>
      </c>
      <c r="D32">
        <v>1</v>
      </c>
      <c r="E32" t="s">
        <v>81</v>
      </c>
      <c r="F32" t="s">
        <v>82</v>
      </c>
      <c r="G32" t="s">
        <v>956</v>
      </c>
      <c r="H32" s="3" t="s">
        <v>25</v>
      </c>
      <c r="I32" s="3" t="s">
        <v>67</v>
      </c>
      <c r="J32" s="4">
        <v>68</v>
      </c>
      <c r="K32" s="5" t="s">
        <v>371</v>
      </c>
      <c r="L32" s="10">
        <v>7029507</v>
      </c>
      <c r="M32" s="4">
        <v>2006</v>
      </c>
      <c r="N32" s="6" t="s">
        <v>378</v>
      </c>
      <c r="O32" t="s">
        <v>944</v>
      </c>
      <c r="P32" s="24" t="s">
        <v>46</v>
      </c>
      <c r="Q32">
        <v>104</v>
      </c>
      <c r="R32" t="s">
        <v>52</v>
      </c>
      <c r="S32" t="s">
        <v>52</v>
      </c>
      <c r="T32" t="s">
        <v>479</v>
      </c>
      <c r="U32" t="str">
        <f>IF(AND(ISNUMBER(L32),COUNTIF([2]Songs!$L:$L,L32)&gt;0),"YES","")</f>
        <v/>
      </c>
      <c r="V32" t="str">
        <f>IF(AND(ISNUMBER(L32),COUNTIF([3]Songs!$J:$J,L32)&gt;0),"YES","")</f>
        <v>YES</v>
      </c>
      <c r="W32" t="str">
        <f>IF(AND(ISNUMBER(L32),COUNTIF([1]Songs!$H:$H,L32)&gt;0),"YES","")</f>
        <v/>
      </c>
      <c r="X32" t="s">
        <v>639</v>
      </c>
      <c r="Y32">
        <v>31</v>
      </c>
      <c r="Z32" t="s">
        <v>955</v>
      </c>
      <c r="AA32" t="str">
        <f>I32
&amp;IF(H32=I32,""," "&amp;H32)
&amp;IF(OR(R32=I32,R32=H32),""," "&amp;R32)
&amp;IF(R32=S32,""," "&amp;S32)</f>
        <v>Ab G A</v>
      </c>
    </row>
    <row r="33" spans="1:27" x14ac:dyDescent="0.25">
      <c r="A33">
        <v>1</v>
      </c>
      <c r="B33">
        <v>2014</v>
      </c>
      <c r="C33" t="s">
        <v>1002</v>
      </c>
      <c r="D33">
        <v>2</v>
      </c>
      <c r="E33" t="s">
        <v>83</v>
      </c>
      <c r="F33" t="s">
        <v>23</v>
      </c>
      <c r="G33" t="s">
        <v>964</v>
      </c>
      <c r="H33" s="3" t="s">
        <v>84</v>
      </c>
      <c r="I33" s="3" t="s">
        <v>176</v>
      </c>
      <c r="J33" s="4">
        <v>121</v>
      </c>
      <c r="K33" s="5" t="s">
        <v>371</v>
      </c>
      <c r="L33" s="10">
        <v>5636866</v>
      </c>
      <c r="M33" s="4">
        <v>2009</v>
      </c>
      <c r="N33" s="4" t="s">
        <v>372</v>
      </c>
      <c r="O33" t="s">
        <v>944</v>
      </c>
      <c r="P33" s="24" t="s">
        <v>24</v>
      </c>
      <c r="Q33">
        <v>118</v>
      </c>
      <c r="R33" t="s">
        <v>84</v>
      </c>
      <c r="S33" t="s">
        <v>176</v>
      </c>
      <c r="T33" t="s">
        <v>479</v>
      </c>
      <c r="U33" t="str">
        <f>IF(AND(ISNUMBER(L33),COUNTIF([2]Songs!$L:$L,L33)&gt;0),"YES","")</f>
        <v/>
      </c>
      <c r="V33" t="str">
        <f>IF(AND(ISNUMBER(L33),COUNTIF([3]Songs!$J:$J,L33)&gt;0),"YES","")</f>
        <v>YES</v>
      </c>
      <c r="W33" t="str">
        <f>IF(AND(ISNUMBER(L33),COUNTIF([1]Songs!$H:$H,L33)&gt;0),"YES","")</f>
        <v>YES</v>
      </c>
      <c r="X33" t="s">
        <v>639</v>
      </c>
      <c r="Y33">
        <v>32</v>
      </c>
      <c r="AA33" t="str">
        <f>I33
&amp;IF(H33=I33,""," "&amp;H33)
&amp;IF(OR(R33=I33,R33=H33),""," "&amp;R33)
&amp;IF(R33=S33,""," "&amp;S33)</f>
        <v>F F# F</v>
      </c>
    </row>
    <row r="34" spans="1:27" x14ac:dyDescent="0.25">
      <c r="A34">
        <v>1</v>
      </c>
      <c r="B34">
        <v>2014</v>
      </c>
      <c r="C34" t="s">
        <v>1002</v>
      </c>
      <c r="D34">
        <v>3</v>
      </c>
      <c r="E34" t="s">
        <v>85</v>
      </c>
      <c r="F34" t="s">
        <v>23</v>
      </c>
      <c r="G34" t="s">
        <v>733</v>
      </c>
      <c r="H34" s="3" t="s">
        <v>52</v>
      </c>
      <c r="I34" s="3" t="s">
        <v>52</v>
      </c>
      <c r="J34" s="4">
        <v>84</v>
      </c>
      <c r="K34" s="5" t="s">
        <v>371</v>
      </c>
      <c r="L34" s="10">
        <v>4158039</v>
      </c>
      <c r="M34" s="4">
        <v>2003</v>
      </c>
      <c r="N34" s="6" t="s">
        <v>378</v>
      </c>
      <c r="O34" t="s">
        <v>944</v>
      </c>
      <c r="P34" s="24" t="s">
        <v>46</v>
      </c>
      <c r="Q34">
        <v>77</v>
      </c>
      <c r="R34" t="s">
        <v>25</v>
      </c>
      <c r="S34" t="s">
        <v>25</v>
      </c>
      <c r="T34" t="s">
        <v>479</v>
      </c>
      <c r="U34" t="str">
        <f>IF(AND(ISNUMBER(L34),COUNTIF([2]Songs!$L:$L,L34)&gt;0),"YES","")</f>
        <v/>
      </c>
      <c r="V34" t="str">
        <f>IF(AND(ISNUMBER(L34),COUNTIF([3]Songs!$J:$J,L34)&gt;0),"YES","")</f>
        <v>YES</v>
      </c>
      <c r="W34" t="str">
        <f>IF(AND(ISNUMBER(L34),COUNTIF([1]Songs!$H:$H,L34)&gt;0),"YES","")</f>
        <v/>
      </c>
      <c r="X34" t="s">
        <v>639</v>
      </c>
      <c r="Y34">
        <v>33</v>
      </c>
      <c r="AA34" t="str">
        <f>I34
&amp;IF(H34=I34,""," "&amp;H34)
&amp;IF(OR(R34=I34,R34=H34),""," "&amp;R34)
&amp;IF(R34=S34,""," "&amp;S34)</f>
        <v>A G</v>
      </c>
    </row>
    <row r="35" spans="1:27" x14ac:dyDescent="0.25">
      <c r="A35">
        <v>1</v>
      </c>
      <c r="B35">
        <v>2014</v>
      </c>
      <c r="C35" t="s">
        <v>1002</v>
      </c>
      <c r="D35">
        <v>4</v>
      </c>
      <c r="E35" t="s">
        <v>86</v>
      </c>
      <c r="F35" t="s">
        <v>23</v>
      </c>
      <c r="G35" t="s">
        <v>856</v>
      </c>
      <c r="H35" s="3" t="s">
        <v>25</v>
      </c>
      <c r="I35" s="3" t="s">
        <v>67</v>
      </c>
      <c r="J35" s="4">
        <v>85</v>
      </c>
      <c r="K35" s="5" t="s">
        <v>371</v>
      </c>
      <c r="L35" s="9">
        <v>5925649</v>
      </c>
      <c r="M35" s="4">
        <v>2011</v>
      </c>
      <c r="N35" s="6" t="s">
        <v>857</v>
      </c>
      <c r="O35" t="s">
        <v>944</v>
      </c>
      <c r="P35" s="24" t="s">
        <v>43</v>
      </c>
      <c r="Q35">
        <v>86</v>
      </c>
      <c r="R35" t="s">
        <v>47</v>
      </c>
      <c r="S35" t="s">
        <v>47</v>
      </c>
      <c r="T35" t="s">
        <v>479</v>
      </c>
      <c r="U35" t="str">
        <f>IF(AND(ISNUMBER(L35),COUNTIF([2]Songs!$L:$L,L35)&gt;0),"YES","")</f>
        <v>YES</v>
      </c>
      <c r="V35" t="str">
        <f>IF(AND(ISNUMBER(L35),COUNTIF([3]Songs!$J:$J,L35)&gt;0),"YES","")</f>
        <v>YES</v>
      </c>
      <c r="W35" t="str">
        <f>IF(AND(ISNUMBER(L35),COUNTIF([1]Songs!$H:$H,L35)&gt;0),"YES","")</f>
        <v/>
      </c>
      <c r="X35" t="s">
        <v>639</v>
      </c>
      <c r="Y35">
        <v>34</v>
      </c>
      <c r="AA35" t="str">
        <f>I35
&amp;IF(H35=I35,""," "&amp;H35)
&amp;IF(OR(R35=I35,R35=H35),""," "&amp;R35)
&amp;IF(R35=S35,""," "&amp;S35)</f>
        <v>Ab G C</v>
      </c>
    </row>
    <row r="36" spans="1:27" x14ac:dyDescent="0.25">
      <c r="A36">
        <v>1</v>
      </c>
      <c r="B36">
        <v>2014</v>
      </c>
      <c r="C36" t="s">
        <v>1002</v>
      </c>
      <c r="D36">
        <v>5</v>
      </c>
      <c r="E36" t="s">
        <v>87</v>
      </c>
      <c r="F36" t="s">
        <v>23</v>
      </c>
      <c r="G36" t="s">
        <v>442</v>
      </c>
      <c r="H36" t="s">
        <v>31</v>
      </c>
      <c r="I36" t="s">
        <v>31</v>
      </c>
      <c r="J36" s="4">
        <v>70</v>
      </c>
      <c r="K36" s="12" t="s">
        <v>371</v>
      </c>
      <c r="L36" s="10">
        <v>5881037</v>
      </c>
      <c r="M36" s="4">
        <v>2010</v>
      </c>
      <c r="N36" t="s">
        <v>378</v>
      </c>
      <c r="O36" t="s">
        <v>944</v>
      </c>
      <c r="P36" s="24" t="s">
        <v>35</v>
      </c>
      <c r="Q36">
        <v>72</v>
      </c>
      <c r="R36" t="s">
        <v>47</v>
      </c>
      <c r="S36" t="s">
        <v>47</v>
      </c>
      <c r="T36" t="s">
        <v>479</v>
      </c>
      <c r="U36" t="str">
        <f>IF(AND(ISNUMBER(L36),COUNTIF([2]Songs!$L:$L,L36)&gt;0),"YES","")</f>
        <v/>
      </c>
      <c r="V36" t="str">
        <f>IF(AND(ISNUMBER(L36),COUNTIF([3]Songs!$J:$J,L36)&gt;0),"YES","")</f>
        <v>YES</v>
      </c>
      <c r="W36" t="str">
        <f>IF(AND(ISNUMBER(L36),COUNTIF([1]Songs!$H:$H,L36)&gt;0),"YES","")</f>
        <v/>
      </c>
      <c r="X36" t="s">
        <v>639</v>
      </c>
      <c r="Y36">
        <v>35</v>
      </c>
      <c r="AA36" t="str">
        <f>I36
&amp;IF(H36=I36,""," "&amp;H36)
&amp;IF(OR(R36=I36,R36=H36),""," "&amp;R36)
&amp;IF(R36=S36,""," "&amp;S36)</f>
        <v>B C</v>
      </c>
    </row>
    <row r="37" spans="1:27" x14ac:dyDescent="0.25">
      <c r="A37">
        <v>1</v>
      </c>
      <c r="B37">
        <v>2014</v>
      </c>
      <c r="C37" t="s">
        <v>1002</v>
      </c>
      <c r="D37">
        <v>6</v>
      </c>
      <c r="E37" t="s">
        <v>88</v>
      </c>
      <c r="F37" t="s">
        <v>23</v>
      </c>
      <c r="G37" t="s">
        <v>49</v>
      </c>
      <c r="H37" s="3" t="s">
        <v>36</v>
      </c>
      <c r="I37" s="3" t="s">
        <v>36</v>
      </c>
      <c r="J37" s="4">
        <v>75</v>
      </c>
      <c r="K37" s="4" t="s">
        <v>371</v>
      </c>
      <c r="L37" s="10">
        <v>3266032</v>
      </c>
      <c r="M37" s="4">
        <v>2000</v>
      </c>
      <c r="N37" s="6" t="s">
        <v>381</v>
      </c>
      <c r="O37" t="s">
        <v>944</v>
      </c>
      <c r="P37" s="24" t="s">
        <v>49</v>
      </c>
      <c r="Q37">
        <v>69</v>
      </c>
      <c r="R37" t="s">
        <v>47</v>
      </c>
      <c r="S37" t="s">
        <v>47</v>
      </c>
      <c r="T37" t="s">
        <v>479</v>
      </c>
      <c r="U37" t="str">
        <f>IF(AND(ISNUMBER(L37),COUNTIF([2]Songs!$L:$L,L37)&gt;0),"YES","")</f>
        <v>YES</v>
      </c>
      <c r="V37" t="str">
        <f>IF(AND(ISNUMBER(L37),COUNTIF([3]Songs!$J:$J,L37)&gt;0),"YES","")</f>
        <v>YES</v>
      </c>
      <c r="W37" t="str">
        <f>IF(AND(ISNUMBER(L37),COUNTIF([1]Songs!$H:$H,L37)&gt;0),"YES","")</f>
        <v/>
      </c>
      <c r="X37" t="s">
        <v>639</v>
      </c>
      <c r="Y37">
        <v>36</v>
      </c>
      <c r="AA37" t="str">
        <f>I37
&amp;IF(H37=I37,""," "&amp;H37)
&amp;IF(OR(R37=I37,R37=H37),""," "&amp;R37)
&amp;IF(R37=S37,""," "&amp;S37)</f>
        <v>E C</v>
      </c>
    </row>
    <row r="38" spans="1:27" x14ac:dyDescent="0.25">
      <c r="A38">
        <v>1</v>
      </c>
      <c r="B38">
        <v>2014</v>
      </c>
      <c r="C38" t="s">
        <v>1002</v>
      </c>
      <c r="D38">
        <v>7</v>
      </c>
      <c r="E38" t="s">
        <v>89</v>
      </c>
      <c r="F38" t="s">
        <v>23</v>
      </c>
      <c r="G38" t="s">
        <v>970</v>
      </c>
      <c r="H38" s="3" t="s">
        <v>47</v>
      </c>
      <c r="I38" s="3" t="s">
        <v>47</v>
      </c>
      <c r="J38" s="4">
        <v>56</v>
      </c>
      <c r="K38" s="5" t="s">
        <v>371</v>
      </c>
      <c r="L38" s="10">
        <v>5627772</v>
      </c>
      <c r="M38" s="4">
        <v>2009</v>
      </c>
      <c r="N38" t="s">
        <v>969</v>
      </c>
      <c r="O38" t="s">
        <v>944</v>
      </c>
      <c r="P38" s="24" t="s">
        <v>70</v>
      </c>
      <c r="Q38">
        <v>58</v>
      </c>
      <c r="R38" t="s">
        <v>47</v>
      </c>
      <c r="S38" t="s">
        <v>47</v>
      </c>
      <c r="T38" t="s">
        <v>480</v>
      </c>
      <c r="U38" t="str">
        <f>IF(AND(ISNUMBER(L38),COUNTIF([2]Songs!$L:$L,L38)&gt;0),"YES","")</f>
        <v/>
      </c>
      <c r="V38" t="str">
        <f>IF(AND(ISNUMBER(L38),COUNTIF([3]Songs!$J:$J,L38)&gt;0),"YES","")</f>
        <v>YES</v>
      </c>
      <c r="W38" t="str">
        <f>IF(AND(ISNUMBER(L38),COUNTIF([1]Songs!$H:$H,L38)&gt;0),"YES","")</f>
        <v/>
      </c>
      <c r="X38" t="s">
        <v>639</v>
      </c>
      <c r="Y38">
        <v>37</v>
      </c>
      <c r="AA38" t="str">
        <f>I38
&amp;IF(H38=I38,""," "&amp;H38)
&amp;IF(OR(R38=I38,R38=H38),""," "&amp;R38)
&amp;IF(R38=S38,""," "&amp;S38)</f>
        <v>C</v>
      </c>
    </row>
    <row r="39" spans="1:27" x14ac:dyDescent="0.25">
      <c r="A39">
        <v>1</v>
      </c>
      <c r="B39">
        <v>2014</v>
      </c>
      <c r="C39" t="s">
        <v>1002</v>
      </c>
      <c r="D39">
        <v>8</v>
      </c>
      <c r="E39" t="s">
        <v>90</v>
      </c>
      <c r="F39" t="s">
        <v>23</v>
      </c>
      <c r="G39" t="s">
        <v>398</v>
      </c>
      <c r="H39" s="3" t="s">
        <v>31</v>
      </c>
      <c r="I39" s="3" t="s">
        <v>31</v>
      </c>
      <c r="J39" s="4">
        <v>80</v>
      </c>
      <c r="K39" s="4" t="s">
        <v>371</v>
      </c>
      <c r="L39" s="10">
        <v>4873981</v>
      </c>
      <c r="M39" s="4">
        <v>2007</v>
      </c>
      <c r="N39" s="6" t="s">
        <v>399</v>
      </c>
      <c r="O39" t="s">
        <v>944</v>
      </c>
      <c r="P39" s="24" t="s">
        <v>24</v>
      </c>
      <c r="Q39">
        <v>77</v>
      </c>
      <c r="R39" t="s">
        <v>52</v>
      </c>
      <c r="S39" t="s">
        <v>52</v>
      </c>
      <c r="T39" t="s">
        <v>479</v>
      </c>
      <c r="U39" t="str">
        <f>IF(AND(ISNUMBER(L39),COUNTIF([2]Songs!$L:$L,L39)&gt;0),"YES","")</f>
        <v>YES</v>
      </c>
      <c r="V39" t="str">
        <f>IF(AND(ISNUMBER(L39),COUNTIF([3]Songs!$J:$J,L39)&gt;0),"YES","")</f>
        <v>YES</v>
      </c>
      <c r="W39" t="str">
        <f>IF(AND(ISNUMBER(L39),COUNTIF([1]Songs!$H:$H,L39)&gt;0),"YES","")</f>
        <v>YES</v>
      </c>
      <c r="X39" t="s">
        <v>639</v>
      </c>
      <c r="Y39">
        <v>38</v>
      </c>
      <c r="AA39" t="str">
        <f>I39
&amp;IF(H39=I39,""," "&amp;H39)
&amp;IF(OR(R39=I39,R39=H39),""," "&amp;R39)
&amp;IF(R39=S39,""," "&amp;S39)</f>
        <v>B A</v>
      </c>
    </row>
    <row r="40" spans="1:27" x14ac:dyDescent="0.25">
      <c r="A40">
        <v>1</v>
      </c>
      <c r="B40">
        <v>2014</v>
      </c>
      <c r="C40" t="s">
        <v>1002</v>
      </c>
      <c r="D40">
        <v>9</v>
      </c>
      <c r="E40" t="s">
        <v>91</v>
      </c>
      <c r="F40" t="s">
        <v>92</v>
      </c>
      <c r="G40" t="s">
        <v>957</v>
      </c>
      <c r="H40" s="3" t="s">
        <v>47</v>
      </c>
      <c r="I40" s="3" t="s">
        <v>47</v>
      </c>
      <c r="J40" s="4">
        <v>82</v>
      </c>
      <c r="K40" s="5" t="s">
        <v>371</v>
      </c>
      <c r="L40" s="10">
        <v>7029513</v>
      </c>
      <c r="M40" s="4">
        <v>1873</v>
      </c>
      <c r="N40" s="6" t="s">
        <v>401</v>
      </c>
      <c r="O40" t="s">
        <v>92</v>
      </c>
      <c r="P40" s="24" t="s">
        <v>1</v>
      </c>
      <c r="Q40">
        <v>68</v>
      </c>
      <c r="R40" t="s">
        <v>93</v>
      </c>
      <c r="S40" t="s">
        <v>47</v>
      </c>
      <c r="T40" t="s">
        <v>479</v>
      </c>
      <c r="U40" t="str">
        <f>IF(AND(ISNUMBER(L40),COUNTIF([2]Songs!$L:$L,L40)&gt;0),"YES","")</f>
        <v/>
      </c>
      <c r="V40" t="str">
        <f>IF(AND(ISNUMBER(L40),COUNTIF([3]Songs!$J:$J,L40)&gt;0),"YES","")</f>
        <v>YES</v>
      </c>
      <c r="W40" t="str">
        <f>IF(AND(ISNUMBER(L40),COUNTIF([1]Songs!$H:$H,L40)&gt;0),"YES","")</f>
        <v/>
      </c>
      <c r="X40" t="s">
        <v>639</v>
      </c>
      <c r="Y40">
        <v>39</v>
      </c>
      <c r="Z40" t="s">
        <v>958</v>
      </c>
      <c r="AA40" t="str">
        <f>I40
&amp;IF(H40=I40,""," "&amp;H40)
&amp;IF(OR(R40=I40,R40=H40),""," "&amp;R40)
&amp;IF(R40=S40,""," "&amp;S40)</f>
        <v>C Db C</v>
      </c>
    </row>
    <row r="41" spans="1:27" x14ac:dyDescent="0.25">
      <c r="A41">
        <v>1</v>
      </c>
      <c r="B41">
        <v>2014</v>
      </c>
      <c r="C41" t="s">
        <v>1002</v>
      </c>
      <c r="D41">
        <v>10</v>
      </c>
      <c r="E41" t="s">
        <v>94</v>
      </c>
      <c r="F41" t="s">
        <v>95</v>
      </c>
      <c r="G41" t="s">
        <v>963</v>
      </c>
      <c r="H41" s="3" t="s">
        <v>52</v>
      </c>
      <c r="I41" s="3" t="s">
        <v>28</v>
      </c>
      <c r="J41" s="4">
        <v>116</v>
      </c>
      <c r="K41" s="5" t="s">
        <v>371</v>
      </c>
      <c r="L41" s="10">
        <v>4158022</v>
      </c>
      <c r="M41" s="4">
        <v>2003</v>
      </c>
      <c r="N41" s="4" t="s">
        <v>378</v>
      </c>
      <c r="O41" t="s">
        <v>944</v>
      </c>
      <c r="P41" s="24" t="s">
        <v>96</v>
      </c>
      <c r="Q41">
        <v>115</v>
      </c>
      <c r="R41" t="s">
        <v>28</v>
      </c>
      <c r="S41" t="s">
        <v>52</v>
      </c>
      <c r="T41" t="s">
        <v>479</v>
      </c>
      <c r="U41" t="str">
        <f>IF(AND(ISNUMBER(L41),COUNTIF([2]Songs!$L:$L,L41)&gt;0),"YES","")</f>
        <v/>
      </c>
      <c r="V41" t="str">
        <f>IF(AND(ISNUMBER(L41),COUNTIF([3]Songs!$J:$J,L41)&gt;0),"YES","")</f>
        <v>YES</v>
      </c>
      <c r="W41" t="str">
        <f>IF(AND(ISNUMBER(L41),COUNTIF([1]Songs!$H:$H,L41)&gt;0),"YES","")</f>
        <v/>
      </c>
      <c r="X41" t="s">
        <v>639</v>
      </c>
      <c r="Y41">
        <v>40</v>
      </c>
      <c r="AA41" t="str">
        <f>I41
&amp;IF(H41=I41,""," "&amp;H41)
&amp;IF(OR(R41=I41,R41=H41),""," "&amp;R41)
&amp;IF(R41=S41,""," "&amp;S41)</f>
        <v>Bb A A</v>
      </c>
    </row>
    <row r="42" spans="1:27" x14ac:dyDescent="0.25">
      <c r="A42">
        <v>1</v>
      </c>
      <c r="B42">
        <v>2014</v>
      </c>
      <c r="C42" t="s">
        <v>1003</v>
      </c>
      <c r="D42">
        <v>1</v>
      </c>
      <c r="E42" t="s">
        <v>97</v>
      </c>
      <c r="F42" t="s">
        <v>23</v>
      </c>
      <c r="G42" t="s">
        <v>400</v>
      </c>
      <c r="H42" s="3" t="s">
        <v>47</v>
      </c>
      <c r="I42" s="3" t="s">
        <v>47</v>
      </c>
      <c r="J42" s="4">
        <v>71</v>
      </c>
      <c r="K42" s="4" t="s">
        <v>371</v>
      </c>
      <c r="L42" s="10">
        <v>6158927</v>
      </c>
      <c r="M42" s="4">
        <v>2011</v>
      </c>
      <c r="N42" s="6" t="s">
        <v>372</v>
      </c>
      <c r="O42" t="s">
        <v>944</v>
      </c>
      <c r="P42" s="24" t="s">
        <v>24</v>
      </c>
      <c r="Q42">
        <v>68</v>
      </c>
      <c r="R42" t="s">
        <v>47</v>
      </c>
      <c r="S42" t="s">
        <v>47</v>
      </c>
      <c r="T42" t="s">
        <v>479</v>
      </c>
      <c r="U42" t="str">
        <f>IF(AND(ISNUMBER(L42),COUNTIF([2]Songs!$L:$L,L42)&gt;0),"YES","")</f>
        <v>YES</v>
      </c>
      <c r="V42" t="str">
        <f>IF(AND(ISNUMBER(L42),COUNTIF([3]Songs!$J:$J,L42)&gt;0),"YES","")</f>
        <v>YES</v>
      </c>
      <c r="W42" t="str">
        <f>IF(AND(ISNUMBER(L42),COUNTIF([1]Songs!$H:$H,L42)&gt;0),"YES","")</f>
        <v>YES</v>
      </c>
      <c r="X42" t="s">
        <v>639</v>
      </c>
      <c r="Y42">
        <v>41</v>
      </c>
      <c r="AA42" t="str">
        <f>I42
&amp;IF(H42=I42,""," "&amp;H42)
&amp;IF(OR(R42=I42,R42=H42),""," "&amp;R42)
&amp;IF(R42=S42,""," "&amp;S42)</f>
        <v>C</v>
      </c>
    </row>
    <row r="43" spans="1:27" x14ac:dyDescent="0.25">
      <c r="A43">
        <v>1</v>
      </c>
      <c r="B43">
        <v>2014</v>
      </c>
      <c r="C43" t="s">
        <v>1003</v>
      </c>
      <c r="D43">
        <v>2</v>
      </c>
      <c r="E43" t="s">
        <v>98</v>
      </c>
      <c r="F43" t="s">
        <v>23</v>
      </c>
      <c r="G43" t="s">
        <v>965</v>
      </c>
      <c r="H43" s="3" t="s">
        <v>52</v>
      </c>
      <c r="I43" t="s">
        <v>52</v>
      </c>
      <c r="J43" s="4">
        <v>72</v>
      </c>
      <c r="K43" s="5" t="s">
        <v>371</v>
      </c>
      <c r="L43" s="10">
        <v>5207587</v>
      </c>
      <c r="M43" s="4">
        <v>2008</v>
      </c>
      <c r="N43" t="s">
        <v>966</v>
      </c>
      <c r="O43" t="s">
        <v>944</v>
      </c>
      <c r="P43" s="24" t="s">
        <v>99</v>
      </c>
      <c r="Q43">
        <v>71</v>
      </c>
      <c r="R43" t="s">
        <v>47</v>
      </c>
      <c r="S43" t="s">
        <v>47</v>
      </c>
      <c r="T43" t="s">
        <v>479</v>
      </c>
      <c r="U43" t="str">
        <f>IF(AND(ISNUMBER(L43),COUNTIF([2]Songs!$L:$L,L43)&gt;0),"YES","")</f>
        <v/>
      </c>
      <c r="V43" t="str">
        <f>IF(AND(ISNUMBER(L43),COUNTIF([3]Songs!$J:$J,L43)&gt;0),"YES","")</f>
        <v>YES</v>
      </c>
      <c r="W43" t="str">
        <f>IF(AND(ISNUMBER(L43),COUNTIF([1]Songs!$H:$H,L43)&gt;0),"YES","")</f>
        <v/>
      </c>
      <c r="X43" t="s">
        <v>639</v>
      </c>
      <c r="Y43">
        <v>42</v>
      </c>
      <c r="AA43" t="str">
        <f>I43
&amp;IF(H43=I43,""," "&amp;H43)
&amp;IF(OR(R43=I43,R43=H43),""," "&amp;R43)
&amp;IF(R43=S43,""," "&amp;S43)</f>
        <v>A C</v>
      </c>
    </row>
    <row r="44" spans="1:27" x14ac:dyDescent="0.25">
      <c r="A44">
        <v>1</v>
      </c>
      <c r="B44">
        <v>2014</v>
      </c>
      <c r="C44" t="s">
        <v>1003</v>
      </c>
      <c r="D44">
        <v>3</v>
      </c>
      <c r="E44" t="s">
        <v>100</v>
      </c>
      <c r="F44" t="s">
        <v>23</v>
      </c>
      <c r="G44" t="s">
        <v>27</v>
      </c>
      <c r="H44" s="3" t="s">
        <v>52</v>
      </c>
      <c r="I44" s="3" t="s">
        <v>52</v>
      </c>
      <c r="J44" s="4">
        <v>78</v>
      </c>
      <c r="K44" s="5" t="s">
        <v>371</v>
      </c>
      <c r="L44" s="10">
        <v>5124055</v>
      </c>
      <c r="M44" s="4">
        <v>2006</v>
      </c>
      <c r="N44" t="s">
        <v>374</v>
      </c>
      <c r="O44" t="s">
        <v>944</v>
      </c>
      <c r="P44" s="24" t="s">
        <v>27</v>
      </c>
      <c r="Q44">
        <v>79</v>
      </c>
      <c r="R44" t="s">
        <v>25</v>
      </c>
      <c r="S44" t="s">
        <v>25</v>
      </c>
      <c r="T44" t="s">
        <v>479</v>
      </c>
      <c r="U44" t="str">
        <f>IF(AND(ISNUMBER(L44),COUNTIF([2]Songs!$L:$L,L44)&gt;0),"YES","")</f>
        <v/>
      </c>
      <c r="V44" t="str">
        <f>IF(AND(ISNUMBER(L44),COUNTIF([3]Songs!$J:$J,L44)&gt;0),"YES","")</f>
        <v>YES</v>
      </c>
      <c r="W44" t="str">
        <f>IF(AND(ISNUMBER(L44),COUNTIF([1]Songs!$H:$H,L44)&gt;0),"YES","")</f>
        <v/>
      </c>
      <c r="X44" t="s">
        <v>639</v>
      </c>
      <c r="Y44">
        <v>43</v>
      </c>
      <c r="AA44" t="str">
        <f>I44
&amp;IF(H44=I44,""," "&amp;H44)
&amp;IF(OR(R44=I44,R44=H44),""," "&amp;R44)
&amp;IF(R44=S44,""," "&amp;S44)</f>
        <v>A G</v>
      </c>
    </row>
    <row r="45" spans="1:27" x14ac:dyDescent="0.25">
      <c r="A45">
        <v>1</v>
      </c>
      <c r="B45">
        <v>2014</v>
      </c>
      <c r="C45" t="s">
        <v>1003</v>
      </c>
      <c r="D45">
        <v>4</v>
      </c>
      <c r="E45" t="s">
        <v>101</v>
      </c>
      <c r="F45" t="s">
        <v>23</v>
      </c>
      <c r="G45" t="s">
        <v>968</v>
      </c>
      <c r="H45" s="3" t="s">
        <v>52</v>
      </c>
      <c r="I45" s="3" t="s">
        <v>28</v>
      </c>
      <c r="J45" s="4">
        <v>57</v>
      </c>
      <c r="K45" s="5" t="s">
        <v>371</v>
      </c>
      <c r="L45" s="10">
        <v>6590798</v>
      </c>
      <c r="M45" s="4">
        <v>2013</v>
      </c>
      <c r="N45" t="s">
        <v>969</v>
      </c>
      <c r="O45" t="s">
        <v>944</v>
      </c>
      <c r="P45" s="24" t="s">
        <v>70</v>
      </c>
      <c r="Q45">
        <v>58</v>
      </c>
      <c r="R45" t="s">
        <v>25</v>
      </c>
      <c r="S45" t="s">
        <v>25</v>
      </c>
      <c r="T45" t="s">
        <v>479</v>
      </c>
      <c r="U45" t="str">
        <f>IF(AND(ISNUMBER(L45),COUNTIF([2]Songs!$L:$L,L45)&gt;0),"YES","")</f>
        <v/>
      </c>
      <c r="V45" t="str">
        <f>IF(AND(ISNUMBER(L45),COUNTIF([3]Songs!$J:$J,L45)&gt;0),"YES","")</f>
        <v>YES</v>
      </c>
      <c r="W45" t="str">
        <f>IF(AND(ISNUMBER(L45),COUNTIF([1]Songs!$H:$H,L45)&gt;0),"YES","")</f>
        <v/>
      </c>
      <c r="X45" t="s">
        <v>639</v>
      </c>
      <c r="Y45">
        <v>44</v>
      </c>
      <c r="AA45" t="str">
        <f>I45
&amp;IF(H45=I45,""," "&amp;H45)
&amp;IF(OR(R45=I45,R45=H45),""," "&amp;R45)
&amp;IF(R45=S45,""," "&amp;S45)</f>
        <v>Bb A G</v>
      </c>
    </row>
    <row r="46" spans="1:27" x14ac:dyDescent="0.25">
      <c r="A46">
        <v>1</v>
      </c>
      <c r="B46">
        <v>2014</v>
      </c>
      <c r="C46" t="s">
        <v>1003</v>
      </c>
      <c r="D46">
        <v>5</v>
      </c>
      <c r="E46" t="s">
        <v>102</v>
      </c>
      <c r="F46" t="s">
        <v>23</v>
      </c>
      <c r="G46" t="s">
        <v>961</v>
      </c>
      <c r="H46" s="3" t="s">
        <v>25</v>
      </c>
      <c r="I46" s="3" t="s">
        <v>67</v>
      </c>
      <c r="J46" s="4">
        <v>90</v>
      </c>
      <c r="K46" s="5" t="s">
        <v>371</v>
      </c>
      <c r="L46" s="10">
        <v>3040980</v>
      </c>
      <c r="M46" s="4">
        <v>2000</v>
      </c>
      <c r="N46" s="4" t="s">
        <v>381</v>
      </c>
      <c r="O46" t="s">
        <v>944</v>
      </c>
      <c r="P46" s="24" t="s">
        <v>43</v>
      </c>
      <c r="Q46">
        <v>71</v>
      </c>
      <c r="R46" t="s">
        <v>52</v>
      </c>
      <c r="S46" t="s">
        <v>52</v>
      </c>
      <c r="T46" t="s">
        <v>479</v>
      </c>
      <c r="U46" t="str">
        <f>IF(AND(ISNUMBER(L46),COUNTIF([2]Songs!$L:$L,L46)&gt;0),"YES","")</f>
        <v/>
      </c>
      <c r="V46" t="str">
        <f>IF(AND(ISNUMBER(L46),COUNTIF([3]Songs!$J:$J,L46)&gt;0),"YES","")</f>
        <v>YES</v>
      </c>
      <c r="W46" t="str">
        <f>IF(AND(ISNUMBER(L46),COUNTIF([1]Songs!$H:$H,L46)&gt;0),"YES","")</f>
        <v/>
      </c>
      <c r="X46" t="s">
        <v>639</v>
      </c>
      <c r="Y46">
        <v>45</v>
      </c>
      <c r="AA46" t="str">
        <f>I46
&amp;IF(H46=I46,""," "&amp;H46)
&amp;IF(OR(R46=I46,R46=H46),""," "&amp;R46)
&amp;IF(R46=S46,""," "&amp;S46)</f>
        <v>Ab G A</v>
      </c>
    </row>
    <row r="47" spans="1:27" x14ac:dyDescent="0.25">
      <c r="A47">
        <v>1</v>
      </c>
      <c r="B47">
        <v>2014</v>
      </c>
      <c r="C47" t="s">
        <v>1003</v>
      </c>
      <c r="D47">
        <v>6</v>
      </c>
      <c r="E47" t="s">
        <v>103</v>
      </c>
      <c r="F47" t="s">
        <v>23</v>
      </c>
      <c r="G47" t="s">
        <v>954</v>
      </c>
      <c r="H47" s="3" t="s">
        <v>36</v>
      </c>
      <c r="I47" s="3" t="s">
        <v>36</v>
      </c>
      <c r="J47" s="4">
        <v>78</v>
      </c>
      <c r="K47" s="5" t="s">
        <v>371</v>
      </c>
      <c r="L47" s="10">
        <v>5880784</v>
      </c>
      <c r="M47" s="4">
        <v>2011</v>
      </c>
      <c r="N47" s="6" t="s">
        <v>403</v>
      </c>
      <c r="O47" t="s">
        <v>944</v>
      </c>
      <c r="P47" s="24" t="s">
        <v>30</v>
      </c>
      <c r="Q47">
        <v>78</v>
      </c>
      <c r="R47" t="s">
        <v>52</v>
      </c>
      <c r="S47" t="s">
        <v>52</v>
      </c>
      <c r="T47" t="s">
        <v>479</v>
      </c>
      <c r="U47" t="str">
        <f>IF(AND(ISNUMBER(L47),COUNTIF([2]Songs!$L:$L,L47)&gt;0),"YES","")</f>
        <v/>
      </c>
      <c r="V47" t="str">
        <f>IF(AND(ISNUMBER(L47),COUNTIF([3]Songs!$J:$J,L47)&gt;0),"YES","")</f>
        <v>YES</v>
      </c>
      <c r="W47" t="str">
        <f>IF(AND(ISNUMBER(L47),COUNTIF([1]Songs!$H:$H,L47)&gt;0),"YES","")</f>
        <v/>
      </c>
      <c r="X47" t="s">
        <v>639</v>
      </c>
      <c r="Y47">
        <v>46</v>
      </c>
      <c r="AA47" t="str">
        <f>I47
&amp;IF(H47=I47,""," "&amp;H47)
&amp;IF(OR(R47=I47,R47=H47),""," "&amp;R47)
&amp;IF(R47=S47,""," "&amp;S47)</f>
        <v>E A</v>
      </c>
    </row>
    <row r="48" spans="1:27" x14ac:dyDescent="0.25">
      <c r="A48">
        <v>1</v>
      </c>
      <c r="B48">
        <v>2014</v>
      </c>
      <c r="C48" t="s">
        <v>1003</v>
      </c>
      <c r="D48">
        <v>7</v>
      </c>
      <c r="E48" t="s">
        <v>104</v>
      </c>
      <c r="F48" t="s">
        <v>23</v>
      </c>
      <c r="G48" t="s">
        <v>117</v>
      </c>
      <c r="H48" s="3" t="s">
        <v>25</v>
      </c>
      <c r="I48" s="3" t="s">
        <v>67</v>
      </c>
      <c r="J48" s="4">
        <v>75</v>
      </c>
      <c r="K48" s="5" t="s">
        <v>371</v>
      </c>
      <c r="L48" s="10">
        <v>2060208</v>
      </c>
      <c r="M48" s="4">
        <v>200</v>
      </c>
      <c r="N48" s="6" t="s">
        <v>378</v>
      </c>
      <c r="O48" t="s">
        <v>944</v>
      </c>
      <c r="P48" s="24" t="s">
        <v>46</v>
      </c>
      <c r="Q48">
        <v>73</v>
      </c>
      <c r="R48" t="s">
        <v>52</v>
      </c>
      <c r="S48" t="s">
        <v>52</v>
      </c>
      <c r="T48" t="s">
        <v>479</v>
      </c>
      <c r="U48" t="str">
        <f>IF(AND(ISNUMBER(L48),COUNTIF([2]Songs!$L:$L,L48)&gt;0),"YES","")</f>
        <v/>
      </c>
      <c r="V48" t="str">
        <f>IF(AND(ISNUMBER(L48),COUNTIF([3]Songs!$J:$J,L48)&gt;0),"YES","")</f>
        <v>YES</v>
      </c>
      <c r="W48" t="str">
        <f>IF(AND(ISNUMBER(L48),COUNTIF([1]Songs!$H:$H,L48)&gt;0),"YES","")</f>
        <v/>
      </c>
      <c r="X48" t="s">
        <v>639</v>
      </c>
      <c r="Y48">
        <v>47</v>
      </c>
      <c r="AA48" t="str">
        <f>I48
&amp;IF(H48=I48,""," "&amp;H48)
&amp;IF(OR(R48=I48,R48=H48),""," "&amp;R48)
&amp;IF(R48=S48,""," "&amp;S48)</f>
        <v>Ab G A</v>
      </c>
    </row>
    <row r="49" spans="1:27" x14ac:dyDescent="0.25">
      <c r="A49">
        <v>1</v>
      </c>
      <c r="B49">
        <v>2014</v>
      </c>
      <c r="C49" t="s">
        <v>1003</v>
      </c>
      <c r="D49">
        <v>8</v>
      </c>
      <c r="E49" t="s">
        <v>105</v>
      </c>
      <c r="F49" t="s">
        <v>23</v>
      </c>
      <c r="G49" t="s">
        <v>959</v>
      </c>
      <c r="H49" s="3" t="s">
        <v>31</v>
      </c>
      <c r="I49" s="3" t="s">
        <v>31</v>
      </c>
      <c r="J49" s="4">
        <v>80</v>
      </c>
      <c r="K49" s="5" t="s">
        <v>380</v>
      </c>
      <c r="L49" s="10">
        <v>4689508</v>
      </c>
      <c r="M49" s="4">
        <v>2006</v>
      </c>
      <c r="N49" s="6" t="s">
        <v>960</v>
      </c>
      <c r="O49" t="s">
        <v>944</v>
      </c>
      <c r="P49" s="24" t="s">
        <v>35</v>
      </c>
      <c r="Q49">
        <v>70</v>
      </c>
      <c r="R49" t="s">
        <v>39</v>
      </c>
      <c r="S49" t="s">
        <v>39</v>
      </c>
      <c r="T49" t="s">
        <v>479</v>
      </c>
      <c r="U49" t="str">
        <f>IF(AND(ISNUMBER(L49),COUNTIF([2]Songs!$L:$L,L49)&gt;0),"YES","")</f>
        <v/>
      </c>
      <c r="V49" t="str">
        <f>IF(AND(ISNUMBER(L49),COUNTIF([3]Songs!$J:$J,L49)&gt;0),"YES","")</f>
        <v>YES</v>
      </c>
      <c r="W49" t="str">
        <f>IF(AND(ISNUMBER(L49),COUNTIF([1]Songs!$H:$H,L49)&gt;0),"YES","")</f>
        <v/>
      </c>
      <c r="X49" t="s">
        <v>639</v>
      </c>
      <c r="Y49">
        <v>48</v>
      </c>
      <c r="AA49" t="str">
        <f>I49
&amp;IF(H49=I49,""," "&amp;H49)
&amp;IF(OR(R49=I49,R49=H49),""," "&amp;R49)
&amp;IF(R49=S49,""," "&amp;S49)</f>
        <v>B D</v>
      </c>
    </row>
    <row r="50" spans="1:27" x14ac:dyDescent="0.25">
      <c r="A50">
        <v>1</v>
      </c>
      <c r="B50">
        <v>2014</v>
      </c>
      <c r="C50" t="s">
        <v>1003</v>
      </c>
      <c r="D50">
        <v>9</v>
      </c>
      <c r="E50" t="s">
        <v>106</v>
      </c>
      <c r="F50" t="s">
        <v>23</v>
      </c>
      <c r="G50" t="s">
        <v>402</v>
      </c>
      <c r="H50" s="3" t="s">
        <v>47</v>
      </c>
      <c r="I50" s="3" t="s">
        <v>47</v>
      </c>
      <c r="J50" s="4">
        <v>75</v>
      </c>
      <c r="K50" s="5" t="s">
        <v>371</v>
      </c>
      <c r="L50" s="10">
        <v>5393329</v>
      </c>
      <c r="M50" s="4">
        <v>2008</v>
      </c>
      <c r="N50" s="4" t="s">
        <v>403</v>
      </c>
      <c r="O50" t="s">
        <v>944</v>
      </c>
      <c r="P50" s="24" t="s">
        <v>107</v>
      </c>
      <c r="Q50">
        <v>75</v>
      </c>
      <c r="R50" t="s">
        <v>84</v>
      </c>
      <c r="S50" t="s">
        <v>176</v>
      </c>
      <c r="T50" t="s">
        <v>479</v>
      </c>
      <c r="U50" t="str">
        <f>IF(AND(ISNUMBER(L50),COUNTIF([2]Songs!$L:$L,L50)&gt;0),"YES","")</f>
        <v>YES</v>
      </c>
      <c r="V50" t="str">
        <f>IF(AND(ISNUMBER(L50),COUNTIF([3]Songs!$J:$J,L50)&gt;0),"YES","")</f>
        <v>YES</v>
      </c>
      <c r="W50" t="str">
        <f>IF(AND(ISNUMBER(L50),COUNTIF([1]Songs!$H:$H,L50)&gt;0),"YES","")</f>
        <v/>
      </c>
      <c r="X50" t="s">
        <v>639</v>
      </c>
      <c r="Y50">
        <v>49</v>
      </c>
      <c r="AA50" t="str">
        <f>I50
&amp;IF(H50=I50,""," "&amp;H50)
&amp;IF(OR(R50=I50,R50=H50),""," "&amp;R50)
&amp;IF(R50=S50,""," "&amp;S50)</f>
        <v>C F# F</v>
      </c>
    </row>
    <row r="51" spans="1:27" x14ac:dyDescent="0.25">
      <c r="A51">
        <v>1</v>
      </c>
      <c r="B51">
        <v>2014</v>
      </c>
      <c r="C51" t="s">
        <v>1003</v>
      </c>
      <c r="D51">
        <v>10</v>
      </c>
      <c r="E51" t="s">
        <v>108</v>
      </c>
      <c r="F51" t="s">
        <v>23</v>
      </c>
      <c r="G51" t="s">
        <v>404</v>
      </c>
      <c r="H51" s="3" t="s">
        <v>39</v>
      </c>
      <c r="I51" s="3" t="s">
        <v>39</v>
      </c>
      <c r="J51" s="4">
        <v>88</v>
      </c>
      <c r="K51" s="5" t="s">
        <v>371</v>
      </c>
      <c r="L51" s="10">
        <v>3148435</v>
      </c>
      <c r="M51" s="4">
        <v>2000</v>
      </c>
      <c r="N51" s="4" t="s">
        <v>378</v>
      </c>
      <c r="O51" t="s">
        <v>944</v>
      </c>
      <c r="P51" s="24" t="s">
        <v>46</v>
      </c>
      <c r="Q51">
        <v>88</v>
      </c>
      <c r="R51" t="s">
        <v>36</v>
      </c>
      <c r="S51" t="s">
        <v>36</v>
      </c>
      <c r="T51" t="s">
        <v>479</v>
      </c>
      <c r="U51" t="str">
        <f>IF(AND(ISNUMBER(L51),COUNTIF([2]Songs!$L:$L,L51)&gt;0),"YES","")</f>
        <v>YES</v>
      </c>
      <c r="V51" t="str">
        <f>IF(AND(ISNUMBER(L51),COUNTIF([3]Songs!$J:$J,L51)&gt;0),"YES","")</f>
        <v>YES</v>
      </c>
      <c r="W51" t="str">
        <f>IF(AND(ISNUMBER(L51),COUNTIF([1]Songs!$H:$H,L51)&gt;0),"YES","")</f>
        <v/>
      </c>
      <c r="X51" t="s">
        <v>639</v>
      </c>
      <c r="Y51">
        <v>50</v>
      </c>
      <c r="AA51" t="str">
        <f>I51
&amp;IF(H51=I51,""," "&amp;H51)
&amp;IF(OR(R51=I51,R51=H51),""," "&amp;R51)
&amp;IF(R51=S51,""," "&amp;S51)</f>
        <v>D E</v>
      </c>
    </row>
    <row r="52" spans="1:27" x14ac:dyDescent="0.25">
      <c r="A52">
        <v>1</v>
      </c>
      <c r="B52">
        <v>2014</v>
      </c>
      <c r="C52" t="s">
        <v>1004</v>
      </c>
      <c r="D52">
        <v>1</v>
      </c>
      <c r="E52" t="s">
        <v>109</v>
      </c>
      <c r="F52" t="s">
        <v>23</v>
      </c>
      <c r="G52" t="s">
        <v>405</v>
      </c>
      <c r="H52" s="3" t="s">
        <v>25</v>
      </c>
      <c r="I52" s="3" t="s">
        <v>67</v>
      </c>
      <c r="J52" s="4">
        <v>96</v>
      </c>
      <c r="K52" s="5" t="s">
        <v>371</v>
      </c>
      <c r="L52" s="10">
        <v>16880</v>
      </c>
      <c r="M52" s="4">
        <v>1971</v>
      </c>
      <c r="N52" s="4" t="s">
        <v>406</v>
      </c>
      <c r="O52" t="s">
        <v>945</v>
      </c>
      <c r="P52" s="24" t="s">
        <v>110</v>
      </c>
      <c r="Q52">
        <v>118</v>
      </c>
      <c r="R52" t="s">
        <v>52</v>
      </c>
      <c r="S52" t="s">
        <v>52</v>
      </c>
      <c r="T52" t="s">
        <v>479</v>
      </c>
      <c r="U52" t="str">
        <f>IF(AND(ISNUMBER(L52),COUNTIF([2]Songs!$L:$L,L52)&gt;0),"YES","")</f>
        <v>YES</v>
      </c>
      <c r="V52" t="str">
        <f>IF(AND(ISNUMBER(L52),COUNTIF([3]Songs!$J:$J,L52)&gt;0),"YES","")</f>
        <v>YES</v>
      </c>
      <c r="W52" t="str">
        <f>IF(AND(ISNUMBER(L52),COUNTIF([1]Songs!$H:$H,L52)&gt;0),"YES","")</f>
        <v/>
      </c>
      <c r="X52" t="s">
        <v>639</v>
      </c>
      <c r="Y52">
        <v>51</v>
      </c>
      <c r="AA52" t="str">
        <f>I52
&amp;IF(H52=I52,""," "&amp;H52)
&amp;IF(OR(R52=I52,R52=H52),""," "&amp;R52)
&amp;IF(R52=S52,""," "&amp;S52)</f>
        <v>Ab G A</v>
      </c>
    </row>
    <row r="53" spans="1:27" x14ac:dyDescent="0.25">
      <c r="A53">
        <v>1</v>
      </c>
      <c r="B53">
        <v>2014</v>
      </c>
      <c r="C53" t="s">
        <v>1004</v>
      </c>
      <c r="D53">
        <v>2</v>
      </c>
      <c r="E53" t="s">
        <v>111</v>
      </c>
      <c r="F53" t="s">
        <v>23</v>
      </c>
      <c r="L53" s="10">
        <v>7029241</v>
      </c>
      <c r="P53" s="24" t="s">
        <v>70</v>
      </c>
      <c r="Q53">
        <v>70</v>
      </c>
      <c r="R53" t="s">
        <v>52</v>
      </c>
      <c r="S53" t="s">
        <v>52</v>
      </c>
      <c r="T53" t="s">
        <v>327</v>
      </c>
      <c r="U53" t="str">
        <f>IF(AND(ISNUMBER(L53),COUNTIF([2]Songs!$L:$L,L53)&gt;0),"YES","")</f>
        <v/>
      </c>
      <c r="V53" t="str">
        <f>IF(AND(ISNUMBER(L53),COUNTIF([3]Songs!$J:$J,L53)&gt;0),"YES","")</f>
        <v>YES</v>
      </c>
      <c r="W53" t="str">
        <f>IF(AND(ISNUMBER(L53),COUNTIF([1]Songs!$H:$H,L53)&gt;0),"YES","")</f>
        <v/>
      </c>
      <c r="X53" t="s">
        <v>639</v>
      </c>
      <c r="Y53">
        <v>52</v>
      </c>
      <c r="AA53" t="str">
        <f>I53
&amp;IF(H53=I53,""," "&amp;H53)
&amp;IF(OR(R53=I53,R53=H53),""," "&amp;R53)
&amp;IF(R53=S53,""," "&amp;S53)</f>
        <v xml:space="preserve"> A</v>
      </c>
    </row>
    <row r="54" spans="1:27" x14ac:dyDescent="0.25">
      <c r="A54">
        <v>1</v>
      </c>
      <c r="B54">
        <v>2014</v>
      </c>
      <c r="C54" t="s">
        <v>1004</v>
      </c>
      <c r="D54">
        <v>3</v>
      </c>
      <c r="E54" t="s">
        <v>112</v>
      </c>
      <c r="F54" t="s">
        <v>23</v>
      </c>
      <c r="G54" t="s">
        <v>407</v>
      </c>
      <c r="H54" s="3" t="s">
        <v>39</v>
      </c>
      <c r="I54" s="3" t="s">
        <v>39</v>
      </c>
      <c r="J54" s="4">
        <v>60</v>
      </c>
      <c r="K54" s="5" t="s">
        <v>371</v>
      </c>
      <c r="L54" s="10">
        <v>4447960</v>
      </c>
      <c r="M54" s="4">
        <v>2004</v>
      </c>
      <c r="N54" s="6" t="s">
        <v>408</v>
      </c>
      <c r="O54" t="s">
        <v>944</v>
      </c>
      <c r="P54" s="24" t="s">
        <v>113</v>
      </c>
      <c r="Q54">
        <v>64</v>
      </c>
      <c r="R54" t="s">
        <v>36</v>
      </c>
      <c r="S54" t="s">
        <v>36</v>
      </c>
      <c r="T54" t="s">
        <v>479</v>
      </c>
      <c r="U54" t="str">
        <f>IF(AND(ISNUMBER(L54),COUNTIF([2]Songs!$L:$L,L54)&gt;0),"YES","")</f>
        <v>YES</v>
      </c>
      <c r="V54" t="str">
        <f>IF(AND(ISNUMBER(L54),COUNTIF([3]Songs!$J:$J,L54)&gt;0),"YES","")</f>
        <v>YES</v>
      </c>
      <c r="W54" t="str">
        <f>IF(AND(ISNUMBER(L54),COUNTIF([1]Songs!$H:$H,L54)&gt;0),"YES","")</f>
        <v/>
      </c>
      <c r="X54" t="s">
        <v>639</v>
      </c>
      <c r="Y54">
        <v>53</v>
      </c>
      <c r="AA54" t="str">
        <f>I54
&amp;IF(H54=I54,""," "&amp;H54)
&amp;IF(OR(R54=I54,R54=H54),""," "&amp;R54)
&amp;IF(R54=S54,""," "&amp;S54)</f>
        <v>D E</v>
      </c>
    </row>
    <row r="55" spans="1:27" x14ac:dyDescent="0.25">
      <c r="A55">
        <v>1</v>
      </c>
      <c r="B55">
        <v>2014</v>
      </c>
      <c r="C55" t="s">
        <v>1004</v>
      </c>
      <c r="D55">
        <v>4</v>
      </c>
      <c r="E55" t="s">
        <v>114</v>
      </c>
      <c r="F55" t="s">
        <v>23</v>
      </c>
      <c r="G55" t="s">
        <v>409</v>
      </c>
      <c r="H55" s="3" t="s">
        <v>39</v>
      </c>
      <c r="I55" s="3" t="s">
        <v>39</v>
      </c>
      <c r="J55" s="4">
        <v>75</v>
      </c>
      <c r="K55" s="5" t="s">
        <v>380</v>
      </c>
      <c r="L55" s="10">
        <v>18723</v>
      </c>
      <c r="M55" s="4">
        <v>1923</v>
      </c>
      <c r="N55" s="6" t="s">
        <v>401</v>
      </c>
      <c r="O55" t="s">
        <v>92</v>
      </c>
      <c r="P55" s="24" t="s">
        <v>1</v>
      </c>
      <c r="Q55">
        <v>85</v>
      </c>
      <c r="R55" t="s">
        <v>36</v>
      </c>
      <c r="S55" t="s">
        <v>36</v>
      </c>
      <c r="T55" t="s">
        <v>479</v>
      </c>
      <c r="U55" t="str">
        <f>IF(AND(ISNUMBER(L55),COUNTIF([2]Songs!$L:$L,L55)&gt;0),"YES","")</f>
        <v>YES</v>
      </c>
      <c r="V55" t="str">
        <f>IF(AND(ISNUMBER(L55),COUNTIF([3]Songs!$J:$J,L55)&gt;0),"YES","")</f>
        <v>YES</v>
      </c>
      <c r="W55" t="str">
        <f>IF(AND(ISNUMBER(L55),COUNTIF([1]Songs!$H:$H,L55)&gt;0),"YES","")</f>
        <v/>
      </c>
      <c r="X55" t="s">
        <v>639</v>
      </c>
      <c r="Y55">
        <v>54</v>
      </c>
      <c r="AA55" t="str">
        <f>I55
&amp;IF(H55=I55,""," "&amp;H55)
&amp;IF(OR(R55=I55,R55=H55),""," "&amp;R55)
&amp;IF(R55=S55,""," "&amp;S55)</f>
        <v>D E</v>
      </c>
    </row>
    <row r="56" spans="1:27" x14ac:dyDescent="0.25">
      <c r="A56">
        <v>1</v>
      </c>
      <c r="B56">
        <v>2014</v>
      </c>
      <c r="C56" t="s">
        <v>1004</v>
      </c>
      <c r="D56">
        <v>5</v>
      </c>
      <c r="E56" t="s">
        <v>115</v>
      </c>
      <c r="F56" t="s">
        <v>23</v>
      </c>
      <c r="G56" t="s">
        <v>967</v>
      </c>
      <c r="H56" s="3" t="s">
        <v>52</v>
      </c>
      <c r="I56" t="s">
        <v>28</v>
      </c>
      <c r="J56" s="4">
        <v>76</v>
      </c>
      <c r="K56" s="5" t="s">
        <v>371</v>
      </c>
      <c r="L56" s="10">
        <v>6521035</v>
      </c>
      <c r="M56" s="4">
        <v>2013</v>
      </c>
      <c r="N56" t="s">
        <v>378</v>
      </c>
      <c r="O56" t="s">
        <v>944</v>
      </c>
      <c r="P56" s="24" t="s">
        <v>49</v>
      </c>
      <c r="Q56">
        <v>74</v>
      </c>
      <c r="R56" t="s">
        <v>28</v>
      </c>
      <c r="S56" t="s">
        <v>52</v>
      </c>
      <c r="T56" t="s">
        <v>480</v>
      </c>
      <c r="U56" t="str">
        <f>IF(AND(ISNUMBER(L56),COUNTIF([2]Songs!$L:$L,L56)&gt;0),"YES","")</f>
        <v/>
      </c>
      <c r="V56" t="str">
        <f>IF(AND(ISNUMBER(L56),COUNTIF([3]Songs!$J:$J,L56)&gt;0),"YES","")</f>
        <v>YES</v>
      </c>
      <c r="W56" t="str">
        <f>IF(AND(ISNUMBER(L56),COUNTIF([1]Songs!$H:$H,L56)&gt;0),"YES","")</f>
        <v/>
      </c>
      <c r="X56" t="s">
        <v>639</v>
      </c>
      <c r="Y56">
        <v>55</v>
      </c>
      <c r="AA56" t="str">
        <f>I56
&amp;IF(H56=I56,""," "&amp;H56)
&amp;IF(OR(R56=I56,R56=H56),""," "&amp;R56)
&amp;IF(R56=S56,""," "&amp;S56)</f>
        <v>Bb A A</v>
      </c>
    </row>
    <row r="57" spans="1:27" x14ac:dyDescent="0.25">
      <c r="A57">
        <v>1</v>
      </c>
      <c r="B57">
        <v>2014</v>
      </c>
      <c r="C57" t="s">
        <v>1004</v>
      </c>
      <c r="D57">
        <v>6</v>
      </c>
      <c r="E57" t="s">
        <v>116</v>
      </c>
      <c r="F57" t="s">
        <v>23</v>
      </c>
      <c r="G57" t="s">
        <v>117</v>
      </c>
      <c r="H57" s="3" t="s">
        <v>31</v>
      </c>
      <c r="I57" s="3" t="s">
        <v>31</v>
      </c>
      <c r="J57" s="4">
        <v>120</v>
      </c>
      <c r="K57" s="5" t="s">
        <v>371</v>
      </c>
      <c r="L57" s="10">
        <v>4491002</v>
      </c>
      <c r="M57" s="4">
        <v>2005</v>
      </c>
      <c r="N57" s="4" t="s">
        <v>378</v>
      </c>
      <c r="O57" t="s">
        <v>944</v>
      </c>
      <c r="P57" s="24" t="s">
        <v>117</v>
      </c>
      <c r="Q57">
        <v>113</v>
      </c>
      <c r="R57" t="s">
        <v>28</v>
      </c>
      <c r="S57" t="s">
        <v>52</v>
      </c>
      <c r="T57" t="s">
        <v>479</v>
      </c>
      <c r="U57" t="str">
        <f>IF(AND(ISNUMBER(L57),COUNTIF([2]Songs!$L:$L,L57)&gt;0),"YES","")</f>
        <v/>
      </c>
      <c r="V57" t="str">
        <f>IF(AND(ISNUMBER(L57),COUNTIF([3]Songs!$J:$J,L57)&gt;0),"YES","")</f>
        <v>YES</v>
      </c>
      <c r="W57" t="str">
        <f>IF(AND(ISNUMBER(L57),COUNTIF([1]Songs!$H:$H,L57)&gt;0),"YES","")</f>
        <v/>
      </c>
      <c r="X57" t="s">
        <v>639</v>
      </c>
      <c r="Y57">
        <v>56</v>
      </c>
      <c r="AA57" t="str">
        <f>I57
&amp;IF(H57=I57,""," "&amp;H57)
&amp;IF(OR(R57=I57,R57=H57),""," "&amp;R57)
&amp;IF(R57=S57,""," "&amp;S57)</f>
        <v>B Bb A</v>
      </c>
    </row>
    <row r="58" spans="1:27" x14ac:dyDescent="0.25">
      <c r="A58">
        <v>1</v>
      </c>
      <c r="B58">
        <v>2014</v>
      </c>
      <c r="C58" t="s">
        <v>1004</v>
      </c>
      <c r="D58">
        <v>7</v>
      </c>
      <c r="E58" t="s">
        <v>118</v>
      </c>
      <c r="F58" t="s">
        <v>119</v>
      </c>
      <c r="G58" t="s">
        <v>46</v>
      </c>
      <c r="H58" s="3" t="s">
        <v>52</v>
      </c>
      <c r="I58" s="3" t="s">
        <v>52</v>
      </c>
      <c r="J58" s="4">
        <v>120</v>
      </c>
      <c r="K58" s="5" t="s">
        <v>371</v>
      </c>
      <c r="L58" s="10">
        <v>3148428</v>
      </c>
      <c r="M58" s="4">
        <v>2001</v>
      </c>
      <c r="N58" s="6" t="s">
        <v>378</v>
      </c>
      <c r="O58" t="s">
        <v>944</v>
      </c>
      <c r="P58" s="24" t="s">
        <v>46</v>
      </c>
      <c r="Q58">
        <v>123</v>
      </c>
      <c r="R58" t="s">
        <v>28</v>
      </c>
      <c r="S58" t="s">
        <v>52</v>
      </c>
      <c r="T58" t="s">
        <v>479</v>
      </c>
      <c r="U58" t="str">
        <f>IF(AND(ISNUMBER(L58),COUNTIF([2]Songs!$L:$L,L58)&gt;0),"YES","")</f>
        <v>YES</v>
      </c>
      <c r="V58" t="str">
        <f>IF(AND(ISNUMBER(L58),COUNTIF([3]Songs!$J:$J,L58)&gt;0),"YES","")</f>
        <v>YES</v>
      </c>
      <c r="W58" t="str">
        <f>IF(AND(ISNUMBER(L58),COUNTIF([1]Songs!$H:$H,L58)&gt;0),"YES","")</f>
        <v/>
      </c>
      <c r="X58" t="s">
        <v>639</v>
      </c>
      <c r="Y58">
        <v>57</v>
      </c>
      <c r="AA58" t="str">
        <f>I58
&amp;IF(H58=I58,""," "&amp;H58)
&amp;IF(OR(R58=I58,R58=H58),""," "&amp;R58)
&amp;IF(R58=S58,""," "&amp;S58)</f>
        <v>A Bb A</v>
      </c>
    </row>
    <row r="59" spans="1:27" x14ac:dyDescent="0.25">
      <c r="A59">
        <v>1</v>
      </c>
      <c r="B59">
        <v>2014</v>
      </c>
      <c r="C59" t="s">
        <v>1004</v>
      </c>
      <c r="D59">
        <v>8</v>
      </c>
      <c r="E59" t="s">
        <v>120</v>
      </c>
      <c r="F59" t="s">
        <v>23</v>
      </c>
      <c r="G59" t="s">
        <v>410</v>
      </c>
      <c r="H59" s="3" t="s">
        <v>25</v>
      </c>
      <c r="I59" s="3" t="s">
        <v>28</v>
      </c>
      <c r="J59" s="4">
        <v>78</v>
      </c>
      <c r="K59" s="5" t="s">
        <v>371</v>
      </c>
      <c r="L59" s="10">
        <v>5508444</v>
      </c>
      <c r="M59" s="4">
        <v>2010</v>
      </c>
      <c r="N59" s="6" t="s">
        <v>411</v>
      </c>
      <c r="O59" t="s">
        <v>944</v>
      </c>
      <c r="P59" s="24" t="s">
        <v>121</v>
      </c>
      <c r="Q59">
        <v>71</v>
      </c>
      <c r="R59" t="s">
        <v>93</v>
      </c>
      <c r="S59" t="s">
        <v>47</v>
      </c>
      <c r="T59" t="s">
        <v>479</v>
      </c>
      <c r="U59" t="str">
        <f>IF(AND(ISNUMBER(L59),COUNTIF([2]Songs!$L:$L,L59)&gt;0),"YES","")</f>
        <v>YES</v>
      </c>
      <c r="V59" t="str">
        <f>IF(AND(ISNUMBER(L59),COUNTIF([3]Songs!$J:$J,L59)&gt;0),"YES","")</f>
        <v>YES</v>
      </c>
      <c r="W59" t="str">
        <f>IF(AND(ISNUMBER(L59),COUNTIF([1]Songs!$H:$H,L59)&gt;0),"YES","")</f>
        <v/>
      </c>
      <c r="X59" t="s">
        <v>639</v>
      </c>
      <c r="Y59">
        <v>58</v>
      </c>
      <c r="AA59" t="str">
        <f>I59
&amp;IF(H59=I59,""," "&amp;H59)
&amp;IF(OR(R59=I59,R59=H59),""," "&amp;R59)
&amp;IF(R59=S59,""," "&amp;S59)</f>
        <v>Bb G Db C</v>
      </c>
    </row>
    <row r="60" spans="1:27" x14ac:dyDescent="0.25">
      <c r="A60">
        <v>1</v>
      </c>
      <c r="B60">
        <v>2014</v>
      </c>
      <c r="C60" t="s">
        <v>1004</v>
      </c>
      <c r="D60">
        <v>9</v>
      </c>
      <c r="E60" t="s">
        <v>122</v>
      </c>
      <c r="F60" t="s">
        <v>23</v>
      </c>
      <c r="G60" t="s">
        <v>412</v>
      </c>
      <c r="H60" s="3" t="s">
        <v>39</v>
      </c>
      <c r="I60" s="3" t="s">
        <v>39</v>
      </c>
      <c r="J60" s="4">
        <v>75</v>
      </c>
      <c r="K60" s="5" t="s">
        <v>371</v>
      </c>
      <c r="L60" s="10">
        <v>4785828</v>
      </c>
      <c r="M60" s="4">
        <v>2006</v>
      </c>
      <c r="N60" s="4" t="s">
        <v>372</v>
      </c>
      <c r="O60" t="s">
        <v>944</v>
      </c>
      <c r="P60" s="24" t="s">
        <v>24</v>
      </c>
      <c r="Q60">
        <v>72</v>
      </c>
      <c r="R60" t="s">
        <v>25</v>
      </c>
      <c r="S60" t="s">
        <v>25</v>
      </c>
      <c r="T60" t="s">
        <v>479</v>
      </c>
      <c r="U60" t="str">
        <f>IF(AND(ISNUMBER(L60),COUNTIF([2]Songs!$L:$L,L60)&gt;0),"YES","")</f>
        <v>YES</v>
      </c>
      <c r="V60" t="str">
        <f>IF(AND(ISNUMBER(L60),COUNTIF([3]Songs!$J:$J,L60)&gt;0),"YES","")</f>
        <v>YES</v>
      </c>
      <c r="W60" t="str">
        <f>IF(AND(ISNUMBER(L60),COUNTIF([1]Songs!$H:$H,L60)&gt;0),"YES","")</f>
        <v/>
      </c>
      <c r="X60" t="s">
        <v>639</v>
      </c>
      <c r="Y60">
        <v>59</v>
      </c>
      <c r="AA60" t="str">
        <f>I60
&amp;IF(H60=I60,""," "&amp;H60)
&amp;IF(OR(R60=I60,R60=H60),""," "&amp;R60)
&amp;IF(R60=S60,""," "&amp;S60)</f>
        <v>D G</v>
      </c>
    </row>
    <row r="61" spans="1:27" x14ac:dyDescent="0.25">
      <c r="A61">
        <v>1</v>
      </c>
      <c r="B61">
        <v>2014</v>
      </c>
      <c r="C61" t="s">
        <v>1004</v>
      </c>
      <c r="D61">
        <v>10</v>
      </c>
      <c r="E61" t="s">
        <v>123</v>
      </c>
      <c r="F61" t="s">
        <v>23</v>
      </c>
      <c r="G61" t="s">
        <v>33</v>
      </c>
      <c r="H61" s="3" t="s">
        <v>25</v>
      </c>
      <c r="I61" s="3" t="s">
        <v>25</v>
      </c>
      <c r="J61" s="4">
        <v>116</v>
      </c>
      <c r="K61" s="5" t="s">
        <v>371</v>
      </c>
      <c r="L61" s="10">
        <v>4477026</v>
      </c>
      <c r="M61" s="4">
        <v>2003</v>
      </c>
      <c r="N61" s="6" t="s">
        <v>381</v>
      </c>
      <c r="O61" t="s">
        <v>944</v>
      </c>
      <c r="P61" s="24" t="s">
        <v>33</v>
      </c>
      <c r="Q61">
        <v>114</v>
      </c>
      <c r="R61" t="s">
        <v>25</v>
      </c>
      <c r="S61" t="s">
        <v>25</v>
      </c>
      <c r="T61" t="s">
        <v>479</v>
      </c>
      <c r="U61" t="str">
        <f>IF(AND(ISNUMBER(L61),COUNTIF([2]Songs!$L:$L,L61)&gt;0),"YES","")</f>
        <v>YES</v>
      </c>
      <c r="V61" t="str">
        <f>IF(AND(ISNUMBER(L61),COUNTIF([3]Songs!$J:$J,L61)&gt;0),"YES","")</f>
        <v>YES</v>
      </c>
      <c r="W61" t="str">
        <f>IF(AND(ISNUMBER(L61),COUNTIF([1]Songs!$H:$H,L61)&gt;0),"YES","")</f>
        <v/>
      </c>
      <c r="X61" t="s">
        <v>639</v>
      </c>
      <c r="Y61">
        <v>60</v>
      </c>
      <c r="AA61" t="str">
        <f>I61
&amp;IF(H61=I61,""," "&amp;H61)
&amp;IF(OR(R61=I61,R61=H61),""," "&amp;R61)
&amp;IF(R61=S61,""," "&amp;S61)</f>
        <v>G</v>
      </c>
    </row>
    <row r="62" spans="1:27" x14ac:dyDescent="0.25">
      <c r="A62">
        <v>1</v>
      </c>
      <c r="B62">
        <v>2014</v>
      </c>
      <c r="C62" t="s">
        <v>1005</v>
      </c>
      <c r="D62">
        <v>1</v>
      </c>
      <c r="E62" t="s">
        <v>124</v>
      </c>
      <c r="F62" t="s">
        <v>23</v>
      </c>
      <c r="G62" t="s">
        <v>27</v>
      </c>
      <c r="H62" s="3" t="s">
        <v>39</v>
      </c>
      <c r="I62" s="3" t="s">
        <v>78</v>
      </c>
      <c r="J62" s="4">
        <v>80</v>
      </c>
      <c r="K62" s="5" t="s">
        <v>371</v>
      </c>
      <c r="L62" s="10">
        <v>5124024</v>
      </c>
      <c r="M62" s="4">
        <v>2007</v>
      </c>
      <c r="N62" s="6" t="s">
        <v>374</v>
      </c>
      <c r="O62" t="s">
        <v>944</v>
      </c>
      <c r="P62" s="24" t="s">
        <v>27</v>
      </c>
      <c r="Q62">
        <v>80</v>
      </c>
      <c r="R62" t="s">
        <v>78</v>
      </c>
      <c r="S62" t="s">
        <v>39</v>
      </c>
      <c r="T62" t="s">
        <v>479</v>
      </c>
      <c r="U62" t="str">
        <f>IF(AND(ISNUMBER(L62),COUNTIF([2]Songs!$L:$L,L62)&gt;0),"YES","")</f>
        <v/>
      </c>
      <c r="V62" t="str">
        <f>IF(AND(ISNUMBER(L62),COUNTIF([3]Songs!$J:$J,L62)&gt;0),"YES","")</f>
        <v>YES</v>
      </c>
      <c r="W62" t="str">
        <f>IF(AND(ISNUMBER(L62),COUNTIF([1]Songs!$H:$H,L62)&gt;0),"YES","")</f>
        <v/>
      </c>
      <c r="X62" t="s">
        <v>639</v>
      </c>
      <c r="Y62">
        <v>61</v>
      </c>
      <c r="AA62" t="str">
        <f>I62
&amp;IF(H62=I62,""," "&amp;H62)
&amp;IF(OR(R62=I62,R62=H62),""," "&amp;R62)
&amp;IF(R62=S62,""," "&amp;S62)</f>
        <v>Eb D D</v>
      </c>
    </row>
    <row r="63" spans="1:27" x14ac:dyDescent="0.25">
      <c r="A63">
        <v>1</v>
      </c>
      <c r="B63">
        <v>2014</v>
      </c>
      <c r="C63" t="s">
        <v>1005</v>
      </c>
      <c r="D63">
        <v>2</v>
      </c>
      <c r="E63" t="s">
        <v>53</v>
      </c>
      <c r="F63" t="s">
        <v>23</v>
      </c>
      <c r="G63" t="s">
        <v>412</v>
      </c>
      <c r="H63" s="3" t="s">
        <v>36</v>
      </c>
      <c r="I63" s="3" t="s">
        <v>36</v>
      </c>
      <c r="J63" s="4">
        <v>75</v>
      </c>
      <c r="K63" s="5" t="s">
        <v>371</v>
      </c>
      <c r="L63" s="10">
        <v>4785835</v>
      </c>
      <c r="M63" s="4">
        <v>2006</v>
      </c>
      <c r="N63" s="4" t="s">
        <v>372</v>
      </c>
      <c r="O63" t="s">
        <v>944</v>
      </c>
      <c r="P63" s="24" t="s">
        <v>24</v>
      </c>
      <c r="Q63">
        <v>73.5</v>
      </c>
      <c r="R63" t="s">
        <v>36</v>
      </c>
      <c r="S63" t="s">
        <v>36</v>
      </c>
      <c r="T63" t="s">
        <v>479</v>
      </c>
      <c r="U63" t="str">
        <f>IF(AND(ISNUMBER(L63),COUNTIF([2]Songs!$L:$L,L63)&gt;0),"YES","")</f>
        <v>YES</v>
      </c>
      <c r="V63" t="str">
        <f>IF(AND(ISNUMBER(L63),COUNTIF([3]Songs!$J:$J,L63)&gt;0),"YES","")</f>
        <v>YES</v>
      </c>
      <c r="W63" t="str">
        <f>IF(AND(ISNUMBER(L63),COUNTIF([1]Songs!$H:$H,L63)&gt;0),"YES","")</f>
        <v>YES</v>
      </c>
      <c r="X63" t="s">
        <v>639</v>
      </c>
      <c r="Y63">
        <v>62</v>
      </c>
      <c r="AA63" t="str">
        <f>I63
&amp;IF(H63=I63,""," "&amp;H63)
&amp;IF(OR(R63=I63,R63=H63),""," "&amp;R63)
&amp;IF(R63=S63,""," "&amp;S63)</f>
        <v>E</v>
      </c>
    </row>
    <row r="64" spans="1:27" x14ac:dyDescent="0.25">
      <c r="A64">
        <v>1</v>
      </c>
      <c r="B64">
        <v>2014</v>
      </c>
      <c r="C64" t="s">
        <v>1005</v>
      </c>
      <c r="D64">
        <v>3</v>
      </c>
      <c r="E64" t="s">
        <v>125</v>
      </c>
      <c r="F64" t="s">
        <v>23</v>
      </c>
      <c r="G64" t="s">
        <v>413</v>
      </c>
      <c r="H64" s="3" t="s">
        <v>52</v>
      </c>
      <c r="I64" s="3" t="s">
        <v>52</v>
      </c>
      <c r="J64" s="4">
        <v>74</v>
      </c>
      <c r="K64" s="4" t="s">
        <v>371</v>
      </c>
      <c r="L64" s="10">
        <v>4591782</v>
      </c>
      <c r="M64" s="4">
        <v>2006</v>
      </c>
      <c r="N64" s="4" t="s">
        <v>372</v>
      </c>
      <c r="O64" t="s">
        <v>944</v>
      </c>
      <c r="P64" s="24" t="s">
        <v>24</v>
      </c>
      <c r="Q64">
        <v>75</v>
      </c>
      <c r="R64" t="s">
        <v>47</v>
      </c>
      <c r="S64" t="s">
        <v>47</v>
      </c>
      <c r="T64" t="s">
        <v>479</v>
      </c>
      <c r="U64" t="str">
        <f>IF(AND(ISNUMBER(L64),COUNTIF([2]Songs!$L:$L,L64)&gt;0),"YES","")</f>
        <v>YES</v>
      </c>
      <c r="V64" t="str">
        <f>IF(AND(ISNUMBER(L64),COUNTIF([3]Songs!$J:$J,L64)&gt;0),"YES","")</f>
        <v>YES</v>
      </c>
      <c r="W64" t="str">
        <f>IF(AND(ISNUMBER(L64),COUNTIF([1]Songs!$H:$H,L64)&gt;0),"YES","")</f>
        <v>YES</v>
      </c>
      <c r="X64" t="s">
        <v>639</v>
      </c>
      <c r="Y64">
        <v>63</v>
      </c>
      <c r="AA64" t="str">
        <f>I64
&amp;IF(H64=I64,""," "&amp;H64)
&amp;IF(OR(R64=I64,R64=H64),""," "&amp;R64)
&amp;IF(R64=S64,""," "&amp;S64)</f>
        <v>A C</v>
      </c>
    </row>
    <row r="65" spans="1:27" x14ac:dyDescent="0.25">
      <c r="A65">
        <v>1</v>
      </c>
      <c r="B65">
        <v>2014</v>
      </c>
      <c r="C65" t="s">
        <v>1005</v>
      </c>
      <c r="D65">
        <v>4</v>
      </c>
      <c r="E65" t="s">
        <v>126</v>
      </c>
      <c r="F65" t="s">
        <v>23</v>
      </c>
      <c r="L65" s="10">
        <v>1383</v>
      </c>
      <c r="P65" s="24" t="s">
        <v>127</v>
      </c>
      <c r="Q65">
        <v>68</v>
      </c>
      <c r="R65" t="s">
        <v>47</v>
      </c>
      <c r="S65" t="s">
        <v>47</v>
      </c>
      <c r="U65" t="str">
        <f>IF(AND(ISNUMBER(L65),COUNTIF([2]Songs!$L:$L,L65)&gt;0),"YES","")</f>
        <v/>
      </c>
      <c r="V65" t="str">
        <f>IF(AND(ISNUMBER(L65),COUNTIF([3]Songs!$J:$J,L65)&gt;0),"YES","")</f>
        <v>YES</v>
      </c>
      <c r="W65" t="str">
        <f>IF(AND(ISNUMBER(L65),COUNTIF([1]Songs!$H:$H,L65)&gt;0),"YES","")</f>
        <v/>
      </c>
      <c r="X65" t="s">
        <v>639</v>
      </c>
      <c r="Y65">
        <v>64</v>
      </c>
      <c r="AA65" t="str">
        <f>I65
&amp;IF(H65=I65,""," "&amp;H65)
&amp;IF(OR(R65=I65,R65=H65),""," "&amp;R65)
&amp;IF(R65=S65,""," "&amp;S65)</f>
        <v xml:space="preserve"> C</v>
      </c>
    </row>
    <row r="66" spans="1:27" x14ac:dyDescent="0.25">
      <c r="A66">
        <v>1</v>
      </c>
      <c r="B66">
        <v>2014</v>
      </c>
      <c r="C66" t="s">
        <v>1005</v>
      </c>
      <c r="D66">
        <v>5</v>
      </c>
      <c r="E66" t="s">
        <v>128</v>
      </c>
      <c r="F66" t="s">
        <v>23</v>
      </c>
      <c r="L66" s="10">
        <v>5060793</v>
      </c>
      <c r="P66" s="24" t="s">
        <v>24</v>
      </c>
      <c r="Q66">
        <v>109</v>
      </c>
      <c r="R66" t="s">
        <v>25</v>
      </c>
      <c r="S66" t="s">
        <v>25</v>
      </c>
      <c r="U66" t="str">
        <f>IF(AND(ISNUMBER(L66),COUNTIF([2]Songs!$L:$L,L66)&gt;0),"YES","")</f>
        <v/>
      </c>
      <c r="V66" t="str">
        <f>IF(AND(ISNUMBER(L66),COUNTIF([3]Songs!$J:$J,L66)&gt;0),"YES","")</f>
        <v>YES</v>
      </c>
      <c r="W66" t="str">
        <f>IF(AND(ISNUMBER(L66),COUNTIF([1]Songs!$H:$H,L66)&gt;0),"YES","")</f>
        <v>YES</v>
      </c>
      <c r="X66" t="s">
        <v>639</v>
      </c>
      <c r="Y66">
        <v>65</v>
      </c>
      <c r="AA66" t="str">
        <f>I66
&amp;IF(H66=I66,""," "&amp;H66)
&amp;IF(OR(R66=I66,R66=H66),""," "&amp;R66)
&amp;IF(R66=S66,""," "&amp;S66)</f>
        <v xml:space="preserve"> G</v>
      </c>
    </row>
    <row r="67" spans="1:27" x14ac:dyDescent="0.25">
      <c r="A67">
        <v>1</v>
      </c>
      <c r="B67">
        <v>2014</v>
      </c>
      <c r="C67" t="s">
        <v>1005</v>
      </c>
      <c r="D67">
        <v>6</v>
      </c>
      <c r="E67" t="s">
        <v>129</v>
      </c>
      <c r="F67" t="s">
        <v>23</v>
      </c>
      <c r="L67" s="10">
        <v>164361</v>
      </c>
      <c r="P67" s="24" t="s">
        <v>130</v>
      </c>
      <c r="Q67">
        <v>65</v>
      </c>
      <c r="R67" t="s">
        <v>25</v>
      </c>
      <c r="S67" t="s">
        <v>25</v>
      </c>
      <c r="U67" t="str">
        <f>IF(AND(ISNUMBER(L67),COUNTIF([2]Songs!$L:$L,L67)&gt;0),"YES","")</f>
        <v/>
      </c>
      <c r="V67" t="str">
        <f>IF(AND(ISNUMBER(L67),COUNTIF([3]Songs!$J:$J,L67)&gt;0),"YES","")</f>
        <v>YES</v>
      </c>
      <c r="W67" t="str">
        <f>IF(AND(ISNUMBER(L67),COUNTIF([1]Songs!$H:$H,L67)&gt;0),"YES","")</f>
        <v/>
      </c>
      <c r="X67" t="s">
        <v>639</v>
      </c>
      <c r="Y67">
        <v>66</v>
      </c>
      <c r="AA67" t="str">
        <f>I67
&amp;IF(H67=I67,""," "&amp;H67)
&amp;IF(OR(R67=I67,R67=H67),""," "&amp;R67)
&amp;IF(R67=S67,""," "&amp;S67)</f>
        <v xml:space="preserve"> G</v>
      </c>
    </row>
    <row r="68" spans="1:27" x14ac:dyDescent="0.25">
      <c r="A68">
        <v>1</v>
      </c>
      <c r="B68">
        <v>2014</v>
      </c>
      <c r="C68" t="s">
        <v>1005</v>
      </c>
      <c r="D68">
        <v>7</v>
      </c>
      <c r="E68" t="s">
        <v>131</v>
      </c>
      <c r="F68" t="s">
        <v>23</v>
      </c>
      <c r="L68" s="10">
        <v>5710744</v>
      </c>
      <c r="P68" s="24" t="s">
        <v>132</v>
      </c>
      <c r="Q68">
        <v>65</v>
      </c>
      <c r="R68" t="s">
        <v>52</v>
      </c>
      <c r="S68" t="s">
        <v>52</v>
      </c>
      <c r="U68" t="str">
        <f>IF(AND(ISNUMBER(L68),COUNTIF([2]Songs!$L:$L,L68)&gt;0),"YES","")</f>
        <v/>
      </c>
      <c r="V68" t="str">
        <f>IF(AND(ISNUMBER(L68),COUNTIF([3]Songs!$J:$J,L68)&gt;0),"YES","")</f>
        <v>YES</v>
      </c>
      <c r="W68" t="str">
        <f>IF(AND(ISNUMBER(L68),COUNTIF([1]Songs!$H:$H,L68)&gt;0),"YES","")</f>
        <v/>
      </c>
      <c r="X68" t="s">
        <v>639</v>
      </c>
      <c r="Y68">
        <v>67</v>
      </c>
      <c r="AA68" t="str">
        <f>I68
&amp;IF(H68=I68,""," "&amp;H68)
&amp;IF(OR(R68=I68,R68=H68),""," "&amp;R68)
&amp;IF(R68=S68,""," "&amp;S68)</f>
        <v xml:space="preserve"> A</v>
      </c>
    </row>
    <row r="69" spans="1:27" x14ac:dyDescent="0.25">
      <c r="A69">
        <v>1</v>
      </c>
      <c r="B69">
        <v>2014</v>
      </c>
      <c r="C69" t="s">
        <v>1005</v>
      </c>
      <c r="D69">
        <v>8</v>
      </c>
      <c r="E69" t="s">
        <v>133</v>
      </c>
      <c r="F69" t="s">
        <v>23</v>
      </c>
      <c r="L69" s="10">
        <v>5627758</v>
      </c>
      <c r="P69" s="24" t="s">
        <v>70</v>
      </c>
      <c r="Q69">
        <v>124</v>
      </c>
      <c r="R69" t="s">
        <v>67</v>
      </c>
      <c r="S69" t="s">
        <v>25</v>
      </c>
      <c r="U69" t="str">
        <f>IF(AND(ISNUMBER(L69),COUNTIF([2]Songs!$L:$L,L69)&gt;0),"YES","")</f>
        <v/>
      </c>
      <c r="V69" t="str">
        <f>IF(AND(ISNUMBER(L69),COUNTIF([3]Songs!$J:$J,L69)&gt;0),"YES","")</f>
        <v>YES</v>
      </c>
      <c r="W69" t="str">
        <f>IF(AND(ISNUMBER(L69),COUNTIF([1]Songs!$H:$H,L69)&gt;0),"YES","")</f>
        <v/>
      </c>
      <c r="X69" t="s">
        <v>639</v>
      </c>
      <c r="Y69">
        <v>68</v>
      </c>
      <c r="AA69" t="str">
        <f>I69
&amp;IF(H69=I69,""," "&amp;H69)
&amp;IF(OR(R69=I69,R69=H69),""," "&amp;R69)
&amp;IF(R69=S69,""," "&amp;S69)</f>
        <v xml:space="preserve"> Ab G</v>
      </c>
    </row>
    <row r="70" spans="1:27" x14ac:dyDescent="0.25">
      <c r="A70">
        <v>1</v>
      </c>
      <c r="B70">
        <v>2014</v>
      </c>
      <c r="C70" t="s">
        <v>1005</v>
      </c>
      <c r="D70">
        <v>9</v>
      </c>
      <c r="E70" t="s">
        <v>134</v>
      </c>
      <c r="F70" t="s">
        <v>23</v>
      </c>
      <c r="G70" t="s">
        <v>855</v>
      </c>
      <c r="H70" s="3" t="s">
        <v>52</v>
      </c>
      <c r="I70" s="3" t="s">
        <v>28</v>
      </c>
      <c r="J70" s="4">
        <v>100</v>
      </c>
      <c r="K70" s="5" t="s">
        <v>371</v>
      </c>
      <c r="L70" s="10">
        <v>4556538</v>
      </c>
      <c r="M70" s="4">
        <v>2005</v>
      </c>
      <c r="N70" s="4" t="s">
        <v>381</v>
      </c>
      <c r="O70" t="s">
        <v>944</v>
      </c>
      <c r="P70" s="24" t="s">
        <v>135</v>
      </c>
      <c r="Q70">
        <v>113</v>
      </c>
      <c r="R70" t="s">
        <v>31</v>
      </c>
      <c r="S70" t="s">
        <v>31</v>
      </c>
      <c r="U70" t="str">
        <f>IF(AND(ISNUMBER(L70),COUNTIF([2]Songs!$L:$L,L70)&gt;0),"YES","")</f>
        <v>YES</v>
      </c>
      <c r="V70" t="str">
        <f>IF(AND(ISNUMBER(L70),COUNTIF([3]Songs!$J:$J,L70)&gt;0),"YES","")</f>
        <v>YES</v>
      </c>
      <c r="W70" t="str">
        <f>IF(AND(ISNUMBER(L70),COUNTIF([1]Songs!$H:$H,L70)&gt;0),"YES","")</f>
        <v/>
      </c>
      <c r="X70" t="s">
        <v>639</v>
      </c>
      <c r="Y70">
        <v>69</v>
      </c>
      <c r="AA70" t="str">
        <f>I70
&amp;IF(H70=I70,""," "&amp;H70)
&amp;IF(OR(R70=I70,R70=H70),""," "&amp;R70)
&amp;IF(R70=S70,""," "&amp;S70)</f>
        <v>Bb A B</v>
      </c>
    </row>
    <row r="71" spans="1:27" x14ac:dyDescent="0.25">
      <c r="A71">
        <v>1</v>
      </c>
      <c r="B71">
        <v>2014</v>
      </c>
      <c r="C71" t="s">
        <v>1005</v>
      </c>
      <c r="D71">
        <v>10</v>
      </c>
      <c r="E71" t="s">
        <v>136</v>
      </c>
      <c r="F71" t="s">
        <v>23</v>
      </c>
      <c r="L71" s="10">
        <v>5409079</v>
      </c>
      <c r="P71" s="24" t="s">
        <v>24</v>
      </c>
      <c r="Q71">
        <v>68</v>
      </c>
      <c r="R71" t="s">
        <v>31</v>
      </c>
      <c r="S71" t="s">
        <v>31</v>
      </c>
      <c r="U71" t="str">
        <f>IF(AND(ISNUMBER(L71),COUNTIF([2]Songs!$L:$L,L71)&gt;0),"YES","")</f>
        <v/>
      </c>
      <c r="V71" t="str">
        <f>IF(AND(ISNUMBER(L71),COUNTIF([3]Songs!$J:$J,L71)&gt;0),"YES","")</f>
        <v>YES</v>
      </c>
      <c r="W71" t="str">
        <f>IF(AND(ISNUMBER(L71),COUNTIF([1]Songs!$H:$H,L71)&gt;0),"YES","")</f>
        <v>YES</v>
      </c>
      <c r="X71" t="s">
        <v>639</v>
      </c>
      <c r="Y71">
        <v>70</v>
      </c>
      <c r="AA71" t="str">
        <f>I71
&amp;IF(H71=I71,""," "&amp;H71)
&amp;IF(OR(R71=I71,R71=H71),""," "&amp;R71)
&amp;IF(R71=S71,""," "&amp;S71)</f>
        <v xml:space="preserve"> B</v>
      </c>
    </row>
    <row r="72" spans="1:27" x14ac:dyDescent="0.25">
      <c r="A72">
        <v>1</v>
      </c>
      <c r="B72">
        <v>2014</v>
      </c>
      <c r="C72" t="s">
        <v>1006</v>
      </c>
      <c r="D72">
        <v>1</v>
      </c>
      <c r="E72" t="s">
        <v>137</v>
      </c>
      <c r="F72" t="s">
        <v>23</v>
      </c>
      <c r="G72" t="s">
        <v>414</v>
      </c>
      <c r="H72" s="3" t="s">
        <v>52</v>
      </c>
      <c r="I72" s="3" t="s">
        <v>52</v>
      </c>
      <c r="J72" s="4">
        <v>77</v>
      </c>
      <c r="K72" s="5" t="s">
        <v>371</v>
      </c>
      <c r="L72" s="10">
        <v>4705248</v>
      </c>
      <c r="M72" s="4">
        <v>2005</v>
      </c>
      <c r="N72" s="4" t="s">
        <v>372</v>
      </c>
      <c r="O72" t="s">
        <v>944</v>
      </c>
      <c r="P72" s="24" t="s">
        <v>24</v>
      </c>
      <c r="Q72">
        <v>74</v>
      </c>
      <c r="R72" t="s">
        <v>31</v>
      </c>
      <c r="S72" t="s">
        <v>31</v>
      </c>
      <c r="U72" t="str">
        <f>IF(AND(ISNUMBER(L72),COUNTIF([2]Songs!$L:$L,L72)&gt;0),"YES","")</f>
        <v>YES</v>
      </c>
      <c r="V72" t="str">
        <f>IF(AND(ISNUMBER(L72),COUNTIF([3]Songs!$J:$J,L72)&gt;0),"YES","")</f>
        <v>YES</v>
      </c>
      <c r="W72" t="str">
        <f>IF(AND(ISNUMBER(L72),COUNTIF([1]Songs!$H:$H,L72)&gt;0),"YES","")</f>
        <v>YES</v>
      </c>
      <c r="X72" t="s">
        <v>639</v>
      </c>
      <c r="Y72">
        <v>71</v>
      </c>
      <c r="AA72" t="str">
        <f>I72
&amp;IF(H72=I72,""," "&amp;H72)
&amp;IF(OR(R72=I72,R72=H72),""," "&amp;R72)
&amp;IF(R72=S72,""," "&amp;S72)</f>
        <v>A B</v>
      </c>
    </row>
    <row r="73" spans="1:27" x14ac:dyDescent="0.25">
      <c r="A73">
        <v>1</v>
      </c>
      <c r="B73">
        <v>2014</v>
      </c>
      <c r="C73" t="s">
        <v>1006</v>
      </c>
      <c r="D73">
        <v>2</v>
      </c>
      <c r="E73" t="s">
        <v>138</v>
      </c>
      <c r="F73" t="s">
        <v>23</v>
      </c>
      <c r="G73" t="s">
        <v>859</v>
      </c>
      <c r="H73" s="3" t="s">
        <v>25</v>
      </c>
      <c r="I73" s="3" t="s">
        <v>28</v>
      </c>
      <c r="J73" s="4">
        <v>60</v>
      </c>
      <c r="K73" s="5" t="s">
        <v>425</v>
      </c>
      <c r="L73" s="9">
        <v>4403076</v>
      </c>
      <c r="M73" s="4">
        <v>2004</v>
      </c>
      <c r="N73" s="6" t="s">
        <v>860</v>
      </c>
      <c r="O73" t="s">
        <v>944</v>
      </c>
      <c r="P73" s="24" t="s">
        <v>46</v>
      </c>
      <c r="Q73">
        <v>90</v>
      </c>
      <c r="R73" t="s">
        <v>31</v>
      </c>
      <c r="S73" t="s">
        <v>31</v>
      </c>
      <c r="U73" t="str">
        <f>IF(AND(ISNUMBER(L73),COUNTIF([2]Songs!$L:$L,L73)&gt;0),"YES","")</f>
        <v>YES</v>
      </c>
      <c r="V73" t="str">
        <f>IF(AND(ISNUMBER(L73),COUNTIF([3]Songs!$J:$J,L73)&gt;0),"YES","")</f>
        <v>YES</v>
      </c>
      <c r="W73" t="str">
        <f>IF(AND(ISNUMBER(L73),COUNTIF([1]Songs!$H:$H,L73)&gt;0),"YES","")</f>
        <v/>
      </c>
      <c r="X73" t="s">
        <v>639</v>
      </c>
      <c r="Y73">
        <v>72</v>
      </c>
      <c r="AA73" t="str">
        <f>I73
&amp;IF(H73=I73,""," "&amp;H73)
&amp;IF(OR(R73=I73,R73=H73),""," "&amp;R73)
&amp;IF(R73=S73,""," "&amp;S73)</f>
        <v>Bb G B</v>
      </c>
    </row>
    <row r="74" spans="1:27" x14ac:dyDescent="0.25">
      <c r="A74">
        <v>1</v>
      </c>
      <c r="B74">
        <v>2014</v>
      </c>
      <c r="C74" t="s">
        <v>1006</v>
      </c>
      <c r="D74">
        <v>3</v>
      </c>
      <c r="E74" t="s">
        <v>139</v>
      </c>
      <c r="F74" t="s">
        <v>23</v>
      </c>
      <c r="L74" s="10">
        <v>1866132</v>
      </c>
      <c r="P74" s="24" t="s">
        <v>24</v>
      </c>
      <c r="Q74">
        <v>70</v>
      </c>
      <c r="R74" t="s">
        <v>31</v>
      </c>
      <c r="S74" t="s">
        <v>31</v>
      </c>
      <c r="U74" t="str">
        <f>IF(AND(ISNUMBER(L74),COUNTIF([2]Songs!$L:$L,L74)&gt;0),"YES","")</f>
        <v/>
      </c>
      <c r="V74" t="str">
        <f>IF(AND(ISNUMBER(L74),COUNTIF([3]Songs!$J:$J,L74)&gt;0),"YES","")</f>
        <v>YES</v>
      </c>
      <c r="W74" t="str">
        <f>IF(AND(ISNUMBER(L74),COUNTIF([1]Songs!$H:$H,L74)&gt;0),"YES","")</f>
        <v/>
      </c>
      <c r="X74" t="s">
        <v>639</v>
      </c>
      <c r="Y74">
        <v>73</v>
      </c>
      <c r="AA74" t="str">
        <f>I74
&amp;IF(H74=I74,""," "&amp;H74)
&amp;IF(OR(R74=I74,R74=H74),""," "&amp;R74)
&amp;IF(R74=S74,""," "&amp;S74)</f>
        <v xml:space="preserve"> B</v>
      </c>
    </row>
    <row r="75" spans="1:27" x14ac:dyDescent="0.25">
      <c r="A75">
        <v>1</v>
      </c>
      <c r="B75">
        <v>2014</v>
      </c>
      <c r="C75" t="s">
        <v>1006</v>
      </c>
      <c r="D75">
        <v>4</v>
      </c>
      <c r="E75" t="s">
        <v>140</v>
      </c>
      <c r="F75" t="s">
        <v>23</v>
      </c>
      <c r="L75" s="10">
        <v>4329411</v>
      </c>
      <c r="P75" s="24" t="s">
        <v>43</v>
      </c>
      <c r="Q75">
        <v>77</v>
      </c>
      <c r="R75" t="s">
        <v>47</v>
      </c>
      <c r="S75" t="s">
        <v>47</v>
      </c>
      <c r="U75" t="str">
        <f>IF(AND(ISNUMBER(L75),COUNTIF([2]Songs!$L:$L,L75)&gt;0),"YES","")</f>
        <v/>
      </c>
      <c r="V75" t="str">
        <f>IF(AND(ISNUMBER(L75),COUNTIF([3]Songs!$J:$J,L75)&gt;0),"YES","")</f>
        <v>YES</v>
      </c>
      <c r="W75" t="str">
        <f>IF(AND(ISNUMBER(L75),COUNTIF([1]Songs!$H:$H,L75)&gt;0),"YES","")</f>
        <v/>
      </c>
      <c r="X75" t="s">
        <v>639</v>
      </c>
      <c r="Y75">
        <v>74</v>
      </c>
      <c r="AA75" t="str">
        <f>I75
&amp;IF(H75=I75,""," "&amp;H75)
&amp;IF(OR(R75=I75,R75=H75),""," "&amp;R75)
&amp;IF(R75=S75,""," "&amp;S75)</f>
        <v xml:space="preserve"> C</v>
      </c>
    </row>
    <row r="76" spans="1:27" x14ac:dyDescent="0.25">
      <c r="A76">
        <v>1</v>
      </c>
      <c r="B76">
        <v>2014</v>
      </c>
      <c r="C76" t="s">
        <v>1006</v>
      </c>
      <c r="D76">
        <v>5</v>
      </c>
      <c r="E76" t="s">
        <v>141</v>
      </c>
      <c r="F76" t="s">
        <v>23</v>
      </c>
      <c r="L76" s="10">
        <v>4447984</v>
      </c>
      <c r="P76" s="24" t="s">
        <v>113</v>
      </c>
      <c r="Q76">
        <v>81</v>
      </c>
      <c r="R76" t="s">
        <v>47</v>
      </c>
      <c r="S76" t="s">
        <v>47</v>
      </c>
      <c r="U76" t="str">
        <f>IF(AND(ISNUMBER(L76),COUNTIF([2]Songs!$L:$L,L76)&gt;0),"YES","")</f>
        <v/>
      </c>
      <c r="V76" t="str">
        <f>IF(AND(ISNUMBER(L76),COUNTIF([3]Songs!$J:$J,L76)&gt;0),"YES","")</f>
        <v>YES</v>
      </c>
      <c r="W76" t="str">
        <f>IF(AND(ISNUMBER(L76),COUNTIF([1]Songs!$H:$H,L76)&gt;0),"YES","")</f>
        <v/>
      </c>
      <c r="X76" t="s">
        <v>639</v>
      </c>
      <c r="Y76">
        <v>75</v>
      </c>
      <c r="AA76" t="str">
        <f>I76
&amp;IF(H76=I76,""," "&amp;H76)
&amp;IF(OR(R76=I76,R76=H76),""," "&amp;R76)
&amp;IF(R76=S76,""," "&amp;S76)</f>
        <v xml:space="preserve"> C</v>
      </c>
    </row>
    <row r="77" spans="1:27" x14ac:dyDescent="0.25">
      <c r="A77">
        <v>1</v>
      </c>
      <c r="B77">
        <v>2014</v>
      </c>
      <c r="C77" t="s">
        <v>1006</v>
      </c>
      <c r="D77">
        <v>6</v>
      </c>
      <c r="E77" t="s">
        <v>142</v>
      </c>
      <c r="F77" t="s">
        <v>23</v>
      </c>
      <c r="L77" s="10">
        <v>4674166</v>
      </c>
      <c r="P77" s="24" t="s">
        <v>43</v>
      </c>
      <c r="Q77">
        <v>80</v>
      </c>
      <c r="R77" t="s">
        <v>47</v>
      </c>
      <c r="S77" t="s">
        <v>47</v>
      </c>
      <c r="U77" t="str">
        <f>IF(AND(ISNUMBER(L77),COUNTIF([2]Songs!$L:$L,L77)&gt;0),"YES","")</f>
        <v/>
      </c>
      <c r="V77" t="str">
        <f>IF(AND(ISNUMBER(L77),COUNTIF([3]Songs!$J:$J,L77)&gt;0),"YES","")</f>
        <v>YES</v>
      </c>
      <c r="W77" t="str">
        <f>IF(AND(ISNUMBER(L77),COUNTIF([1]Songs!$H:$H,L77)&gt;0),"YES","")</f>
        <v/>
      </c>
      <c r="X77" t="s">
        <v>639</v>
      </c>
      <c r="Y77">
        <v>76</v>
      </c>
      <c r="AA77" t="str">
        <f>I77
&amp;IF(H77=I77,""," "&amp;H77)
&amp;IF(OR(R77=I77,R77=H77),""," "&amp;R77)
&amp;IF(R77=S77,""," "&amp;S77)</f>
        <v xml:space="preserve"> C</v>
      </c>
    </row>
    <row r="78" spans="1:27" x14ac:dyDescent="0.25">
      <c r="A78">
        <v>1</v>
      </c>
      <c r="B78">
        <v>2014</v>
      </c>
      <c r="C78" t="s">
        <v>1006</v>
      </c>
      <c r="D78">
        <v>7</v>
      </c>
      <c r="E78" t="s">
        <v>143</v>
      </c>
      <c r="F78" t="s">
        <v>23</v>
      </c>
      <c r="L78" s="10">
        <v>3599479</v>
      </c>
      <c r="P78" s="24" t="s">
        <v>46</v>
      </c>
      <c r="Q78">
        <v>75</v>
      </c>
      <c r="R78" t="s">
        <v>25</v>
      </c>
      <c r="S78" t="s">
        <v>25</v>
      </c>
      <c r="U78" t="str">
        <f>IF(AND(ISNUMBER(L78),COUNTIF([2]Songs!$L:$L,L78)&gt;0),"YES","")</f>
        <v/>
      </c>
      <c r="V78" t="str">
        <f>IF(AND(ISNUMBER(L78),COUNTIF([3]Songs!$J:$J,L78)&gt;0),"YES","")</f>
        <v>YES</v>
      </c>
      <c r="W78" t="str">
        <f>IF(AND(ISNUMBER(L78),COUNTIF([1]Songs!$H:$H,L78)&gt;0),"YES","")</f>
        <v/>
      </c>
      <c r="X78" t="s">
        <v>639</v>
      </c>
      <c r="Y78">
        <v>77</v>
      </c>
      <c r="AA78" t="str">
        <f>I78
&amp;IF(H78=I78,""," "&amp;H78)
&amp;IF(OR(R78=I78,R78=H78),""," "&amp;R78)
&amp;IF(R78=S78,""," "&amp;S78)</f>
        <v xml:space="preserve"> G</v>
      </c>
    </row>
    <row r="79" spans="1:27" x14ac:dyDescent="0.25">
      <c r="A79">
        <v>1</v>
      </c>
      <c r="B79">
        <v>2014</v>
      </c>
      <c r="C79" t="s">
        <v>1006</v>
      </c>
      <c r="D79">
        <v>8</v>
      </c>
      <c r="E79" t="s">
        <v>144</v>
      </c>
      <c r="F79" t="s">
        <v>145</v>
      </c>
      <c r="G79" t="s">
        <v>415</v>
      </c>
      <c r="H79" s="3" t="s">
        <v>176</v>
      </c>
      <c r="I79" s="3" t="s">
        <v>176</v>
      </c>
      <c r="J79" s="4">
        <v>60</v>
      </c>
      <c r="K79" s="4" t="s">
        <v>371</v>
      </c>
      <c r="L79" s="10">
        <v>4768151</v>
      </c>
      <c r="M79" s="4">
        <v>2006</v>
      </c>
      <c r="N79" s="6" t="s">
        <v>378</v>
      </c>
      <c r="O79" t="s">
        <v>944</v>
      </c>
      <c r="P79" s="24" t="s">
        <v>46</v>
      </c>
      <c r="Q79">
        <v>63</v>
      </c>
      <c r="R79" t="s">
        <v>25</v>
      </c>
      <c r="S79" t="s">
        <v>25</v>
      </c>
      <c r="U79" t="str">
        <f>IF(AND(ISNUMBER(L79),COUNTIF([2]Songs!$L:$L,L79)&gt;0),"YES","")</f>
        <v>YES</v>
      </c>
      <c r="V79" t="str">
        <f>IF(AND(ISNUMBER(L79),COUNTIF([3]Songs!$J:$J,L79)&gt;0),"YES","")</f>
        <v>YES</v>
      </c>
      <c r="W79" t="str">
        <f>IF(AND(ISNUMBER(L79),COUNTIF([1]Songs!$H:$H,L79)&gt;0),"YES","")</f>
        <v/>
      </c>
      <c r="X79" t="s">
        <v>639</v>
      </c>
      <c r="Y79">
        <v>78</v>
      </c>
      <c r="AA79" t="str">
        <f>I79
&amp;IF(H79=I79,""," "&amp;H79)
&amp;IF(OR(R79=I79,R79=H79),""," "&amp;R79)
&amp;IF(R79=S79,""," "&amp;S79)</f>
        <v>F G</v>
      </c>
    </row>
    <row r="80" spans="1:27" x14ac:dyDescent="0.25">
      <c r="A80">
        <v>1</v>
      </c>
      <c r="B80">
        <v>2014</v>
      </c>
      <c r="C80" t="s">
        <v>1006</v>
      </c>
      <c r="D80">
        <v>9</v>
      </c>
      <c r="E80" t="s">
        <v>146</v>
      </c>
      <c r="F80" t="s">
        <v>23</v>
      </c>
      <c r="L80" s="10">
        <v>5553530</v>
      </c>
      <c r="P80" s="24" t="s">
        <v>33</v>
      </c>
      <c r="Q80">
        <v>120</v>
      </c>
      <c r="R80" t="s">
        <v>52</v>
      </c>
      <c r="S80" t="s">
        <v>52</v>
      </c>
      <c r="U80" t="str">
        <f>IF(AND(ISNUMBER(L80),COUNTIF([2]Songs!$L:$L,L80)&gt;0),"YES","")</f>
        <v/>
      </c>
      <c r="V80" t="str">
        <f>IF(AND(ISNUMBER(L80),COUNTIF([3]Songs!$J:$J,L80)&gt;0),"YES","")</f>
        <v>YES</v>
      </c>
      <c r="W80" t="str">
        <f>IF(AND(ISNUMBER(L80),COUNTIF([1]Songs!$H:$H,L80)&gt;0),"YES","")</f>
        <v/>
      </c>
      <c r="X80" t="s">
        <v>639</v>
      </c>
      <c r="Y80">
        <v>79</v>
      </c>
      <c r="AA80" t="str">
        <f>I80
&amp;IF(H80=I80,""," "&amp;H80)
&amp;IF(OR(R80=I80,R80=H80),""," "&amp;R80)
&amp;IF(R80=S80,""," "&amp;S80)</f>
        <v xml:space="preserve"> A</v>
      </c>
    </row>
    <row r="81" spans="1:27" x14ac:dyDescent="0.25">
      <c r="A81">
        <v>1</v>
      </c>
      <c r="B81">
        <v>2014</v>
      </c>
      <c r="C81" t="s">
        <v>1006</v>
      </c>
      <c r="D81">
        <v>10</v>
      </c>
      <c r="E81" t="s">
        <v>147</v>
      </c>
      <c r="F81" t="s">
        <v>23</v>
      </c>
      <c r="L81" s="10">
        <v>4325556</v>
      </c>
      <c r="P81" s="24" t="s">
        <v>70</v>
      </c>
      <c r="Q81">
        <v>58</v>
      </c>
      <c r="R81" t="s">
        <v>84</v>
      </c>
      <c r="S81" t="s">
        <v>176</v>
      </c>
      <c r="U81" t="str">
        <f>IF(AND(ISNUMBER(L81),COUNTIF([2]Songs!$L:$L,L81)&gt;0),"YES","")</f>
        <v/>
      </c>
      <c r="V81" t="str">
        <f>IF(AND(ISNUMBER(L81),COUNTIF([3]Songs!$J:$J,L81)&gt;0),"YES","")</f>
        <v>YES</v>
      </c>
      <c r="W81" t="str">
        <f>IF(AND(ISNUMBER(L81),COUNTIF([1]Songs!$H:$H,L81)&gt;0),"YES","")</f>
        <v/>
      </c>
      <c r="X81" t="s">
        <v>639</v>
      </c>
      <c r="Y81">
        <v>80</v>
      </c>
      <c r="AA81" t="str">
        <f>I81
&amp;IF(H81=I81,""," "&amp;H81)
&amp;IF(OR(R81=I81,R81=H81),""," "&amp;R81)
&amp;IF(R81=S81,""," "&amp;S81)</f>
        <v xml:space="preserve"> F# F</v>
      </c>
    </row>
    <row r="82" spans="1:27" x14ac:dyDescent="0.25">
      <c r="A82">
        <v>1</v>
      </c>
      <c r="B82">
        <v>2014</v>
      </c>
      <c r="C82" t="s">
        <v>1007</v>
      </c>
      <c r="D82">
        <v>1</v>
      </c>
      <c r="E82" t="s">
        <v>148</v>
      </c>
      <c r="F82" t="s">
        <v>23</v>
      </c>
      <c r="L82" s="10">
        <v>5295221</v>
      </c>
      <c r="P82" s="24" t="s">
        <v>149</v>
      </c>
      <c r="Q82">
        <v>110</v>
      </c>
      <c r="R82" t="s">
        <v>31</v>
      </c>
      <c r="S82" t="s">
        <v>31</v>
      </c>
      <c r="U82" t="str">
        <f>IF(AND(ISNUMBER(L82),COUNTIF([2]Songs!$L:$L,L82)&gt;0),"YES","")</f>
        <v/>
      </c>
      <c r="V82" t="str">
        <f>IF(AND(ISNUMBER(L82),COUNTIF([3]Songs!$J:$J,L82)&gt;0),"YES","")</f>
        <v>YES</v>
      </c>
      <c r="W82" t="str">
        <f>IF(AND(ISNUMBER(L82),COUNTIF([1]Songs!$H:$H,L82)&gt;0),"YES","")</f>
        <v/>
      </c>
      <c r="X82" t="s">
        <v>639</v>
      </c>
      <c r="Y82">
        <v>81</v>
      </c>
      <c r="AA82" t="str">
        <f>I82
&amp;IF(H82=I82,""," "&amp;H82)
&amp;IF(OR(R82=I82,R82=H82),""," "&amp;R82)
&amp;IF(R82=S82,""," "&amp;S82)</f>
        <v xml:space="preserve"> B</v>
      </c>
    </row>
    <row r="83" spans="1:27" x14ac:dyDescent="0.25">
      <c r="A83">
        <v>1</v>
      </c>
      <c r="B83">
        <v>2014</v>
      </c>
      <c r="C83" t="s">
        <v>1007</v>
      </c>
      <c r="D83">
        <v>2</v>
      </c>
      <c r="E83" t="s">
        <v>150</v>
      </c>
      <c r="F83" t="s">
        <v>140</v>
      </c>
      <c r="L83" s="10">
        <v>7029516</v>
      </c>
      <c r="P83" s="24" t="s">
        <v>70</v>
      </c>
      <c r="Q83">
        <v>58</v>
      </c>
      <c r="R83" t="s">
        <v>31</v>
      </c>
      <c r="S83" t="s">
        <v>31</v>
      </c>
      <c r="U83" t="str">
        <f>IF(AND(ISNUMBER(L83),COUNTIF([2]Songs!$L:$L,L83)&gt;0),"YES","")</f>
        <v/>
      </c>
      <c r="V83" t="str">
        <f>IF(AND(ISNUMBER(L83),COUNTIF([3]Songs!$J:$J,L83)&gt;0),"YES","")</f>
        <v>YES</v>
      </c>
      <c r="W83" t="str">
        <f>IF(AND(ISNUMBER(L83),COUNTIF([1]Songs!$H:$H,L83)&gt;0),"YES","")</f>
        <v/>
      </c>
      <c r="X83" t="s">
        <v>639</v>
      </c>
      <c r="Y83">
        <v>82</v>
      </c>
      <c r="AA83" t="str">
        <f>I83
&amp;IF(H83=I83,""," "&amp;H83)
&amp;IF(OR(R83=I83,R83=H83),""," "&amp;R83)
&amp;IF(R83=S83,""," "&amp;S83)</f>
        <v xml:space="preserve"> B</v>
      </c>
    </row>
    <row r="84" spans="1:27" x14ac:dyDescent="0.25">
      <c r="A84">
        <v>1</v>
      </c>
      <c r="B84">
        <v>2014</v>
      </c>
      <c r="C84" t="s">
        <v>1007</v>
      </c>
      <c r="D84">
        <v>3</v>
      </c>
      <c r="E84" t="s">
        <v>151</v>
      </c>
      <c r="F84" t="s">
        <v>23</v>
      </c>
      <c r="G84" t="s">
        <v>43</v>
      </c>
      <c r="H84" s="3" t="s">
        <v>39</v>
      </c>
      <c r="I84" s="3" t="s">
        <v>39</v>
      </c>
      <c r="J84" s="4">
        <v>70</v>
      </c>
      <c r="K84" s="4" t="s">
        <v>371</v>
      </c>
      <c r="L84" s="10">
        <v>2296522</v>
      </c>
      <c r="M84" s="4">
        <v>1999</v>
      </c>
      <c r="N84" s="6" t="s">
        <v>381</v>
      </c>
      <c r="O84" t="s">
        <v>945</v>
      </c>
      <c r="P84" s="24" t="s">
        <v>43</v>
      </c>
      <c r="Q84">
        <v>67</v>
      </c>
      <c r="R84" t="s">
        <v>25</v>
      </c>
      <c r="S84" t="s">
        <v>25</v>
      </c>
      <c r="U84" t="str">
        <f>IF(AND(ISNUMBER(L84),COUNTIF([2]Songs!$L:$L,L84)&gt;0),"YES","")</f>
        <v>YES</v>
      </c>
      <c r="V84" t="str">
        <f>IF(AND(ISNUMBER(L84),COUNTIF([3]Songs!$J:$J,L84)&gt;0),"YES","")</f>
        <v>YES</v>
      </c>
      <c r="W84" t="str">
        <f>IF(AND(ISNUMBER(L84),COUNTIF([1]Songs!$H:$H,L84)&gt;0),"YES","")</f>
        <v/>
      </c>
      <c r="X84" t="s">
        <v>639</v>
      </c>
      <c r="Y84">
        <v>83</v>
      </c>
      <c r="AA84" t="str">
        <f>I84
&amp;IF(H84=I84,""," "&amp;H84)
&amp;IF(OR(R84=I84,R84=H84),""," "&amp;R84)
&amp;IF(R84=S84,""," "&amp;S84)</f>
        <v>D G</v>
      </c>
    </row>
    <row r="85" spans="1:27" x14ac:dyDescent="0.25">
      <c r="A85">
        <v>1</v>
      </c>
      <c r="B85">
        <v>2014</v>
      </c>
      <c r="C85" t="s">
        <v>1007</v>
      </c>
      <c r="D85">
        <v>4</v>
      </c>
      <c r="E85" t="s">
        <v>152</v>
      </c>
      <c r="F85" t="s">
        <v>23</v>
      </c>
      <c r="G85" t="s">
        <v>414</v>
      </c>
      <c r="H85" s="3" t="s">
        <v>47</v>
      </c>
      <c r="I85" s="3" t="s">
        <v>47</v>
      </c>
      <c r="J85" s="4">
        <v>76</v>
      </c>
      <c r="K85" s="5" t="s">
        <v>371</v>
      </c>
      <c r="L85" s="10">
        <v>4705176</v>
      </c>
      <c r="M85" s="4">
        <v>2005</v>
      </c>
      <c r="N85" s="4" t="s">
        <v>372</v>
      </c>
      <c r="O85" t="s">
        <v>944</v>
      </c>
      <c r="P85" s="24" t="s">
        <v>24</v>
      </c>
      <c r="Q85">
        <v>71</v>
      </c>
      <c r="R85" t="s">
        <v>47</v>
      </c>
      <c r="S85" t="s">
        <v>47</v>
      </c>
      <c r="U85" t="str">
        <f>IF(AND(ISNUMBER(L85),COUNTIF([2]Songs!$L:$L,L85)&gt;0),"YES","")</f>
        <v>YES</v>
      </c>
      <c r="V85" t="str">
        <f>IF(AND(ISNUMBER(L85),COUNTIF([3]Songs!$J:$J,L85)&gt;0),"YES","")</f>
        <v>YES</v>
      </c>
      <c r="W85" t="str">
        <f>IF(AND(ISNUMBER(L85),COUNTIF([1]Songs!$H:$H,L85)&gt;0),"YES","")</f>
        <v>YES</v>
      </c>
      <c r="X85" t="s">
        <v>639</v>
      </c>
      <c r="Y85">
        <v>84</v>
      </c>
      <c r="AA85" t="str">
        <f>I85
&amp;IF(H85=I85,""," "&amp;H85)
&amp;IF(OR(R85=I85,R85=H85),""," "&amp;R85)
&amp;IF(R85=S85,""," "&amp;S85)</f>
        <v>C</v>
      </c>
    </row>
    <row r="86" spans="1:27" x14ac:dyDescent="0.25">
      <c r="A86">
        <v>1</v>
      </c>
      <c r="B86">
        <v>2014</v>
      </c>
      <c r="C86" t="s">
        <v>1007</v>
      </c>
      <c r="D86">
        <v>5</v>
      </c>
      <c r="E86" t="s">
        <v>153</v>
      </c>
      <c r="F86" t="s">
        <v>23</v>
      </c>
      <c r="G86" t="s">
        <v>413</v>
      </c>
      <c r="H86" s="3" t="s">
        <v>47</v>
      </c>
      <c r="I86" s="3" t="s">
        <v>47</v>
      </c>
      <c r="J86" s="4">
        <v>75</v>
      </c>
      <c r="K86" s="5" t="s">
        <v>380</v>
      </c>
      <c r="L86" s="10">
        <v>5060810</v>
      </c>
      <c r="M86" s="4">
        <v>2007</v>
      </c>
      <c r="N86" s="4" t="s">
        <v>372</v>
      </c>
      <c r="O86" t="s">
        <v>944</v>
      </c>
      <c r="P86" s="24" t="s">
        <v>24</v>
      </c>
      <c r="Q86">
        <v>68</v>
      </c>
      <c r="R86" t="s">
        <v>47</v>
      </c>
      <c r="S86" t="s">
        <v>47</v>
      </c>
      <c r="U86" t="str">
        <f>IF(AND(ISNUMBER(L86),COUNTIF([2]Songs!$L:$L,L86)&gt;0),"YES","")</f>
        <v>YES</v>
      </c>
      <c r="V86" t="str">
        <f>IF(AND(ISNUMBER(L86),COUNTIF([3]Songs!$J:$J,L86)&gt;0),"YES","")</f>
        <v>YES</v>
      </c>
      <c r="W86" t="str">
        <f>IF(AND(ISNUMBER(L86),COUNTIF([1]Songs!$H:$H,L86)&gt;0),"YES","")</f>
        <v>YES</v>
      </c>
      <c r="X86" t="s">
        <v>639</v>
      </c>
      <c r="Y86">
        <v>85</v>
      </c>
      <c r="AA86" t="str">
        <f>I86
&amp;IF(H86=I86,""," "&amp;H86)
&amp;IF(OR(R86=I86,R86=H86),""," "&amp;R86)
&amp;IF(R86=S86,""," "&amp;S86)</f>
        <v>C</v>
      </c>
    </row>
    <row r="87" spans="1:27" x14ac:dyDescent="0.25">
      <c r="A87">
        <v>1</v>
      </c>
      <c r="B87">
        <v>2014</v>
      </c>
      <c r="C87" t="s">
        <v>1007</v>
      </c>
      <c r="D87">
        <v>6</v>
      </c>
      <c r="E87" t="s">
        <v>154</v>
      </c>
      <c r="F87" t="s">
        <v>23</v>
      </c>
      <c r="L87" s="10">
        <v>6590839</v>
      </c>
      <c r="P87" s="24" t="s">
        <v>70</v>
      </c>
      <c r="Q87">
        <v>78</v>
      </c>
      <c r="R87" t="s">
        <v>47</v>
      </c>
      <c r="S87" t="s">
        <v>47</v>
      </c>
      <c r="U87" t="str">
        <f>IF(AND(ISNUMBER(L87),COUNTIF([2]Songs!$L:$L,L87)&gt;0),"YES","")</f>
        <v/>
      </c>
      <c r="V87" t="str">
        <f>IF(AND(ISNUMBER(L87),COUNTIF([3]Songs!$J:$J,L87)&gt;0),"YES","")</f>
        <v>YES</v>
      </c>
      <c r="W87" t="str">
        <f>IF(AND(ISNUMBER(L87),COUNTIF([1]Songs!$H:$H,L87)&gt;0),"YES","")</f>
        <v/>
      </c>
      <c r="X87" t="s">
        <v>639</v>
      </c>
      <c r="Y87">
        <v>86</v>
      </c>
      <c r="AA87" t="str">
        <f>I87
&amp;IF(H87=I87,""," "&amp;H87)
&amp;IF(OR(R87=I87,R87=H87),""," "&amp;R87)
&amp;IF(R87=S87,""," "&amp;S87)</f>
        <v xml:space="preserve"> C</v>
      </c>
    </row>
    <row r="88" spans="1:27" x14ac:dyDescent="0.25">
      <c r="A88">
        <v>1</v>
      </c>
      <c r="B88">
        <v>2014</v>
      </c>
      <c r="C88" t="s">
        <v>1007</v>
      </c>
      <c r="D88">
        <v>7</v>
      </c>
      <c r="E88" t="s">
        <v>155</v>
      </c>
      <c r="F88" t="s">
        <v>23</v>
      </c>
      <c r="L88" s="10">
        <v>5242683</v>
      </c>
      <c r="P88" s="24" t="s">
        <v>33</v>
      </c>
      <c r="Q88">
        <v>83</v>
      </c>
      <c r="R88" t="s">
        <v>36</v>
      </c>
      <c r="S88" t="s">
        <v>36</v>
      </c>
      <c r="U88" t="str">
        <f>IF(AND(ISNUMBER(L88),COUNTIF([2]Songs!$L:$L,L88)&gt;0),"YES","")</f>
        <v/>
      </c>
      <c r="V88" t="str">
        <f>IF(AND(ISNUMBER(L88),COUNTIF([3]Songs!$J:$J,L88)&gt;0),"YES","")</f>
        <v>YES</v>
      </c>
      <c r="W88" t="str">
        <f>IF(AND(ISNUMBER(L88),COUNTIF([1]Songs!$H:$H,L88)&gt;0),"YES","")</f>
        <v/>
      </c>
      <c r="X88" t="s">
        <v>639</v>
      </c>
      <c r="Y88">
        <v>87</v>
      </c>
      <c r="AA88" t="str">
        <f>I88
&amp;IF(H88=I88,""," "&amp;H88)
&amp;IF(OR(R88=I88,R88=H88),""," "&amp;R88)
&amp;IF(R88=S88,""," "&amp;S88)</f>
        <v xml:space="preserve"> E</v>
      </c>
    </row>
    <row r="89" spans="1:27" x14ac:dyDescent="0.25">
      <c r="A89">
        <v>1</v>
      </c>
      <c r="B89">
        <v>2014</v>
      </c>
      <c r="C89" t="s">
        <v>1007</v>
      </c>
      <c r="D89">
        <v>8</v>
      </c>
      <c r="E89" t="s">
        <v>156</v>
      </c>
      <c r="F89" t="s">
        <v>23</v>
      </c>
      <c r="L89" s="10">
        <v>17827</v>
      </c>
      <c r="P89" s="24" t="s">
        <v>157</v>
      </c>
      <c r="Q89">
        <v>71</v>
      </c>
      <c r="R89" t="s">
        <v>25</v>
      </c>
      <c r="S89" t="s">
        <v>25</v>
      </c>
      <c r="U89" t="str">
        <f>IF(AND(ISNUMBER(L89),COUNTIF([2]Songs!$L:$L,L89)&gt;0),"YES","")</f>
        <v/>
      </c>
      <c r="V89" t="str">
        <f>IF(AND(ISNUMBER(L89),COUNTIF([3]Songs!$J:$J,L89)&gt;0),"YES","")</f>
        <v>YES</v>
      </c>
      <c r="W89" t="str">
        <f>IF(AND(ISNUMBER(L89),COUNTIF([1]Songs!$H:$H,L89)&gt;0),"YES","")</f>
        <v/>
      </c>
      <c r="X89" t="s">
        <v>639</v>
      </c>
      <c r="Y89">
        <v>88</v>
      </c>
      <c r="AA89" t="str">
        <f>I89
&amp;IF(H89=I89,""," "&amp;H89)
&amp;IF(OR(R89=I89,R89=H89),""," "&amp;R89)
&amp;IF(R89=S89,""," "&amp;S89)</f>
        <v xml:space="preserve"> G</v>
      </c>
    </row>
    <row r="90" spans="1:27" x14ac:dyDescent="0.25">
      <c r="A90">
        <v>1</v>
      </c>
      <c r="B90">
        <v>2014</v>
      </c>
      <c r="C90" t="s">
        <v>1007</v>
      </c>
      <c r="D90">
        <v>9</v>
      </c>
      <c r="E90" t="s">
        <v>158</v>
      </c>
      <c r="F90" t="s">
        <v>23</v>
      </c>
      <c r="L90" s="10">
        <v>5720105</v>
      </c>
      <c r="P90" s="24" t="s">
        <v>159</v>
      </c>
      <c r="Q90">
        <v>73</v>
      </c>
      <c r="R90" t="s">
        <v>52</v>
      </c>
      <c r="S90" t="s">
        <v>52</v>
      </c>
      <c r="U90" t="str">
        <f>IF(AND(ISNUMBER(L90),COUNTIF([2]Songs!$L:$L,L90)&gt;0),"YES","")</f>
        <v/>
      </c>
      <c r="V90" t="str">
        <f>IF(AND(ISNUMBER(L90),COUNTIF([3]Songs!$J:$J,L90)&gt;0),"YES","")</f>
        <v>YES</v>
      </c>
      <c r="W90" t="str">
        <f>IF(AND(ISNUMBER(L90),COUNTIF([1]Songs!$H:$H,L90)&gt;0),"YES","")</f>
        <v/>
      </c>
      <c r="X90" t="s">
        <v>639</v>
      </c>
      <c r="Y90">
        <v>89</v>
      </c>
      <c r="AA90" t="str">
        <f>I90
&amp;IF(H90=I90,""," "&amp;H90)
&amp;IF(OR(R90=I90,R90=H90),""," "&amp;R90)
&amp;IF(R90=S90,""," "&amp;S90)</f>
        <v xml:space="preserve"> A</v>
      </c>
    </row>
    <row r="91" spans="1:27" x14ac:dyDescent="0.25">
      <c r="A91">
        <v>1</v>
      </c>
      <c r="B91">
        <v>2014</v>
      </c>
      <c r="C91" t="s">
        <v>1007</v>
      </c>
      <c r="D91">
        <v>10</v>
      </c>
      <c r="E91" t="s">
        <v>160</v>
      </c>
      <c r="F91" t="s">
        <v>23</v>
      </c>
      <c r="L91" s="10">
        <v>4611679</v>
      </c>
      <c r="P91" s="24" t="s">
        <v>55</v>
      </c>
      <c r="Q91">
        <v>74</v>
      </c>
      <c r="R91" t="s">
        <v>28</v>
      </c>
      <c r="S91" t="s">
        <v>52</v>
      </c>
      <c r="U91" t="str">
        <f>IF(AND(ISNUMBER(L91),COUNTIF([2]Songs!$L:$L,L91)&gt;0),"YES","")</f>
        <v/>
      </c>
      <c r="V91" t="str">
        <f>IF(AND(ISNUMBER(L91),COUNTIF([3]Songs!$J:$J,L91)&gt;0),"YES","")</f>
        <v>YES</v>
      </c>
      <c r="W91" t="str">
        <f>IF(AND(ISNUMBER(L91),COUNTIF([1]Songs!$H:$H,L91)&gt;0),"YES","")</f>
        <v/>
      </c>
      <c r="X91" t="s">
        <v>639</v>
      </c>
      <c r="Y91">
        <v>90</v>
      </c>
      <c r="AA91" t="str">
        <f>I91
&amp;IF(H91=I91,""," "&amp;H91)
&amp;IF(OR(R91=I91,R91=H91),""," "&amp;R91)
&amp;IF(R91=S91,""," "&amp;S91)</f>
        <v xml:space="preserve"> Bb A</v>
      </c>
    </row>
    <row r="92" spans="1:27" x14ac:dyDescent="0.25">
      <c r="A92">
        <v>1</v>
      </c>
      <c r="B92">
        <v>2014</v>
      </c>
      <c r="C92" t="s">
        <v>0</v>
      </c>
      <c r="D92">
        <v>1</v>
      </c>
      <c r="E92" t="s">
        <v>161</v>
      </c>
      <c r="F92" t="s">
        <v>23</v>
      </c>
      <c r="L92" s="10">
        <v>5894275</v>
      </c>
      <c r="P92" s="24" t="s">
        <v>24</v>
      </c>
      <c r="Q92">
        <v>77</v>
      </c>
      <c r="R92" t="s">
        <v>52</v>
      </c>
      <c r="S92" t="s">
        <v>52</v>
      </c>
      <c r="U92" t="str">
        <f>IF(AND(ISNUMBER(L92),COUNTIF([2]Songs!$L:$L,L92)&gt;0),"YES","")</f>
        <v/>
      </c>
      <c r="V92" t="str">
        <f>IF(AND(ISNUMBER(L92),COUNTIF([3]Songs!$J:$J,L92)&gt;0),"YES","")</f>
        <v>YES</v>
      </c>
      <c r="W92" t="str">
        <f>IF(AND(ISNUMBER(L92),COUNTIF([1]Songs!$H:$H,L92)&gt;0),"YES","")</f>
        <v>YES</v>
      </c>
      <c r="X92" t="s">
        <v>639</v>
      </c>
      <c r="Y92">
        <v>91</v>
      </c>
      <c r="AA92" t="str">
        <f>I92
&amp;IF(H92=I92,""," "&amp;H92)
&amp;IF(OR(R92=I92,R92=H92),""," "&amp;R92)
&amp;IF(R92=S92,""," "&amp;S92)</f>
        <v xml:space="preserve"> A</v>
      </c>
    </row>
    <row r="93" spans="1:27" x14ac:dyDescent="0.25">
      <c r="A93">
        <v>1</v>
      </c>
      <c r="B93">
        <v>2014</v>
      </c>
      <c r="C93" t="s">
        <v>0</v>
      </c>
      <c r="D93">
        <v>2</v>
      </c>
      <c r="E93" t="s">
        <v>162</v>
      </c>
      <c r="F93" t="s">
        <v>23</v>
      </c>
      <c r="G93" t="s">
        <v>416</v>
      </c>
      <c r="H93" s="3" t="s">
        <v>52</v>
      </c>
      <c r="I93" s="3" t="s">
        <v>28</v>
      </c>
      <c r="J93" s="4">
        <v>116</v>
      </c>
      <c r="K93" s="5" t="s">
        <v>371</v>
      </c>
      <c r="L93" s="10">
        <v>5337172</v>
      </c>
      <c r="M93" s="4">
        <v>2008</v>
      </c>
      <c r="N93" s="6" t="s">
        <v>381</v>
      </c>
      <c r="O93" t="s">
        <v>944</v>
      </c>
      <c r="P93" s="24" t="s">
        <v>163</v>
      </c>
      <c r="Q93">
        <v>118</v>
      </c>
      <c r="R93" t="s">
        <v>28</v>
      </c>
      <c r="S93" t="s">
        <v>52</v>
      </c>
      <c r="U93" t="str">
        <f>IF(AND(ISNUMBER(L93),COUNTIF([2]Songs!$L:$L,L93)&gt;0),"YES","")</f>
        <v>YES</v>
      </c>
      <c r="V93" t="str">
        <f>IF(AND(ISNUMBER(L93),COUNTIF([3]Songs!$J:$J,L93)&gt;0),"YES","")</f>
        <v>YES</v>
      </c>
      <c r="W93" t="str">
        <f>IF(AND(ISNUMBER(L93),COUNTIF([1]Songs!$H:$H,L93)&gt;0),"YES","")</f>
        <v/>
      </c>
      <c r="X93" t="s">
        <v>639</v>
      </c>
      <c r="Y93">
        <v>92</v>
      </c>
      <c r="AA93" t="str">
        <f>I93
&amp;IF(H93=I93,""," "&amp;H93)
&amp;IF(OR(R93=I93,R93=H93),""," "&amp;R93)
&amp;IF(R93=S93,""," "&amp;S93)</f>
        <v>Bb A A</v>
      </c>
    </row>
    <row r="94" spans="1:27" x14ac:dyDescent="0.25">
      <c r="A94">
        <v>1</v>
      </c>
      <c r="B94">
        <v>2014</v>
      </c>
      <c r="C94" t="s">
        <v>0</v>
      </c>
      <c r="D94">
        <v>3</v>
      </c>
      <c r="E94" t="s">
        <v>164</v>
      </c>
      <c r="F94" t="s">
        <v>23</v>
      </c>
      <c r="L94" s="10">
        <v>7000686</v>
      </c>
      <c r="P94" s="24" t="s">
        <v>43</v>
      </c>
      <c r="Q94">
        <v>78</v>
      </c>
      <c r="R94" t="s">
        <v>28</v>
      </c>
      <c r="S94" t="s">
        <v>52</v>
      </c>
      <c r="U94" t="str">
        <f>IF(AND(ISNUMBER(L94),COUNTIF([2]Songs!$L:$L,L94)&gt;0),"YES","")</f>
        <v/>
      </c>
      <c r="V94" t="str">
        <f>IF(AND(ISNUMBER(L94),COUNTIF([3]Songs!$J:$J,L94)&gt;0),"YES","")</f>
        <v>YES</v>
      </c>
      <c r="W94" t="str">
        <f>IF(AND(ISNUMBER(L94),COUNTIF([1]Songs!$H:$H,L94)&gt;0),"YES","")</f>
        <v/>
      </c>
      <c r="X94" t="s">
        <v>639</v>
      </c>
      <c r="Y94">
        <v>93</v>
      </c>
      <c r="AA94" t="str">
        <f>I94
&amp;IF(H94=I94,""," "&amp;H94)
&amp;IF(OR(R94=I94,R94=H94),""," "&amp;R94)
&amp;IF(R94=S94,""," "&amp;S94)</f>
        <v xml:space="preserve"> Bb A</v>
      </c>
    </row>
    <row r="95" spans="1:27" x14ac:dyDescent="0.25">
      <c r="A95">
        <v>1</v>
      </c>
      <c r="B95">
        <v>2014</v>
      </c>
      <c r="C95" t="s">
        <v>0</v>
      </c>
      <c r="D95">
        <v>4</v>
      </c>
      <c r="E95" t="s">
        <v>165</v>
      </c>
      <c r="F95" t="s">
        <v>23</v>
      </c>
      <c r="L95" s="10">
        <v>7029242</v>
      </c>
      <c r="P95" s="24" t="s">
        <v>70</v>
      </c>
      <c r="Q95">
        <v>66</v>
      </c>
      <c r="R95" t="s">
        <v>28</v>
      </c>
      <c r="S95" t="s">
        <v>52</v>
      </c>
      <c r="U95" t="str">
        <f>IF(AND(ISNUMBER(L95),COUNTIF([2]Songs!$L:$L,L95)&gt;0),"YES","")</f>
        <v/>
      </c>
      <c r="V95" t="str">
        <f>IF(AND(ISNUMBER(L95),COUNTIF([3]Songs!$J:$J,L95)&gt;0),"YES","")</f>
        <v>YES</v>
      </c>
      <c r="W95" t="str">
        <f>IF(AND(ISNUMBER(L95),COUNTIF([1]Songs!$H:$H,L95)&gt;0),"YES","")</f>
        <v/>
      </c>
      <c r="X95" t="s">
        <v>639</v>
      </c>
      <c r="Y95">
        <v>94</v>
      </c>
      <c r="AA95" t="str">
        <f>I95
&amp;IF(H95=I95,""," "&amp;H95)
&amp;IF(OR(R95=I95,R95=H95),""," "&amp;R95)
&amp;IF(R95=S95,""," "&amp;S95)</f>
        <v xml:space="preserve"> Bb A</v>
      </c>
    </row>
    <row r="96" spans="1:27" x14ac:dyDescent="0.25">
      <c r="A96">
        <v>1</v>
      </c>
      <c r="B96">
        <v>2014</v>
      </c>
      <c r="C96" t="s">
        <v>0</v>
      </c>
      <c r="D96">
        <v>5</v>
      </c>
      <c r="E96" t="s">
        <v>166</v>
      </c>
      <c r="F96" t="s">
        <v>23</v>
      </c>
      <c r="G96" t="s">
        <v>417</v>
      </c>
      <c r="H96" s="3" t="s">
        <v>52</v>
      </c>
      <c r="I96" s="3" t="s">
        <v>28</v>
      </c>
      <c r="J96" s="4">
        <v>68</v>
      </c>
      <c r="K96" s="5" t="s">
        <v>371</v>
      </c>
      <c r="L96" s="10">
        <v>4219071</v>
      </c>
      <c r="M96" s="4">
        <v>2004</v>
      </c>
      <c r="N96" s="6" t="s">
        <v>418</v>
      </c>
      <c r="O96" t="s">
        <v>944</v>
      </c>
      <c r="P96" s="24" t="s">
        <v>167</v>
      </c>
      <c r="Q96">
        <v>70</v>
      </c>
      <c r="R96" t="s">
        <v>47</v>
      </c>
      <c r="S96" t="s">
        <v>47</v>
      </c>
      <c r="U96" t="str">
        <f>IF(AND(ISNUMBER(L96),COUNTIF([2]Songs!$L:$L,L96)&gt;0),"YES","")</f>
        <v>YES</v>
      </c>
      <c r="V96" t="str">
        <f>IF(AND(ISNUMBER(L96),COUNTIF([3]Songs!$J:$J,L96)&gt;0),"YES","")</f>
        <v>YES</v>
      </c>
      <c r="W96" t="str">
        <f>IF(AND(ISNUMBER(L96),COUNTIF([1]Songs!$H:$H,L96)&gt;0),"YES","")</f>
        <v/>
      </c>
      <c r="X96" t="s">
        <v>639</v>
      </c>
      <c r="Y96">
        <v>95</v>
      </c>
      <c r="AA96" t="str">
        <f>I96
&amp;IF(H96=I96,""," "&amp;H96)
&amp;IF(OR(R96=I96,R96=H96),""," "&amp;R96)
&amp;IF(R96=S96,""," "&amp;S96)</f>
        <v>Bb A C</v>
      </c>
    </row>
    <row r="97" spans="1:27" x14ac:dyDescent="0.25">
      <c r="A97">
        <v>1</v>
      </c>
      <c r="B97">
        <v>2014</v>
      </c>
      <c r="C97" t="s">
        <v>0</v>
      </c>
      <c r="D97">
        <v>6</v>
      </c>
      <c r="E97" t="s">
        <v>168</v>
      </c>
      <c r="F97" t="s">
        <v>23</v>
      </c>
      <c r="G97" t="s">
        <v>419</v>
      </c>
      <c r="H97" s="3" t="s">
        <v>31</v>
      </c>
      <c r="I97" s="3" t="s">
        <v>31</v>
      </c>
      <c r="J97" s="4">
        <v>86</v>
      </c>
      <c r="K97" s="5" t="s">
        <v>371</v>
      </c>
      <c r="L97" s="10">
        <v>5183443</v>
      </c>
      <c r="M97" s="4">
        <v>2008</v>
      </c>
      <c r="N97" s="6" t="s">
        <v>378</v>
      </c>
      <c r="O97" t="s">
        <v>944</v>
      </c>
      <c r="P97" s="24" t="s">
        <v>46</v>
      </c>
      <c r="Q97">
        <v>86</v>
      </c>
      <c r="R97" t="s">
        <v>31</v>
      </c>
      <c r="S97" t="s">
        <v>31</v>
      </c>
      <c r="U97" t="str">
        <f>IF(AND(ISNUMBER(L97),COUNTIF([2]Songs!$L:$L,L97)&gt;0),"YES","")</f>
        <v>YES</v>
      </c>
      <c r="V97" t="str">
        <f>IF(AND(ISNUMBER(L97),COUNTIF([3]Songs!$J:$J,L97)&gt;0),"YES","")</f>
        <v>YES</v>
      </c>
      <c r="W97" t="str">
        <f>IF(AND(ISNUMBER(L97),COUNTIF([1]Songs!$H:$H,L97)&gt;0),"YES","")</f>
        <v/>
      </c>
      <c r="X97" t="s">
        <v>639</v>
      </c>
      <c r="Y97">
        <v>96</v>
      </c>
      <c r="AA97" t="str">
        <f>I97
&amp;IF(H97=I97,""," "&amp;H97)
&amp;IF(OR(R97=I97,R97=H97),""," "&amp;R97)
&amp;IF(R97=S97,""," "&amp;S97)</f>
        <v>B</v>
      </c>
    </row>
    <row r="98" spans="1:27" x14ac:dyDescent="0.25">
      <c r="A98">
        <v>1</v>
      </c>
      <c r="B98">
        <v>2014</v>
      </c>
      <c r="C98" t="s">
        <v>0</v>
      </c>
      <c r="D98">
        <v>7</v>
      </c>
      <c r="E98" t="s">
        <v>169</v>
      </c>
      <c r="F98" t="s">
        <v>23</v>
      </c>
      <c r="G98" t="s">
        <v>389</v>
      </c>
      <c r="H98" s="3" t="s">
        <v>31</v>
      </c>
      <c r="I98" s="3" t="s">
        <v>31</v>
      </c>
      <c r="J98" s="4">
        <v>82</v>
      </c>
      <c r="K98" s="4" t="s">
        <v>371</v>
      </c>
      <c r="L98" s="10">
        <v>5183450</v>
      </c>
      <c r="M98" s="4">
        <v>2008</v>
      </c>
      <c r="N98" s="4" t="s">
        <v>378</v>
      </c>
      <c r="O98" t="s">
        <v>944</v>
      </c>
      <c r="P98" s="24" t="s">
        <v>46</v>
      </c>
      <c r="Q98">
        <v>77</v>
      </c>
      <c r="R98" t="s">
        <v>31</v>
      </c>
      <c r="S98" t="s">
        <v>31</v>
      </c>
      <c r="U98" t="str">
        <f>IF(AND(ISNUMBER(L98),COUNTIF([2]Songs!$L:$L,L98)&gt;0),"YES","")</f>
        <v>YES</v>
      </c>
      <c r="V98" t="str">
        <f>IF(AND(ISNUMBER(L98),COUNTIF([3]Songs!$J:$J,L98)&gt;0),"YES","")</f>
        <v>YES</v>
      </c>
      <c r="W98" t="str">
        <f>IF(AND(ISNUMBER(L98),COUNTIF([1]Songs!$H:$H,L98)&gt;0),"YES","")</f>
        <v/>
      </c>
      <c r="X98" t="s">
        <v>639</v>
      </c>
      <c r="Y98">
        <v>97</v>
      </c>
      <c r="AA98" t="str">
        <f>I98
&amp;IF(H98=I98,""," "&amp;H98)
&amp;IF(OR(R98=I98,R98=H98),""," "&amp;R98)
&amp;IF(R98=S98,""," "&amp;S98)</f>
        <v>B</v>
      </c>
    </row>
    <row r="99" spans="1:27" x14ac:dyDescent="0.25">
      <c r="A99">
        <v>1</v>
      </c>
      <c r="B99">
        <v>2014</v>
      </c>
      <c r="C99" t="s">
        <v>0</v>
      </c>
      <c r="D99">
        <v>8</v>
      </c>
      <c r="E99" t="s">
        <v>170</v>
      </c>
      <c r="F99" t="s">
        <v>23</v>
      </c>
      <c r="G99" t="s">
        <v>420</v>
      </c>
      <c r="H99" s="3" t="s">
        <v>25</v>
      </c>
      <c r="I99" s="3" t="s">
        <v>421</v>
      </c>
      <c r="J99" s="4">
        <v>82</v>
      </c>
      <c r="K99" s="5" t="s">
        <v>371</v>
      </c>
      <c r="L99" s="10">
        <v>3118757</v>
      </c>
      <c r="M99" s="4">
        <v>2000</v>
      </c>
      <c r="N99" s="6" t="s">
        <v>422</v>
      </c>
      <c r="O99" t="s">
        <v>944</v>
      </c>
      <c r="P99" s="24" t="s">
        <v>171</v>
      </c>
      <c r="Q99">
        <v>84</v>
      </c>
      <c r="R99" t="s">
        <v>25</v>
      </c>
      <c r="S99" t="s">
        <v>25</v>
      </c>
      <c r="U99" t="str">
        <f>IF(AND(ISNUMBER(L99),COUNTIF([2]Songs!$L:$L,L99)&gt;0),"YES","")</f>
        <v>YES</v>
      </c>
      <c r="V99" t="str">
        <f>IF(AND(ISNUMBER(L99),COUNTIF([3]Songs!$J:$J,L99)&gt;0),"YES","")</f>
        <v>YES</v>
      </c>
      <c r="W99" t="str">
        <f>IF(AND(ISNUMBER(L99),COUNTIF([1]Songs!$H:$H,L99)&gt;0),"YES","")</f>
        <v/>
      </c>
      <c r="X99" t="s">
        <v>639</v>
      </c>
      <c r="Y99">
        <v>98</v>
      </c>
      <c r="AA99" t="str">
        <f>I99
&amp;IF(H99=I99,""," "&amp;H99)
&amp;IF(OR(R99=I99,R99=H99),""," "&amp;R99)
&amp;IF(R99=S99,""," "&amp;S99)</f>
        <v>Ab,Bb G</v>
      </c>
    </row>
    <row r="100" spans="1:27" x14ac:dyDescent="0.25">
      <c r="A100">
        <v>1</v>
      </c>
      <c r="B100">
        <v>2014</v>
      </c>
      <c r="C100" t="s">
        <v>0</v>
      </c>
      <c r="D100">
        <v>9</v>
      </c>
      <c r="E100" t="s">
        <v>172</v>
      </c>
      <c r="F100" t="s">
        <v>173</v>
      </c>
      <c r="G100" t="s">
        <v>423</v>
      </c>
      <c r="H100" s="3" t="s">
        <v>36</v>
      </c>
      <c r="I100" s="3" t="s">
        <v>36</v>
      </c>
      <c r="J100" s="4">
        <v>70</v>
      </c>
      <c r="K100" s="5" t="s">
        <v>371</v>
      </c>
      <c r="L100" s="10">
        <v>2456623</v>
      </c>
      <c r="M100" s="4">
        <v>1996</v>
      </c>
      <c r="N100" s="6" t="s">
        <v>424</v>
      </c>
      <c r="O100" t="s">
        <v>945</v>
      </c>
      <c r="P100" s="24" t="s">
        <v>24</v>
      </c>
      <c r="Q100">
        <v>70</v>
      </c>
      <c r="R100" t="s">
        <v>39</v>
      </c>
      <c r="S100" t="s">
        <v>39</v>
      </c>
      <c r="U100" t="str">
        <f>IF(AND(ISNUMBER(L100),COUNTIF([2]Songs!$L:$L,L100)&gt;0),"YES","")</f>
        <v>YES</v>
      </c>
      <c r="V100" t="str">
        <f>IF(AND(ISNUMBER(L100),COUNTIF([3]Songs!$J:$J,L100)&gt;0),"YES","")</f>
        <v>YES</v>
      </c>
      <c r="W100" t="str">
        <f>IF(AND(ISNUMBER(L100),COUNTIF([1]Songs!$H:$H,L100)&gt;0),"YES","")</f>
        <v/>
      </c>
      <c r="X100" t="s">
        <v>639</v>
      </c>
      <c r="Y100">
        <v>99</v>
      </c>
      <c r="AA100" t="str">
        <f>I100
&amp;IF(H100=I100,""," "&amp;H100)
&amp;IF(OR(R100=I100,R100=H100),""," "&amp;R100)
&amp;IF(R100=S100,""," "&amp;S100)</f>
        <v>E D</v>
      </c>
    </row>
    <row r="101" spans="1:27" x14ac:dyDescent="0.25">
      <c r="A101">
        <v>1</v>
      </c>
      <c r="B101">
        <v>2014</v>
      </c>
      <c r="C101" t="s">
        <v>0</v>
      </c>
      <c r="D101">
        <v>10</v>
      </c>
      <c r="E101" t="s">
        <v>174</v>
      </c>
      <c r="F101" t="s">
        <v>23</v>
      </c>
      <c r="G101" t="s">
        <v>175</v>
      </c>
      <c r="H101" s="3" t="s">
        <v>39</v>
      </c>
      <c r="I101" s="3" t="s">
        <v>39</v>
      </c>
      <c r="J101" s="4">
        <v>54</v>
      </c>
      <c r="K101" s="4" t="s">
        <v>371</v>
      </c>
      <c r="L101" s="10">
        <v>1558110</v>
      </c>
      <c r="M101" s="4">
        <v>1995</v>
      </c>
      <c r="N101" s="6" t="s">
        <v>381</v>
      </c>
      <c r="O101" t="s">
        <v>945</v>
      </c>
      <c r="P101" s="24" t="s">
        <v>175</v>
      </c>
      <c r="Q101">
        <v>65</v>
      </c>
      <c r="R101" t="s">
        <v>176</v>
      </c>
      <c r="S101" t="s">
        <v>176</v>
      </c>
      <c r="U101" t="str">
        <f>IF(AND(ISNUMBER(L101),COUNTIF([2]Songs!$L:$L,L101)&gt;0),"YES","")</f>
        <v>YES</v>
      </c>
      <c r="V101" t="str">
        <f>IF(AND(ISNUMBER(L101),COUNTIF([3]Songs!$J:$J,L101)&gt;0),"YES","")</f>
        <v>YES</v>
      </c>
      <c r="W101" t="str">
        <f>IF(AND(ISNUMBER(L101),COUNTIF([1]Songs!$H:$H,L101)&gt;0),"YES","")</f>
        <v/>
      </c>
      <c r="X101" t="s">
        <v>639</v>
      </c>
      <c r="Y101">
        <v>100</v>
      </c>
      <c r="AA101" t="str">
        <f>I101
&amp;IF(H101=I101,""," "&amp;H101)
&amp;IF(OR(R101=I101,R101=H101),""," "&amp;R101)
&amp;IF(R101=S101,""," "&amp;S101)</f>
        <v>D F</v>
      </c>
    </row>
    <row r="102" spans="1:27" x14ac:dyDescent="0.25">
      <c r="A102">
        <v>1</v>
      </c>
      <c r="B102">
        <v>2015</v>
      </c>
      <c r="C102" t="s">
        <v>1</v>
      </c>
      <c r="D102">
        <v>1</v>
      </c>
      <c r="E102" t="s">
        <v>177</v>
      </c>
      <c r="F102" t="s">
        <v>23</v>
      </c>
      <c r="G102" s="1"/>
      <c r="H102" s="1"/>
      <c r="I102" s="2"/>
      <c r="J102" s="2"/>
      <c r="K102" s="2"/>
      <c r="L102" s="10">
        <v>7041770</v>
      </c>
      <c r="M102" s="2"/>
      <c r="N102" s="2"/>
      <c r="P102" s="24" t="s">
        <v>70</v>
      </c>
      <c r="Q102">
        <v>61</v>
      </c>
      <c r="R102" t="s">
        <v>39</v>
      </c>
      <c r="S102" t="s">
        <v>39</v>
      </c>
      <c r="T102" s="1"/>
      <c r="U102" t="str">
        <f>IF(AND(ISNUMBER(L102),COUNTIF([2]Songs!$L:$L,L102)&gt;0),"YES","")</f>
        <v/>
      </c>
      <c r="V102" t="str">
        <f>IF(AND(ISNUMBER(L102),COUNTIF([3]Songs!$J:$J,L102)&gt;0),"YES","")</f>
        <v>YES</v>
      </c>
      <c r="W102" t="str">
        <f>IF(AND(ISNUMBER(L102),COUNTIF([1]Songs!$H:$H,L102)&gt;0),"YES","")</f>
        <v/>
      </c>
      <c r="X102" t="s">
        <v>639</v>
      </c>
      <c r="Y102">
        <v>101</v>
      </c>
      <c r="AA102" t="str">
        <f>I102
&amp;IF(H102=I102,""," "&amp;H102)
&amp;IF(OR(R102=I102,R102=H102),""," "&amp;R102)
&amp;IF(R102=S102,""," "&amp;S102)</f>
        <v xml:space="preserve"> D</v>
      </c>
    </row>
    <row r="103" spans="1:27" x14ac:dyDescent="0.25">
      <c r="A103">
        <v>1</v>
      </c>
      <c r="B103">
        <v>2015</v>
      </c>
      <c r="C103" t="s">
        <v>1</v>
      </c>
      <c r="D103">
        <v>2</v>
      </c>
      <c r="E103" t="s">
        <v>178</v>
      </c>
      <c r="F103" t="s">
        <v>23</v>
      </c>
      <c r="G103" s="1"/>
      <c r="H103" s="1"/>
      <c r="I103" s="2"/>
      <c r="J103" s="2"/>
      <c r="K103" s="2"/>
      <c r="L103" s="10">
        <v>7030072</v>
      </c>
      <c r="M103" s="2"/>
      <c r="N103" s="2"/>
      <c r="P103" s="24" t="s">
        <v>121</v>
      </c>
      <c r="Q103">
        <v>63</v>
      </c>
      <c r="R103" t="s">
        <v>39</v>
      </c>
      <c r="S103" t="s">
        <v>39</v>
      </c>
      <c r="T103" s="1"/>
      <c r="U103" t="str">
        <f>IF(AND(ISNUMBER(L103),COUNTIF([2]Songs!$L:$L,L103)&gt;0),"YES","")</f>
        <v/>
      </c>
      <c r="V103" t="str">
        <f>IF(AND(ISNUMBER(L103),COUNTIF([3]Songs!$J:$J,L103)&gt;0),"YES","")</f>
        <v>YES</v>
      </c>
      <c r="W103" t="str">
        <f>IF(AND(ISNUMBER(L103),COUNTIF([1]Songs!$H:$H,L103)&gt;0),"YES","")</f>
        <v/>
      </c>
      <c r="X103" t="s">
        <v>639</v>
      </c>
      <c r="Y103">
        <v>102</v>
      </c>
      <c r="AA103" t="str">
        <f>I103
&amp;IF(H103=I103,""," "&amp;H103)
&amp;IF(OR(R103=I103,R103=H103),""," "&amp;R103)
&amp;IF(R103=S103,""," "&amp;S103)</f>
        <v xml:space="preserve"> D</v>
      </c>
    </row>
    <row r="104" spans="1:27" x14ac:dyDescent="0.25">
      <c r="A104">
        <v>1</v>
      </c>
      <c r="B104">
        <v>2015</v>
      </c>
      <c r="C104" t="s">
        <v>1</v>
      </c>
      <c r="D104">
        <v>3</v>
      </c>
      <c r="E104" t="s">
        <v>179</v>
      </c>
      <c r="F104" t="s">
        <v>23</v>
      </c>
      <c r="G104" s="1"/>
      <c r="H104" s="1"/>
      <c r="I104" s="2"/>
      <c r="J104" s="2"/>
      <c r="K104" s="2"/>
      <c r="L104" s="10">
        <v>7018338</v>
      </c>
      <c r="M104" s="2"/>
      <c r="N104" s="2"/>
      <c r="P104" s="24" t="s">
        <v>24</v>
      </c>
      <c r="Q104">
        <v>72</v>
      </c>
      <c r="R104" t="s">
        <v>47</v>
      </c>
      <c r="S104" t="s">
        <v>47</v>
      </c>
      <c r="T104" s="1"/>
      <c r="U104" t="str">
        <f>IF(AND(ISNUMBER(L104),COUNTIF([2]Songs!$L:$L,L104)&gt;0),"YES","")</f>
        <v/>
      </c>
      <c r="V104" t="str">
        <f>IF(AND(ISNUMBER(L104),COUNTIF([3]Songs!$J:$J,L104)&gt;0),"YES","")</f>
        <v>YES</v>
      </c>
      <c r="W104" t="str">
        <f>IF(AND(ISNUMBER(L104),COUNTIF([1]Songs!$H:$H,L104)&gt;0),"YES","")</f>
        <v>YES</v>
      </c>
      <c r="X104" t="s">
        <v>639</v>
      </c>
      <c r="Y104">
        <v>103</v>
      </c>
      <c r="AA104" t="str">
        <f>I104
&amp;IF(H104=I104,""," "&amp;H104)
&amp;IF(OR(R104=I104,R104=H104),""," "&amp;R104)
&amp;IF(R104=S104,""," "&amp;S104)</f>
        <v xml:space="preserve"> C</v>
      </c>
    </row>
    <row r="105" spans="1:27" x14ac:dyDescent="0.25">
      <c r="A105">
        <v>1</v>
      </c>
      <c r="B105">
        <v>2015</v>
      </c>
      <c r="C105" t="s">
        <v>1</v>
      </c>
      <c r="D105">
        <v>4</v>
      </c>
      <c r="E105" t="s">
        <v>180</v>
      </c>
      <c r="F105" t="s">
        <v>23</v>
      </c>
      <c r="G105" t="s">
        <v>370</v>
      </c>
      <c r="H105" s="3" t="s">
        <v>47</v>
      </c>
      <c r="I105" s="3" t="s">
        <v>47</v>
      </c>
      <c r="J105" s="4">
        <v>42</v>
      </c>
      <c r="K105" s="5" t="s">
        <v>425</v>
      </c>
      <c r="L105" s="10">
        <v>6428750</v>
      </c>
      <c r="M105" s="4">
        <v>2012</v>
      </c>
      <c r="N105" s="4" t="s">
        <v>372</v>
      </c>
      <c r="O105" t="s">
        <v>944</v>
      </c>
      <c r="P105" s="24" t="s">
        <v>181</v>
      </c>
      <c r="Q105">
        <v>127</v>
      </c>
      <c r="R105" t="s">
        <v>47</v>
      </c>
      <c r="S105" t="s">
        <v>47</v>
      </c>
      <c r="T105" s="1"/>
      <c r="U105" t="str">
        <f>IF(AND(ISNUMBER(L105),COUNTIF([2]Songs!$L:$L,L105)&gt;0),"YES","")</f>
        <v>YES</v>
      </c>
      <c r="V105" t="str">
        <f>IF(AND(ISNUMBER(L105),COUNTIF([3]Songs!$J:$J,L105)&gt;0),"YES","")</f>
        <v>YES</v>
      </c>
      <c r="W105" t="str">
        <f>IF(AND(ISNUMBER(L105),COUNTIF([1]Songs!$H:$H,L105)&gt;0),"YES","")</f>
        <v/>
      </c>
      <c r="X105" t="s">
        <v>639</v>
      </c>
      <c r="Y105">
        <v>104</v>
      </c>
      <c r="AA105" t="str">
        <f>I105
&amp;IF(H105=I105,""," "&amp;H105)
&amp;IF(OR(R105=I105,R105=H105),""," "&amp;R105)
&amp;IF(R105=S105,""," "&amp;S105)</f>
        <v>C</v>
      </c>
    </row>
    <row r="106" spans="1:27" x14ac:dyDescent="0.25">
      <c r="A106">
        <v>1</v>
      </c>
      <c r="B106">
        <v>2015</v>
      </c>
      <c r="C106" t="s">
        <v>1</v>
      </c>
      <c r="D106">
        <v>5</v>
      </c>
      <c r="E106" t="s">
        <v>118</v>
      </c>
      <c r="F106" t="s">
        <v>182</v>
      </c>
      <c r="G106" t="s">
        <v>426</v>
      </c>
      <c r="H106" s="3" t="s">
        <v>52</v>
      </c>
      <c r="I106" s="3" t="s">
        <v>52</v>
      </c>
      <c r="J106" s="4">
        <v>73</v>
      </c>
      <c r="K106" s="4" t="s">
        <v>371</v>
      </c>
      <c r="L106" s="10">
        <v>7001228</v>
      </c>
      <c r="M106" s="4">
        <v>2013</v>
      </c>
      <c r="N106" s="6" t="s">
        <v>427</v>
      </c>
      <c r="O106" t="s">
        <v>944</v>
      </c>
      <c r="P106" s="24" t="s">
        <v>113</v>
      </c>
      <c r="Q106">
        <v>74</v>
      </c>
      <c r="R106" t="s">
        <v>47</v>
      </c>
      <c r="S106" t="s">
        <v>47</v>
      </c>
      <c r="T106" s="1"/>
      <c r="U106" t="str">
        <f>IF(AND(ISNUMBER(L106),COUNTIF([2]Songs!$L:$L,L106)&gt;0),"YES","")</f>
        <v>YES</v>
      </c>
      <c r="V106" t="str">
        <f>IF(AND(ISNUMBER(L106),COUNTIF([3]Songs!$J:$J,L106)&gt;0),"YES","")</f>
        <v>YES</v>
      </c>
      <c r="W106" t="str">
        <f>IF(AND(ISNUMBER(L106),COUNTIF([1]Songs!$H:$H,L106)&gt;0),"YES","")</f>
        <v/>
      </c>
      <c r="X106" t="s">
        <v>639</v>
      </c>
      <c r="Y106">
        <v>105</v>
      </c>
      <c r="AA106" t="str">
        <f>I106
&amp;IF(H106=I106,""," "&amp;H106)
&amp;IF(OR(R106=I106,R106=H106),""," "&amp;R106)
&amp;IF(R106=S106,""," "&amp;S106)</f>
        <v>A C</v>
      </c>
    </row>
    <row r="107" spans="1:27" x14ac:dyDescent="0.25">
      <c r="A107">
        <v>1</v>
      </c>
      <c r="B107">
        <v>2015</v>
      </c>
      <c r="C107" t="s">
        <v>1</v>
      </c>
      <c r="D107">
        <v>6</v>
      </c>
      <c r="E107" t="s">
        <v>183</v>
      </c>
      <c r="F107" t="s">
        <v>23</v>
      </c>
      <c r="G107" s="1"/>
      <c r="H107" s="1"/>
      <c r="I107" s="2"/>
      <c r="J107" s="2"/>
      <c r="K107" s="2"/>
      <c r="L107" s="10">
        <v>7028829</v>
      </c>
      <c r="M107" s="2"/>
      <c r="N107" s="2"/>
      <c r="P107" s="24" t="s">
        <v>46</v>
      </c>
      <c r="Q107">
        <v>81</v>
      </c>
      <c r="R107" t="s">
        <v>47</v>
      </c>
      <c r="S107" t="s">
        <v>47</v>
      </c>
      <c r="T107" s="1"/>
      <c r="U107" t="str">
        <f>IF(AND(ISNUMBER(L107),COUNTIF([2]Songs!$L:$L,L107)&gt;0),"YES","")</f>
        <v/>
      </c>
      <c r="V107" t="str">
        <f>IF(AND(ISNUMBER(L107),COUNTIF([3]Songs!$J:$J,L107)&gt;0),"YES","")</f>
        <v>YES</v>
      </c>
      <c r="W107" t="str">
        <f>IF(AND(ISNUMBER(L107),COUNTIF([1]Songs!$H:$H,L107)&gt;0),"YES","")</f>
        <v/>
      </c>
      <c r="X107" t="s">
        <v>639</v>
      </c>
      <c r="Y107">
        <v>106</v>
      </c>
      <c r="AA107" t="str">
        <f>I107
&amp;IF(H107=I107,""," "&amp;H107)
&amp;IF(OR(R107=I107,R107=H107),""," "&amp;R107)
&amp;IF(R107=S107,""," "&amp;S107)</f>
        <v xml:space="preserve"> C</v>
      </c>
    </row>
    <row r="108" spans="1:27" x14ac:dyDescent="0.25">
      <c r="A108">
        <v>1</v>
      </c>
      <c r="B108">
        <v>2015</v>
      </c>
      <c r="C108" t="s">
        <v>1</v>
      </c>
      <c r="D108">
        <v>7</v>
      </c>
      <c r="E108" t="s">
        <v>184</v>
      </c>
      <c r="F108" t="s">
        <v>23</v>
      </c>
      <c r="G108" s="1"/>
      <c r="H108" s="1"/>
      <c r="I108" s="2"/>
      <c r="J108" s="2"/>
      <c r="K108" s="2"/>
      <c r="L108" s="10">
        <v>7016414</v>
      </c>
      <c r="M108" s="2"/>
      <c r="N108" s="2"/>
      <c r="P108" s="24" t="s">
        <v>30</v>
      </c>
      <c r="Q108">
        <v>77</v>
      </c>
      <c r="R108" t="s">
        <v>47</v>
      </c>
      <c r="S108" t="s">
        <v>47</v>
      </c>
      <c r="T108" s="1"/>
      <c r="U108" t="str">
        <f>IF(AND(ISNUMBER(L108),COUNTIF([2]Songs!$L:$L,L108)&gt;0),"YES","")</f>
        <v/>
      </c>
      <c r="V108" t="str">
        <f>IF(AND(ISNUMBER(L108),COUNTIF([3]Songs!$J:$J,L108)&gt;0),"YES","")</f>
        <v>YES</v>
      </c>
      <c r="W108" t="str">
        <f>IF(AND(ISNUMBER(L108),COUNTIF([1]Songs!$H:$H,L108)&gt;0),"YES","")</f>
        <v/>
      </c>
      <c r="X108" t="s">
        <v>639</v>
      </c>
      <c r="Y108">
        <v>107</v>
      </c>
      <c r="AA108" t="str">
        <f>I108
&amp;IF(H108=I108,""," "&amp;H108)
&amp;IF(OR(R108=I108,R108=H108),""," "&amp;R108)
&amp;IF(R108=S108,""," "&amp;S108)</f>
        <v xml:space="preserve"> C</v>
      </c>
    </row>
    <row r="109" spans="1:27" x14ac:dyDescent="0.25">
      <c r="A109">
        <v>1</v>
      </c>
      <c r="B109">
        <v>2015</v>
      </c>
      <c r="C109" t="s">
        <v>1</v>
      </c>
      <c r="D109">
        <v>8</v>
      </c>
      <c r="E109" t="s">
        <v>185</v>
      </c>
      <c r="F109" t="s">
        <v>23</v>
      </c>
      <c r="G109" s="1"/>
      <c r="H109" s="1"/>
      <c r="I109" s="2"/>
      <c r="J109" s="2"/>
      <c r="K109" s="2"/>
      <c r="L109" s="10">
        <v>7003306</v>
      </c>
      <c r="M109" s="2"/>
      <c r="N109" s="2"/>
      <c r="P109" s="24" t="s">
        <v>186</v>
      </c>
      <c r="Q109">
        <v>138</v>
      </c>
      <c r="R109" t="s">
        <v>52</v>
      </c>
      <c r="S109" t="s">
        <v>52</v>
      </c>
      <c r="T109" s="1"/>
      <c r="U109" t="str">
        <f>IF(AND(ISNUMBER(L109),COUNTIF([2]Songs!$L:$L,L109)&gt;0),"YES","")</f>
        <v/>
      </c>
      <c r="V109" t="str">
        <f>IF(AND(ISNUMBER(L109),COUNTIF([3]Songs!$J:$J,L109)&gt;0),"YES","")</f>
        <v>YES</v>
      </c>
      <c r="W109" t="str">
        <f>IF(AND(ISNUMBER(L109),COUNTIF([1]Songs!$H:$H,L109)&gt;0),"YES","")</f>
        <v/>
      </c>
      <c r="X109" t="s">
        <v>639</v>
      </c>
      <c r="Y109">
        <v>108</v>
      </c>
      <c r="AA109" t="str">
        <f>I109
&amp;IF(H109=I109,""," "&amp;H109)
&amp;IF(OR(R109=I109,R109=H109),""," "&amp;R109)
&amp;IF(R109=S109,""," "&amp;S109)</f>
        <v xml:space="preserve"> A</v>
      </c>
    </row>
    <row r="110" spans="1:27" x14ac:dyDescent="0.25">
      <c r="A110">
        <v>1</v>
      </c>
      <c r="B110">
        <v>2015</v>
      </c>
      <c r="C110" t="s">
        <v>1</v>
      </c>
      <c r="D110">
        <v>9</v>
      </c>
      <c r="E110" t="s">
        <v>187</v>
      </c>
      <c r="F110" t="s">
        <v>23</v>
      </c>
      <c r="G110" t="s">
        <v>428</v>
      </c>
      <c r="H110" s="3" t="s">
        <v>52</v>
      </c>
      <c r="I110" s="3" t="s">
        <v>52</v>
      </c>
      <c r="J110" s="4">
        <v>144</v>
      </c>
      <c r="K110" s="7" t="s">
        <v>425</v>
      </c>
      <c r="L110" s="10">
        <v>6460220</v>
      </c>
      <c r="M110" s="4">
        <v>2012</v>
      </c>
      <c r="N110" s="6" t="s">
        <v>429</v>
      </c>
      <c r="O110" t="s">
        <v>944</v>
      </c>
      <c r="P110" s="24" t="s">
        <v>30</v>
      </c>
      <c r="Q110">
        <v>72</v>
      </c>
      <c r="R110" t="s">
        <v>52</v>
      </c>
      <c r="S110" t="s">
        <v>52</v>
      </c>
      <c r="T110" s="1"/>
      <c r="U110" t="str">
        <f>IF(AND(ISNUMBER(L110),COUNTIF([2]Songs!$L:$L,L110)&gt;0),"YES","")</f>
        <v>YES</v>
      </c>
      <c r="V110" t="str">
        <f>IF(AND(ISNUMBER(L110),COUNTIF([3]Songs!$J:$J,L110)&gt;0),"YES","")</f>
        <v>YES</v>
      </c>
      <c r="W110" t="str">
        <f>IF(AND(ISNUMBER(L110),COUNTIF([1]Songs!$H:$H,L110)&gt;0),"YES","")</f>
        <v/>
      </c>
      <c r="X110" t="s">
        <v>639</v>
      </c>
      <c r="Y110">
        <v>109</v>
      </c>
      <c r="AA110" t="str">
        <f>I110
&amp;IF(H110=I110,""," "&amp;H110)
&amp;IF(OR(R110=I110,R110=H110),""," "&amp;R110)
&amp;IF(R110=S110,""," "&amp;S110)</f>
        <v>A</v>
      </c>
    </row>
    <row r="111" spans="1:27" x14ac:dyDescent="0.25">
      <c r="A111">
        <v>1</v>
      </c>
      <c r="B111">
        <v>2015</v>
      </c>
      <c r="C111" t="s">
        <v>1</v>
      </c>
      <c r="D111">
        <v>10</v>
      </c>
      <c r="E111" t="s">
        <v>188</v>
      </c>
      <c r="F111" t="s">
        <v>23</v>
      </c>
      <c r="G111" t="s">
        <v>430</v>
      </c>
      <c r="H111" s="3" t="s">
        <v>176</v>
      </c>
      <c r="I111" s="3" t="s">
        <v>176</v>
      </c>
      <c r="J111" s="4">
        <v>72</v>
      </c>
      <c r="K111" s="4" t="s">
        <v>371</v>
      </c>
      <c r="L111" s="10">
        <v>6476063</v>
      </c>
      <c r="M111" s="4">
        <v>2012</v>
      </c>
      <c r="N111" s="4" t="s">
        <v>372</v>
      </c>
      <c r="O111" t="s">
        <v>944</v>
      </c>
      <c r="P111" s="24" t="s">
        <v>24</v>
      </c>
      <c r="Q111">
        <v>71</v>
      </c>
      <c r="R111" t="s">
        <v>31</v>
      </c>
      <c r="S111" t="s">
        <v>31</v>
      </c>
      <c r="T111" s="1"/>
      <c r="U111" t="str">
        <f>IF(AND(ISNUMBER(L111),COUNTIF([2]Songs!$L:$L,L111)&gt;0),"YES","")</f>
        <v>YES</v>
      </c>
      <c r="V111" t="str">
        <f>IF(AND(ISNUMBER(L111),COUNTIF([3]Songs!$J:$J,L111)&gt;0),"YES","")</f>
        <v>YES</v>
      </c>
      <c r="W111" t="str">
        <f>IF(AND(ISNUMBER(L111),COUNTIF([1]Songs!$H:$H,L111)&gt;0),"YES","")</f>
        <v>YES</v>
      </c>
      <c r="X111" t="s">
        <v>639</v>
      </c>
      <c r="Y111">
        <v>110</v>
      </c>
      <c r="AA111" t="str">
        <f>I111
&amp;IF(H111=I111,""," "&amp;H111)
&amp;IF(OR(R111=I111,R111=H111),""," "&amp;R111)
&amp;IF(R111=S111,""," "&amp;S111)</f>
        <v>F B</v>
      </c>
    </row>
    <row r="112" spans="1:27" x14ac:dyDescent="0.25">
      <c r="A112">
        <v>1</v>
      </c>
      <c r="B112">
        <v>2016</v>
      </c>
      <c r="C112" t="s">
        <v>2</v>
      </c>
      <c r="D112">
        <v>1</v>
      </c>
      <c r="E112" t="s">
        <v>189</v>
      </c>
      <c r="F112" t="s">
        <v>23</v>
      </c>
      <c r="G112" t="s">
        <v>431</v>
      </c>
      <c r="H112" s="3" t="s">
        <v>31</v>
      </c>
      <c r="I112" s="3" t="s">
        <v>31</v>
      </c>
      <c r="J112" s="4">
        <v>140</v>
      </c>
      <c r="K112" s="5" t="s">
        <v>425</v>
      </c>
      <c r="L112" s="10">
        <v>7051511</v>
      </c>
      <c r="M112" s="4">
        <v>2015</v>
      </c>
      <c r="N112" s="4" t="s">
        <v>432</v>
      </c>
      <c r="O112" t="s">
        <v>944</v>
      </c>
      <c r="P112" s="24" t="s">
        <v>190</v>
      </c>
      <c r="Q112">
        <v>70</v>
      </c>
      <c r="R112" t="s">
        <v>39</v>
      </c>
      <c r="S112" t="s">
        <v>39</v>
      </c>
      <c r="U112" t="str">
        <f>IF(AND(ISNUMBER(L112),COUNTIF([2]Songs!$L:$L,L112)&gt;0),"YES","")</f>
        <v>YES</v>
      </c>
      <c r="V112" t="str">
        <f>IF(AND(ISNUMBER(L112),COUNTIF([3]Songs!$J:$J,L112)&gt;0),"YES","")</f>
        <v>YES</v>
      </c>
      <c r="W112" t="str">
        <f>IF(AND(ISNUMBER(L112),COUNTIF([1]Songs!$H:$H,L112)&gt;0),"YES","")</f>
        <v/>
      </c>
      <c r="X112" t="s">
        <v>639</v>
      </c>
      <c r="Y112">
        <v>111</v>
      </c>
      <c r="AA112" t="str">
        <f>I112
&amp;IF(H112=I112,""," "&amp;H112)
&amp;IF(OR(R112=I112,R112=H112),""," "&amp;R112)
&amp;IF(R112=S112,""," "&amp;S112)</f>
        <v>B D</v>
      </c>
    </row>
    <row r="113" spans="1:27" x14ac:dyDescent="0.25">
      <c r="A113">
        <v>1</v>
      </c>
      <c r="B113">
        <v>2016</v>
      </c>
      <c r="C113" t="s">
        <v>2</v>
      </c>
      <c r="D113">
        <v>2</v>
      </c>
      <c r="E113" t="s">
        <v>191</v>
      </c>
      <c r="F113" t="s">
        <v>23</v>
      </c>
      <c r="L113" s="10">
        <v>6304702</v>
      </c>
      <c r="P113" s="24" t="s">
        <v>192</v>
      </c>
      <c r="Q113">
        <v>95</v>
      </c>
      <c r="R113" t="s">
        <v>39</v>
      </c>
      <c r="S113" t="s">
        <v>39</v>
      </c>
      <c r="U113" t="str">
        <f>IF(AND(ISNUMBER(L113),COUNTIF([2]Songs!$L:$L,L113)&gt;0),"YES","")</f>
        <v/>
      </c>
      <c r="V113" t="str">
        <f>IF(AND(ISNUMBER(L113),COUNTIF([3]Songs!$J:$J,L113)&gt;0),"YES","")</f>
        <v>YES</v>
      </c>
      <c r="W113" t="str">
        <f>IF(AND(ISNUMBER(L113),COUNTIF([1]Songs!$H:$H,L113)&gt;0),"YES","")</f>
        <v/>
      </c>
      <c r="X113" t="s">
        <v>639</v>
      </c>
      <c r="Y113">
        <v>112</v>
      </c>
      <c r="AA113" t="str">
        <f>I113
&amp;IF(H113=I113,""," "&amp;H113)
&amp;IF(OR(R113=I113,R113=H113),""," "&amp;R113)
&amp;IF(R113=S113,""," "&amp;S113)</f>
        <v xml:space="preserve"> D</v>
      </c>
    </row>
    <row r="114" spans="1:27" x14ac:dyDescent="0.25">
      <c r="A114">
        <v>1</v>
      </c>
      <c r="B114">
        <v>2016</v>
      </c>
      <c r="C114" t="s">
        <v>2</v>
      </c>
      <c r="D114">
        <v>3</v>
      </c>
      <c r="E114" t="s">
        <v>193</v>
      </c>
      <c r="F114" t="s">
        <v>23</v>
      </c>
      <c r="G114" t="s">
        <v>433</v>
      </c>
      <c r="H114" s="3" t="s">
        <v>47</v>
      </c>
      <c r="I114" s="3" t="s">
        <v>93</v>
      </c>
      <c r="J114" s="4">
        <v>70</v>
      </c>
      <c r="K114" s="5" t="s">
        <v>371</v>
      </c>
      <c r="L114" s="10">
        <v>7054178</v>
      </c>
      <c r="M114" s="4">
        <v>2015</v>
      </c>
      <c r="N114" s="4" t="s">
        <v>434</v>
      </c>
      <c r="O114" t="s">
        <v>944</v>
      </c>
      <c r="P114" s="24" t="s">
        <v>194</v>
      </c>
      <c r="Q114">
        <v>70</v>
      </c>
      <c r="R114" t="s">
        <v>47</v>
      </c>
      <c r="S114" t="s">
        <v>47</v>
      </c>
      <c r="U114" t="str">
        <f>IF(AND(ISNUMBER(L114),COUNTIF([2]Songs!$L:$L,L114)&gt;0),"YES","")</f>
        <v>YES</v>
      </c>
      <c r="V114" t="str">
        <f>IF(AND(ISNUMBER(L114),COUNTIF([3]Songs!$J:$J,L114)&gt;0),"YES","")</f>
        <v>YES</v>
      </c>
      <c r="W114" t="str">
        <f>IF(AND(ISNUMBER(L114),COUNTIF([1]Songs!$H:$H,L114)&gt;0),"YES","")</f>
        <v/>
      </c>
      <c r="X114" t="s">
        <v>639</v>
      </c>
      <c r="Y114">
        <v>113</v>
      </c>
      <c r="AA114" t="str">
        <f>I114
&amp;IF(H114=I114,""," "&amp;H114)
&amp;IF(OR(R114=I114,R114=H114),""," "&amp;R114)
&amp;IF(R114=S114,""," "&amp;S114)</f>
        <v>Db C</v>
      </c>
    </row>
    <row r="115" spans="1:27" x14ac:dyDescent="0.25">
      <c r="A115">
        <v>1</v>
      </c>
      <c r="B115">
        <v>2016</v>
      </c>
      <c r="C115" t="s">
        <v>2</v>
      </c>
      <c r="D115">
        <v>4</v>
      </c>
      <c r="E115" t="s">
        <v>195</v>
      </c>
      <c r="F115" t="s">
        <v>23</v>
      </c>
      <c r="G115" t="s">
        <v>435</v>
      </c>
      <c r="H115" s="3" t="s">
        <v>52</v>
      </c>
      <c r="I115" s="3" t="s">
        <v>52</v>
      </c>
      <c r="J115" s="4">
        <v>48</v>
      </c>
      <c r="K115" s="5" t="s">
        <v>425</v>
      </c>
      <c r="L115" s="10">
        <v>7036612</v>
      </c>
      <c r="M115" s="4">
        <v>2014</v>
      </c>
      <c r="N115" s="4" t="s">
        <v>436</v>
      </c>
      <c r="O115" t="s">
        <v>944</v>
      </c>
      <c r="P115" s="24" t="s">
        <v>196</v>
      </c>
      <c r="Q115">
        <v>72.5</v>
      </c>
      <c r="R115" t="s">
        <v>52</v>
      </c>
      <c r="S115" t="s">
        <v>52</v>
      </c>
      <c r="U115" t="str">
        <f>IF(AND(ISNUMBER(L115),COUNTIF([2]Songs!$L:$L,L115)&gt;0),"YES","")</f>
        <v>YES</v>
      </c>
      <c r="V115" t="str">
        <f>IF(AND(ISNUMBER(L115),COUNTIF([3]Songs!$J:$J,L115)&gt;0),"YES","")</f>
        <v>YES</v>
      </c>
      <c r="W115" t="str">
        <f>IF(AND(ISNUMBER(L115),COUNTIF([1]Songs!$H:$H,L115)&gt;0),"YES","")</f>
        <v/>
      </c>
      <c r="X115" t="s">
        <v>639</v>
      </c>
      <c r="Y115">
        <v>114</v>
      </c>
      <c r="AA115" t="str">
        <f>I115
&amp;IF(H115=I115,""," "&amp;H115)
&amp;IF(OR(R115=I115,R115=H115),""," "&amp;R115)
&amp;IF(R115=S115,""," "&amp;S115)</f>
        <v>A</v>
      </c>
    </row>
    <row r="116" spans="1:27" x14ac:dyDescent="0.25">
      <c r="A116">
        <v>1</v>
      </c>
      <c r="B116">
        <v>2016</v>
      </c>
      <c r="C116" t="s">
        <v>2</v>
      </c>
      <c r="D116">
        <v>5</v>
      </c>
      <c r="E116" t="s">
        <v>197</v>
      </c>
      <c r="F116" t="s">
        <v>218</v>
      </c>
      <c r="L116" s="10">
        <v>6087919</v>
      </c>
      <c r="P116" s="24" t="s">
        <v>198</v>
      </c>
      <c r="Q116">
        <v>72</v>
      </c>
      <c r="R116" t="s">
        <v>52</v>
      </c>
      <c r="S116" t="s">
        <v>52</v>
      </c>
      <c r="U116" t="str">
        <f>IF(AND(ISNUMBER(L116),COUNTIF([2]Songs!$L:$L,L116)&gt;0),"YES","")</f>
        <v/>
      </c>
      <c r="V116" t="str">
        <f>IF(AND(ISNUMBER(L116),COUNTIF([3]Songs!$J:$J,L116)&gt;0),"YES","")</f>
        <v>YES</v>
      </c>
      <c r="W116" t="str">
        <f>IF(AND(ISNUMBER(L116),COUNTIF([1]Songs!$H:$H,L116)&gt;0),"YES","")</f>
        <v/>
      </c>
      <c r="X116" t="s">
        <v>639</v>
      </c>
      <c r="Y116">
        <v>115</v>
      </c>
      <c r="AA116" t="str">
        <f>I116
&amp;IF(H116=I116,""," "&amp;H116)
&amp;IF(OR(R116=I116,R116=H116),""," "&amp;R116)
&amp;IF(R116=S116,""," "&amp;S116)</f>
        <v xml:space="preserve"> A</v>
      </c>
    </row>
    <row r="117" spans="1:27" x14ac:dyDescent="0.25">
      <c r="A117">
        <v>1</v>
      </c>
      <c r="B117">
        <v>2016</v>
      </c>
      <c r="C117" t="s">
        <v>2</v>
      </c>
      <c r="D117">
        <v>6</v>
      </c>
      <c r="E117" t="s">
        <v>197</v>
      </c>
      <c r="F117" t="s">
        <v>199</v>
      </c>
      <c r="L117" s="10">
        <v>6087919</v>
      </c>
      <c r="P117" s="24" t="s">
        <v>198</v>
      </c>
      <c r="Q117">
        <v>72</v>
      </c>
      <c r="R117" t="s">
        <v>39</v>
      </c>
      <c r="S117" t="s">
        <v>39</v>
      </c>
      <c r="U117" t="str">
        <f>IF(AND(ISNUMBER(L117),COUNTIF([2]Songs!$L:$L,L117)&gt;0),"YES","")</f>
        <v/>
      </c>
      <c r="V117" t="str">
        <f>IF(AND(ISNUMBER(L117),COUNTIF([3]Songs!$J:$J,L117)&gt;0),"YES","")</f>
        <v>YES</v>
      </c>
      <c r="W117" t="str">
        <f>IF(AND(ISNUMBER(L117),COUNTIF([1]Songs!$H:$H,L117)&gt;0),"YES","")</f>
        <v/>
      </c>
      <c r="X117" t="s">
        <v>639</v>
      </c>
      <c r="Y117">
        <v>116</v>
      </c>
      <c r="AA117" t="str">
        <f>I117
&amp;IF(H117=I117,""," "&amp;H117)
&amp;IF(OR(R117=I117,R117=H117),""," "&amp;R117)
&amp;IF(R117=S117,""," "&amp;S117)</f>
        <v xml:space="preserve"> D</v>
      </c>
    </row>
    <row r="118" spans="1:27" x14ac:dyDescent="0.25">
      <c r="A118">
        <v>1</v>
      </c>
      <c r="B118">
        <v>2016</v>
      </c>
      <c r="C118" t="s">
        <v>2</v>
      </c>
      <c r="D118">
        <v>7</v>
      </c>
      <c r="E118" t="s">
        <v>200</v>
      </c>
      <c r="F118" t="s">
        <v>23</v>
      </c>
      <c r="G118" t="s">
        <v>437</v>
      </c>
      <c r="H118" s="3" t="s">
        <v>52</v>
      </c>
      <c r="I118" s="3" t="s">
        <v>28</v>
      </c>
      <c r="J118" s="4">
        <v>74</v>
      </c>
      <c r="K118" s="5" t="s">
        <v>371</v>
      </c>
      <c r="L118" s="10">
        <v>7030123</v>
      </c>
      <c r="M118" s="4">
        <v>2014</v>
      </c>
      <c r="N118" s="6" t="s">
        <v>434</v>
      </c>
      <c r="O118" t="s">
        <v>944</v>
      </c>
      <c r="P118" s="24" t="s">
        <v>201</v>
      </c>
      <c r="Q118">
        <v>74</v>
      </c>
      <c r="R118" t="s">
        <v>52</v>
      </c>
      <c r="S118" t="s">
        <v>52</v>
      </c>
      <c r="U118" t="str">
        <f>IF(AND(ISNUMBER(L118),COUNTIF([2]Songs!$L:$L,L118)&gt;0),"YES","")</f>
        <v>YES</v>
      </c>
      <c r="V118" t="str">
        <f>IF(AND(ISNUMBER(L118),COUNTIF([3]Songs!$J:$J,L118)&gt;0),"YES","")</f>
        <v>YES</v>
      </c>
      <c r="W118" t="str">
        <f>IF(AND(ISNUMBER(L118),COUNTIF([1]Songs!$H:$H,L118)&gt;0),"YES","")</f>
        <v/>
      </c>
      <c r="X118" t="s">
        <v>639</v>
      </c>
      <c r="Y118">
        <v>117</v>
      </c>
      <c r="AA118" t="str">
        <f>I118
&amp;IF(H118=I118,""," "&amp;H118)
&amp;IF(OR(R118=I118,R118=H118),""," "&amp;R118)
&amp;IF(R118=S118,""," "&amp;S118)</f>
        <v>Bb A</v>
      </c>
    </row>
    <row r="119" spans="1:27" x14ac:dyDescent="0.25">
      <c r="A119">
        <v>1</v>
      </c>
      <c r="B119">
        <v>2016</v>
      </c>
      <c r="C119" t="s">
        <v>2</v>
      </c>
      <c r="D119">
        <v>8</v>
      </c>
      <c r="E119" t="s">
        <v>202</v>
      </c>
      <c r="F119" t="s">
        <v>203</v>
      </c>
      <c r="G119" t="s">
        <v>384</v>
      </c>
      <c r="H119" s="3" t="s">
        <v>25</v>
      </c>
      <c r="I119" s="3" t="s">
        <v>25</v>
      </c>
      <c r="J119" s="4">
        <v>72</v>
      </c>
      <c r="K119" s="4" t="s">
        <v>371</v>
      </c>
      <c r="L119" s="10">
        <v>7017786</v>
      </c>
      <c r="M119" s="4">
        <v>2014</v>
      </c>
      <c r="N119" s="4" t="s">
        <v>438</v>
      </c>
      <c r="O119" t="s">
        <v>944</v>
      </c>
      <c r="P119" s="24" t="s">
        <v>46</v>
      </c>
      <c r="Q119">
        <v>73</v>
      </c>
      <c r="R119" t="s">
        <v>25</v>
      </c>
      <c r="S119" t="s">
        <v>25</v>
      </c>
      <c r="U119" t="str">
        <f>IF(AND(ISNUMBER(L119),COUNTIF([2]Songs!$L:$L,L119)&gt;0),"YES","")</f>
        <v>YES</v>
      </c>
      <c r="V119" t="str">
        <f>IF(AND(ISNUMBER(L119),COUNTIF([3]Songs!$J:$J,L119)&gt;0),"YES","")</f>
        <v>YES</v>
      </c>
      <c r="W119" t="str">
        <f>IF(AND(ISNUMBER(L119),COUNTIF([1]Songs!$H:$H,L119)&gt;0),"YES","")</f>
        <v/>
      </c>
      <c r="X119" t="s">
        <v>639</v>
      </c>
      <c r="Y119">
        <v>118</v>
      </c>
      <c r="AA119" t="str">
        <f>I119
&amp;IF(H119=I119,""," "&amp;H119)
&amp;IF(OR(R119=I119,R119=H119),""," "&amp;R119)
&amp;IF(R119=S119,""," "&amp;S119)</f>
        <v>G</v>
      </c>
    </row>
    <row r="120" spans="1:27" x14ac:dyDescent="0.25">
      <c r="A120">
        <v>1</v>
      </c>
      <c r="B120">
        <v>2016</v>
      </c>
      <c r="C120" t="s">
        <v>2</v>
      </c>
      <c r="D120">
        <v>9</v>
      </c>
      <c r="E120" t="s">
        <v>204</v>
      </c>
      <c r="F120" t="s">
        <v>23</v>
      </c>
      <c r="L120" s="10">
        <v>7032344</v>
      </c>
      <c r="P120" s="24" t="s">
        <v>205</v>
      </c>
      <c r="Q120">
        <v>78</v>
      </c>
      <c r="R120" t="s">
        <v>31</v>
      </c>
      <c r="S120" t="s">
        <v>31</v>
      </c>
      <c r="U120" t="str">
        <f>IF(AND(ISNUMBER(L120),COUNTIF([2]Songs!$L:$L,L120)&gt;0),"YES","")</f>
        <v/>
      </c>
      <c r="V120" t="str">
        <f>IF(AND(ISNUMBER(L120),COUNTIF([3]Songs!$J:$J,L120)&gt;0),"YES","")</f>
        <v>YES</v>
      </c>
      <c r="W120" t="str">
        <f>IF(AND(ISNUMBER(L120),COUNTIF([1]Songs!$H:$H,L120)&gt;0),"YES","")</f>
        <v/>
      </c>
      <c r="X120" t="s">
        <v>639</v>
      </c>
      <c r="Y120">
        <v>119</v>
      </c>
      <c r="AA120" t="str">
        <f>I120
&amp;IF(H120=I120,""," "&amp;H120)
&amp;IF(OR(R120=I120,R120=H120),""," "&amp;R120)
&amp;IF(R120=S120,""," "&amp;S120)</f>
        <v xml:space="preserve"> B</v>
      </c>
    </row>
    <row r="121" spans="1:27" x14ac:dyDescent="0.25">
      <c r="A121">
        <v>1</v>
      </c>
      <c r="B121">
        <v>2016</v>
      </c>
      <c r="C121" t="s">
        <v>2</v>
      </c>
      <c r="D121">
        <v>10</v>
      </c>
      <c r="E121" t="s">
        <v>206</v>
      </c>
      <c r="F121" t="s">
        <v>23</v>
      </c>
      <c r="L121" s="10">
        <v>6011370</v>
      </c>
      <c r="P121" s="24" t="s">
        <v>207</v>
      </c>
      <c r="Q121">
        <v>70</v>
      </c>
      <c r="R121" t="s">
        <v>31</v>
      </c>
      <c r="S121" t="s">
        <v>31</v>
      </c>
      <c r="U121" t="str">
        <f>IF(AND(ISNUMBER(L121),COUNTIF([2]Songs!$L:$L,L121)&gt;0),"YES","")</f>
        <v/>
      </c>
      <c r="V121" t="str">
        <f>IF(AND(ISNUMBER(L121),COUNTIF([3]Songs!$J:$J,L121)&gt;0),"YES","")</f>
        <v>YES</v>
      </c>
      <c r="W121" t="str">
        <f>IF(AND(ISNUMBER(L121),COUNTIF([1]Songs!$H:$H,L121)&gt;0),"YES","")</f>
        <v/>
      </c>
      <c r="X121" t="s">
        <v>639</v>
      </c>
      <c r="Y121">
        <v>120</v>
      </c>
      <c r="AA121" t="str">
        <f>I121
&amp;IF(H121=I121,""," "&amp;H121)
&amp;IF(OR(R121=I121,R121=H121),""," "&amp;R121)
&amp;IF(R121=S121,""," "&amp;S121)</f>
        <v xml:space="preserve"> B</v>
      </c>
    </row>
    <row r="122" spans="1:27" x14ac:dyDescent="0.25">
      <c r="A122">
        <v>1</v>
      </c>
      <c r="B122">
        <v>2016</v>
      </c>
      <c r="C122" t="s">
        <v>2</v>
      </c>
      <c r="D122">
        <v>11</v>
      </c>
      <c r="E122" t="s">
        <v>208</v>
      </c>
      <c r="F122" t="s">
        <v>23</v>
      </c>
      <c r="L122" s="10">
        <v>6327734</v>
      </c>
      <c r="P122" s="24" t="s">
        <v>207</v>
      </c>
      <c r="Q122">
        <v>76.5</v>
      </c>
      <c r="R122" t="s">
        <v>31</v>
      </c>
      <c r="S122" t="s">
        <v>31</v>
      </c>
      <c r="U122" t="str">
        <f>IF(AND(ISNUMBER(L122),COUNTIF([2]Songs!$L:$L,L122)&gt;0),"YES","")</f>
        <v/>
      </c>
      <c r="V122" t="str">
        <f>IF(AND(ISNUMBER(L122),COUNTIF([3]Songs!$J:$J,L122)&gt;0),"YES","")</f>
        <v>YES</v>
      </c>
      <c r="W122" t="str">
        <f>IF(AND(ISNUMBER(L122),COUNTIF([1]Songs!$H:$H,L122)&gt;0),"YES","")</f>
        <v/>
      </c>
      <c r="X122" t="s">
        <v>639</v>
      </c>
      <c r="Y122">
        <v>121</v>
      </c>
      <c r="AA122" t="str">
        <f>I122
&amp;IF(H122=I122,""," "&amp;H122)
&amp;IF(OR(R122=I122,R122=H122),""," "&amp;R122)
&amp;IF(R122=S122,""," "&amp;S122)</f>
        <v xml:space="preserve"> B</v>
      </c>
    </row>
    <row r="123" spans="1:27" x14ac:dyDescent="0.25">
      <c r="A123">
        <v>1</v>
      </c>
      <c r="B123">
        <v>2017</v>
      </c>
      <c r="C123" t="s">
        <v>3</v>
      </c>
      <c r="D123">
        <v>1</v>
      </c>
      <c r="E123" t="s">
        <v>209</v>
      </c>
      <c r="F123" t="s">
        <v>23</v>
      </c>
      <c r="L123" s="10">
        <v>7083703</v>
      </c>
      <c r="P123" s="24" t="s">
        <v>70</v>
      </c>
      <c r="Q123">
        <v>59.5</v>
      </c>
      <c r="R123" t="s">
        <v>52</v>
      </c>
      <c r="S123" t="s">
        <v>52</v>
      </c>
      <c r="U123" t="str">
        <f>IF(AND(ISNUMBER(L123),COUNTIF([2]Songs!$L:$L,L123)&gt;0),"YES","")</f>
        <v/>
      </c>
      <c r="V123" t="str">
        <f>IF(AND(ISNUMBER(L123),COUNTIF([3]Songs!$J:$J,L123)&gt;0),"YES","")</f>
        <v>YES</v>
      </c>
      <c r="W123" t="str">
        <f>IF(AND(ISNUMBER(L123),COUNTIF([1]Songs!$H:$H,L123)&gt;0),"YES","")</f>
        <v/>
      </c>
      <c r="X123" t="s">
        <v>639</v>
      </c>
      <c r="Y123">
        <v>122</v>
      </c>
      <c r="AA123" t="str">
        <f>I123
&amp;IF(H123=I123,""," "&amp;H123)
&amp;IF(OR(R123=I123,R123=H123),""," "&amp;R123)
&amp;IF(R123=S123,""," "&amp;S123)</f>
        <v xml:space="preserve"> A</v>
      </c>
    </row>
    <row r="124" spans="1:27" x14ac:dyDescent="0.25">
      <c r="A124">
        <v>1</v>
      </c>
      <c r="B124">
        <v>2017</v>
      </c>
      <c r="C124" t="s">
        <v>3</v>
      </c>
      <c r="D124">
        <v>2</v>
      </c>
      <c r="E124" t="s">
        <v>210</v>
      </c>
      <c r="F124" t="s">
        <v>23</v>
      </c>
      <c r="L124" s="10">
        <v>7030068</v>
      </c>
      <c r="P124" s="24" t="s">
        <v>211</v>
      </c>
      <c r="Q124">
        <v>58</v>
      </c>
      <c r="R124" t="s">
        <v>52</v>
      </c>
      <c r="S124" t="s">
        <v>52</v>
      </c>
      <c r="U124" t="str">
        <f>IF(AND(ISNUMBER(L124),COUNTIF([2]Songs!$L:$L,L124)&gt;0),"YES","")</f>
        <v/>
      </c>
      <c r="V124" t="str">
        <f>IF(AND(ISNUMBER(L124),COUNTIF([3]Songs!$J:$J,L124)&gt;0),"YES","")</f>
        <v>YES</v>
      </c>
      <c r="W124" t="str">
        <f>IF(AND(ISNUMBER(L124),COUNTIF([1]Songs!$H:$H,L124)&gt;0),"YES","")</f>
        <v/>
      </c>
      <c r="X124" t="s">
        <v>639</v>
      </c>
      <c r="Y124">
        <v>123</v>
      </c>
      <c r="AA124" t="str">
        <f>I124
&amp;IF(H124=I124,""," "&amp;H124)
&amp;IF(OR(R124=I124,R124=H124),""," "&amp;R124)
&amp;IF(R124=S124,""," "&amp;S124)</f>
        <v xml:space="preserve"> A</v>
      </c>
    </row>
    <row r="125" spans="1:27" x14ac:dyDescent="0.25">
      <c r="A125">
        <v>1</v>
      </c>
      <c r="B125">
        <v>2017</v>
      </c>
      <c r="C125" t="s">
        <v>3</v>
      </c>
      <c r="D125">
        <v>3</v>
      </c>
      <c r="E125" t="s">
        <v>212</v>
      </c>
      <c r="F125" t="s">
        <v>23</v>
      </c>
      <c r="G125" t="s">
        <v>439</v>
      </c>
      <c r="H125" s="3" t="s">
        <v>31</v>
      </c>
      <c r="I125" s="3" t="s">
        <v>31</v>
      </c>
      <c r="J125" s="4">
        <v>90</v>
      </c>
      <c r="K125" s="5" t="s">
        <v>371</v>
      </c>
      <c r="L125" s="10">
        <v>7038281</v>
      </c>
      <c r="M125" s="4">
        <v>2015</v>
      </c>
      <c r="N125" s="6" t="s">
        <v>440</v>
      </c>
      <c r="O125" t="s">
        <v>944</v>
      </c>
      <c r="P125" s="24" t="s">
        <v>213</v>
      </c>
      <c r="Q125">
        <v>90</v>
      </c>
      <c r="R125" t="s">
        <v>52</v>
      </c>
      <c r="S125" t="s">
        <v>52</v>
      </c>
      <c r="U125" t="str">
        <f>IF(AND(ISNUMBER(L125),COUNTIF([2]Songs!$L:$L,L125)&gt;0),"YES","")</f>
        <v>YES</v>
      </c>
      <c r="V125" t="str">
        <f>IF(AND(ISNUMBER(L125),COUNTIF([3]Songs!$J:$J,L125)&gt;0),"YES","")</f>
        <v>YES</v>
      </c>
      <c r="W125" t="str">
        <f>IF(AND(ISNUMBER(L125),COUNTIF([1]Songs!$H:$H,L125)&gt;0),"YES","")</f>
        <v/>
      </c>
      <c r="X125" t="s">
        <v>639</v>
      </c>
      <c r="Y125">
        <v>124</v>
      </c>
      <c r="AA125" t="str">
        <f>I125
&amp;IF(H125=I125,""," "&amp;H125)
&amp;IF(OR(R125=I125,R125=H125),""," "&amp;R125)
&amp;IF(R125=S125,""," "&amp;S125)</f>
        <v>B A</v>
      </c>
    </row>
    <row r="126" spans="1:27" x14ac:dyDescent="0.25">
      <c r="A126">
        <v>1</v>
      </c>
      <c r="B126">
        <v>2017</v>
      </c>
      <c r="C126" t="s">
        <v>3</v>
      </c>
      <c r="D126">
        <v>4</v>
      </c>
      <c r="E126" t="s">
        <v>214</v>
      </c>
      <c r="F126" t="s">
        <v>23</v>
      </c>
      <c r="L126" s="10">
        <v>6605212</v>
      </c>
      <c r="P126" s="24" t="s">
        <v>215</v>
      </c>
      <c r="Q126">
        <v>132</v>
      </c>
      <c r="R126" t="s">
        <v>39</v>
      </c>
      <c r="S126" t="s">
        <v>39</v>
      </c>
      <c r="U126" t="str">
        <f>IF(AND(ISNUMBER(L126),COUNTIF([2]Songs!$L:$L,L126)&gt;0),"YES","")</f>
        <v/>
      </c>
      <c r="V126" t="str">
        <f>IF(AND(ISNUMBER(L126),COUNTIF([3]Songs!$J:$J,L126)&gt;0),"YES","")</f>
        <v>YES</v>
      </c>
      <c r="W126" t="str">
        <f>IF(AND(ISNUMBER(L126),COUNTIF([1]Songs!$H:$H,L126)&gt;0),"YES","")</f>
        <v/>
      </c>
      <c r="X126" t="s">
        <v>639</v>
      </c>
      <c r="Y126">
        <v>125</v>
      </c>
      <c r="AA126" t="str">
        <f>I126
&amp;IF(H126=I126,""," "&amp;H126)
&amp;IF(OR(R126=I126,R126=H126),""," "&amp;R126)
&amp;IF(R126=S126,""," "&amp;S126)</f>
        <v xml:space="preserve"> D</v>
      </c>
    </row>
    <row r="127" spans="1:27" x14ac:dyDescent="0.25">
      <c r="A127">
        <v>1</v>
      </c>
      <c r="B127">
        <v>2017</v>
      </c>
      <c r="C127" t="s">
        <v>3</v>
      </c>
      <c r="D127">
        <v>5</v>
      </c>
      <c r="E127" t="s">
        <v>216</v>
      </c>
      <c r="F127" t="s">
        <v>199</v>
      </c>
      <c r="G127" t="s">
        <v>854</v>
      </c>
      <c r="H127" s="3" t="s">
        <v>39</v>
      </c>
      <c r="I127" s="3" t="s">
        <v>39</v>
      </c>
      <c r="J127" s="4">
        <v>69</v>
      </c>
      <c r="K127" s="5" t="s">
        <v>371</v>
      </c>
      <c r="L127" s="9">
        <v>7030065</v>
      </c>
      <c r="M127" s="4">
        <v>2014</v>
      </c>
      <c r="N127" s="6" t="s">
        <v>434</v>
      </c>
      <c r="O127" t="s">
        <v>944</v>
      </c>
      <c r="P127" s="24" t="s">
        <v>217</v>
      </c>
      <c r="Q127">
        <v>69</v>
      </c>
      <c r="R127" t="s">
        <v>39</v>
      </c>
      <c r="S127" t="s">
        <v>39</v>
      </c>
      <c r="U127" t="str">
        <f>IF(AND(ISNUMBER(L127),COUNTIF([2]Songs!$L:$L,L127)&gt;0),"YES","")</f>
        <v>YES</v>
      </c>
      <c r="V127" t="str">
        <f>IF(AND(ISNUMBER(L127),COUNTIF([3]Songs!$J:$J,L127)&gt;0),"YES","")</f>
        <v>YES</v>
      </c>
      <c r="W127" t="str">
        <f>IF(AND(ISNUMBER(L127),COUNTIF([1]Songs!$H:$H,L127)&gt;0),"YES","")</f>
        <v/>
      </c>
      <c r="X127" t="s">
        <v>639</v>
      </c>
      <c r="Y127">
        <v>126</v>
      </c>
      <c r="AA127" t="str">
        <f>I127
&amp;IF(H127=I127,""," "&amp;H127)
&amp;IF(OR(R127=I127,R127=H127),""," "&amp;R127)
&amp;IF(R127=S127,""," "&amp;S127)</f>
        <v>D</v>
      </c>
    </row>
    <row r="128" spans="1:27" x14ac:dyDescent="0.25">
      <c r="A128">
        <v>1</v>
      </c>
      <c r="B128">
        <v>2017</v>
      </c>
      <c r="C128" t="s">
        <v>3</v>
      </c>
      <c r="D128">
        <v>6</v>
      </c>
      <c r="E128" t="s">
        <v>216</v>
      </c>
      <c r="F128" t="s">
        <v>218</v>
      </c>
      <c r="G128" t="s">
        <v>854</v>
      </c>
      <c r="H128" s="3" t="s">
        <v>39</v>
      </c>
      <c r="I128" s="3" t="s">
        <v>39</v>
      </c>
      <c r="J128" s="4">
        <v>69</v>
      </c>
      <c r="K128" s="5" t="s">
        <v>371</v>
      </c>
      <c r="L128" s="9">
        <v>7030065</v>
      </c>
      <c r="M128" s="4">
        <v>2014</v>
      </c>
      <c r="N128" s="6" t="s">
        <v>434</v>
      </c>
      <c r="O128" t="s">
        <v>944</v>
      </c>
      <c r="P128" s="24" t="s">
        <v>217</v>
      </c>
      <c r="Q128">
        <v>69</v>
      </c>
      <c r="R128" t="s">
        <v>52</v>
      </c>
      <c r="S128" t="s">
        <v>52</v>
      </c>
      <c r="U128" t="str">
        <f>IF(AND(ISNUMBER(L128),COUNTIF([2]Songs!$L:$L,L128)&gt;0),"YES","")</f>
        <v>YES</v>
      </c>
      <c r="V128" t="str">
        <f>IF(AND(ISNUMBER(L128),COUNTIF([3]Songs!$J:$J,L128)&gt;0),"YES","")</f>
        <v>YES</v>
      </c>
      <c r="W128" t="str">
        <f>IF(AND(ISNUMBER(L128),COUNTIF([1]Songs!$H:$H,L128)&gt;0),"YES","")</f>
        <v/>
      </c>
      <c r="X128" t="s">
        <v>639</v>
      </c>
      <c r="Y128">
        <v>127</v>
      </c>
      <c r="AA128" t="str">
        <f>I128
&amp;IF(H128=I128,""," "&amp;H128)
&amp;IF(OR(R128=I128,R128=H128),""," "&amp;R128)
&amp;IF(R128=S128,""," "&amp;S128)</f>
        <v>D A</v>
      </c>
    </row>
    <row r="129" spans="1:27" x14ac:dyDescent="0.25">
      <c r="A129">
        <v>1</v>
      </c>
      <c r="B129">
        <v>2017</v>
      </c>
      <c r="C129" t="s">
        <v>3</v>
      </c>
      <c r="D129">
        <v>7</v>
      </c>
      <c r="E129" t="s">
        <v>219</v>
      </c>
      <c r="F129" t="s">
        <v>23</v>
      </c>
      <c r="G129" t="s">
        <v>441</v>
      </c>
      <c r="H129" s="3" t="s">
        <v>39</v>
      </c>
      <c r="I129" s="3" t="s">
        <v>39</v>
      </c>
      <c r="J129" s="4">
        <v>68</v>
      </c>
      <c r="K129" s="5" t="s">
        <v>371</v>
      </c>
      <c r="L129" s="10">
        <v>7068424</v>
      </c>
      <c r="M129" s="4">
        <v>2016</v>
      </c>
      <c r="N129" s="4" t="s">
        <v>372</v>
      </c>
      <c r="O129" t="s">
        <v>944</v>
      </c>
      <c r="P129" s="24" t="s">
        <v>220</v>
      </c>
      <c r="Q129">
        <v>68</v>
      </c>
      <c r="R129" t="s">
        <v>39</v>
      </c>
      <c r="S129" t="s">
        <v>39</v>
      </c>
      <c r="U129" t="str">
        <f>IF(AND(ISNUMBER(L129),COUNTIF([2]Songs!$L:$L,L129)&gt;0),"YES","")</f>
        <v>YES</v>
      </c>
      <c r="V129" t="str">
        <f>IF(AND(ISNUMBER(L129),COUNTIF([3]Songs!$J:$J,L129)&gt;0),"YES","")</f>
        <v>YES</v>
      </c>
      <c r="W129" t="str">
        <f>IF(AND(ISNUMBER(L129),COUNTIF([1]Songs!$H:$H,L129)&gt;0),"YES","")</f>
        <v>YES</v>
      </c>
      <c r="X129" t="s">
        <v>639</v>
      </c>
      <c r="Y129">
        <v>128</v>
      </c>
      <c r="AA129" t="str">
        <f>I129
&amp;IF(H129=I129,""," "&amp;H129)
&amp;IF(OR(R129=I129,R129=H129),""," "&amp;R129)
&amp;IF(R129=S129,""," "&amp;S129)</f>
        <v>D</v>
      </c>
    </row>
    <row r="130" spans="1:27" x14ac:dyDescent="0.25">
      <c r="A130">
        <v>1</v>
      </c>
      <c r="B130">
        <v>2017</v>
      </c>
      <c r="C130" t="s">
        <v>3</v>
      </c>
      <c r="D130">
        <v>8</v>
      </c>
      <c r="E130" t="s">
        <v>221</v>
      </c>
      <c r="F130" t="s">
        <v>23</v>
      </c>
      <c r="L130" s="10">
        <v>7083710</v>
      </c>
      <c r="P130" s="24" t="s">
        <v>70</v>
      </c>
      <c r="Q130">
        <v>67</v>
      </c>
      <c r="R130" t="s">
        <v>39</v>
      </c>
      <c r="S130" t="s">
        <v>39</v>
      </c>
      <c r="U130" t="str">
        <f>IF(AND(ISNUMBER(L130),COUNTIF([2]Songs!$L:$L,L130)&gt;0),"YES","")</f>
        <v/>
      </c>
      <c r="V130" t="str">
        <f>IF(AND(ISNUMBER(L130),COUNTIF([3]Songs!$J:$J,L130)&gt;0),"YES","")</f>
        <v>YES</v>
      </c>
      <c r="W130" t="str">
        <f>IF(AND(ISNUMBER(L130),COUNTIF([1]Songs!$H:$H,L130)&gt;0),"YES","")</f>
        <v/>
      </c>
      <c r="X130" t="s">
        <v>639</v>
      </c>
      <c r="Y130">
        <v>129</v>
      </c>
      <c r="AA130" t="str">
        <f>I130
&amp;IF(H130=I130,""," "&amp;H130)
&amp;IF(OR(R130=I130,R130=H130),""," "&amp;R130)
&amp;IF(R130=S130,""," "&amp;S130)</f>
        <v xml:space="preserve"> D</v>
      </c>
    </row>
    <row r="131" spans="1:27" x14ac:dyDescent="0.25">
      <c r="A131">
        <v>1</v>
      </c>
      <c r="B131">
        <v>2017</v>
      </c>
      <c r="C131" t="s">
        <v>3</v>
      </c>
      <c r="D131">
        <v>9</v>
      </c>
      <c r="E131" t="s">
        <v>222</v>
      </c>
      <c r="F131" t="s">
        <v>23</v>
      </c>
      <c r="L131" s="10">
        <v>7017790</v>
      </c>
      <c r="P131" s="24" t="s">
        <v>96</v>
      </c>
      <c r="Q131">
        <v>68</v>
      </c>
      <c r="R131" t="s">
        <v>31</v>
      </c>
      <c r="S131" t="s">
        <v>31</v>
      </c>
      <c r="U131" t="str">
        <f>IF(AND(ISNUMBER(L131),COUNTIF([2]Songs!$L:$L,L131)&gt;0),"YES","")</f>
        <v/>
      </c>
      <c r="V131" t="str">
        <f>IF(AND(ISNUMBER(L131),COUNTIF([3]Songs!$J:$J,L131)&gt;0),"YES","")</f>
        <v>YES</v>
      </c>
      <c r="W131" t="str">
        <f>IF(AND(ISNUMBER(L131),COUNTIF([1]Songs!$H:$H,L131)&gt;0),"YES","")</f>
        <v/>
      </c>
      <c r="X131" t="s">
        <v>639</v>
      </c>
      <c r="Y131">
        <v>130</v>
      </c>
      <c r="AA131" t="str">
        <f>I131
&amp;IF(H131=I131,""," "&amp;H131)
&amp;IF(OR(R131=I131,R131=H131),""," "&amp;R131)
&amp;IF(R131=S131,""," "&amp;S131)</f>
        <v xml:space="preserve"> B</v>
      </c>
    </row>
    <row r="132" spans="1:27" x14ac:dyDescent="0.25">
      <c r="A132">
        <v>1</v>
      </c>
      <c r="B132">
        <v>2017</v>
      </c>
      <c r="C132" t="s">
        <v>3</v>
      </c>
      <c r="D132">
        <v>10</v>
      </c>
      <c r="E132" t="s">
        <v>223</v>
      </c>
      <c r="F132" t="s">
        <v>23</v>
      </c>
      <c r="G132" t="s">
        <v>442</v>
      </c>
      <c r="H132" s="3" t="s">
        <v>47</v>
      </c>
      <c r="I132" s="3" t="s">
        <v>47</v>
      </c>
      <c r="J132" s="4">
        <v>72</v>
      </c>
      <c r="K132" s="5" t="s">
        <v>371</v>
      </c>
      <c r="L132" s="10">
        <v>6518055</v>
      </c>
      <c r="M132" s="4">
        <v>2013</v>
      </c>
      <c r="N132" s="6" t="s">
        <v>378</v>
      </c>
      <c r="O132" t="s">
        <v>944</v>
      </c>
      <c r="P132" s="24" t="s">
        <v>35</v>
      </c>
      <c r="Q132">
        <v>72</v>
      </c>
      <c r="R132" t="s">
        <v>31</v>
      </c>
      <c r="S132" t="s">
        <v>31</v>
      </c>
      <c r="U132" t="str">
        <f>IF(AND(ISNUMBER(L132),COUNTIF([2]Songs!$L:$L,L132)&gt;0),"YES","")</f>
        <v>YES</v>
      </c>
      <c r="V132" t="str">
        <f>IF(AND(ISNUMBER(L132),COUNTIF([3]Songs!$J:$J,L132)&gt;0),"YES","")</f>
        <v>YES</v>
      </c>
      <c r="W132" t="str">
        <f>IF(AND(ISNUMBER(L132),COUNTIF([1]Songs!$H:$H,L132)&gt;0),"YES","")</f>
        <v/>
      </c>
      <c r="X132" t="s">
        <v>639</v>
      </c>
      <c r="Y132">
        <v>131</v>
      </c>
      <c r="AA132" t="str">
        <f>I132
&amp;IF(H132=I132,""," "&amp;H132)
&amp;IF(OR(R132=I132,R132=H132),""," "&amp;R132)
&amp;IF(R132=S132,""," "&amp;S132)</f>
        <v>C B</v>
      </c>
    </row>
    <row r="133" spans="1:27" x14ac:dyDescent="0.25">
      <c r="A133">
        <v>1</v>
      </c>
      <c r="B133">
        <v>2017</v>
      </c>
      <c r="C133" t="s">
        <v>3</v>
      </c>
      <c r="D133">
        <v>11</v>
      </c>
      <c r="E133" t="s">
        <v>224</v>
      </c>
      <c r="F133" t="s">
        <v>23</v>
      </c>
      <c r="G133" t="s">
        <v>391</v>
      </c>
      <c r="H133" s="3" t="s">
        <v>25</v>
      </c>
      <c r="I133" s="3" t="s">
        <v>25</v>
      </c>
      <c r="J133" s="4">
        <v>163</v>
      </c>
      <c r="K133" s="5" t="s">
        <v>425</v>
      </c>
      <c r="L133" s="10">
        <v>7036288</v>
      </c>
      <c r="M133" s="4">
        <v>2015</v>
      </c>
      <c r="N133" s="6" t="s">
        <v>443</v>
      </c>
      <c r="O133" t="s">
        <v>944</v>
      </c>
      <c r="P133" s="24" t="s">
        <v>35</v>
      </c>
      <c r="Q133">
        <v>81</v>
      </c>
      <c r="R133" t="s">
        <v>25</v>
      </c>
      <c r="S133" t="s">
        <v>25</v>
      </c>
      <c r="U133" t="str">
        <f>IF(AND(ISNUMBER(L133),COUNTIF([2]Songs!$L:$L,L133)&gt;0),"YES","")</f>
        <v>YES</v>
      </c>
      <c r="V133" t="str">
        <f>IF(AND(ISNUMBER(L133),COUNTIF([3]Songs!$J:$J,L133)&gt;0),"YES","")</f>
        <v>YES</v>
      </c>
      <c r="W133" t="str">
        <f>IF(AND(ISNUMBER(L133),COUNTIF([1]Songs!$H:$H,L133)&gt;0),"YES","")</f>
        <v/>
      </c>
      <c r="X133" t="s">
        <v>639</v>
      </c>
      <c r="Y133">
        <v>132</v>
      </c>
      <c r="AA133" t="str">
        <f>I133
&amp;IF(H133=I133,""," "&amp;H133)
&amp;IF(OR(R133=I133,R133=H133),""," "&amp;R133)
&amp;IF(R133=S133,""," "&amp;S133)</f>
        <v>G</v>
      </c>
    </row>
    <row r="134" spans="1:27" x14ac:dyDescent="0.25">
      <c r="A134">
        <v>1</v>
      </c>
      <c r="B134">
        <v>2017</v>
      </c>
      <c r="C134" t="s">
        <v>3</v>
      </c>
      <c r="D134">
        <v>12</v>
      </c>
      <c r="E134" t="s">
        <v>225</v>
      </c>
      <c r="F134" t="s">
        <v>23</v>
      </c>
      <c r="G134" t="s">
        <v>226</v>
      </c>
      <c r="H134" s="3" t="s">
        <v>39</v>
      </c>
      <c r="I134" s="3" t="s">
        <v>39</v>
      </c>
      <c r="J134" s="4">
        <v>80</v>
      </c>
      <c r="K134" s="5" t="s">
        <v>371</v>
      </c>
      <c r="L134" s="10">
        <v>5881491</v>
      </c>
      <c r="M134" s="4">
        <v>2011</v>
      </c>
      <c r="N134" s="6" t="s">
        <v>444</v>
      </c>
      <c r="O134" t="s">
        <v>944</v>
      </c>
      <c r="P134" s="24" t="s">
        <v>226</v>
      </c>
      <c r="Q134">
        <v>80</v>
      </c>
      <c r="R134" t="s">
        <v>47</v>
      </c>
      <c r="S134" t="s">
        <v>47</v>
      </c>
      <c r="U134" t="str">
        <f>IF(AND(ISNUMBER(L134),COUNTIF([2]Songs!$L:$L,L134)&gt;0),"YES","")</f>
        <v>YES</v>
      </c>
      <c r="V134" t="str">
        <f>IF(AND(ISNUMBER(L134),COUNTIF([3]Songs!$J:$J,L134)&gt;0),"YES","")</f>
        <v>YES</v>
      </c>
      <c r="W134" t="str">
        <f>IF(AND(ISNUMBER(L134),COUNTIF([1]Songs!$H:$H,L134)&gt;0),"YES","")</f>
        <v/>
      </c>
      <c r="X134" t="s">
        <v>639</v>
      </c>
      <c r="Y134">
        <v>133</v>
      </c>
      <c r="AA134" t="str">
        <f>I134
&amp;IF(H134=I134,""," "&amp;H134)
&amp;IF(OR(R134=I134,R134=H134),""," "&amp;R134)
&amp;IF(R134=S134,""," "&amp;S134)</f>
        <v>D C</v>
      </c>
    </row>
    <row r="135" spans="1:27" x14ac:dyDescent="0.25">
      <c r="A135">
        <v>1</v>
      </c>
      <c r="B135">
        <v>2017</v>
      </c>
      <c r="C135" t="s">
        <v>3</v>
      </c>
      <c r="D135">
        <v>13</v>
      </c>
      <c r="E135" t="s">
        <v>227</v>
      </c>
      <c r="F135" t="s">
        <v>23</v>
      </c>
      <c r="G135" t="s">
        <v>445</v>
      </c>
      <c r="H135" s="3" t="s">
        <v>47</v>
      </c>
      <c r="I135" s="3" t="s">
        <v>47</v>
      </c>
      <c r="J135" s="4">
        <v>72</v>
      </c>
      <c r="K135" s="5" t="s">
        <v>371</v>
      </c>
      <c r="L135" s="10">
        <v>7037787</v>
      </c>
      <c r="M135" s="4">
        <v>2015</v>
      </c>
      <c r="N135" s="4" t="s">
        <v>372</v>
      </c>
      <c r="O135" t="s">
        <v>944</v>
      </c>
      <c r="P135" s="24" t="s">
        <v>24</v>
      </c>
      <c r="Q135">
        <v>72</v>
      </c>
      <c r="R135" t="s">
        <v>47</v>
      </c>
      <c r="S135" t="s">
        <v>47</v>
      </c>
      <c r="U135" t="str">
        <f>IF(AND(ISNUMBER(L135),COUNTIF([2]Songs!$L:$L,L135)&gt;0),"YES","")</f>
        <v>YES</v>
      </c>
      <c r="V135" t="str">
        <f>IF(AND(ISNUMBER(L135),COUNTIF([3]Songs!$J:$J,L135)&gt;0),"YES","")</f>
        <v>YES</v>
      </c>
      <c r="W135" t="str">
        <f>IF(AND(ISNUMBER(L135),COUNTIF([1]Songs!$H:$H,L135)&gt;0),"YES","")</f>
        <v>YES</v>
      </c>
      <c r="X135" t="s">
        <v>639</v>
      </c>
      <c r="Y135">
        <v>134</v>
      </c>
      <c r="AA135" t="str">
        <f>I135
&amp;IF(H135=I135,""," "&amp;H135)
&amp;IF(OR(R135=I135,R135=H135),""," "&amp;R135)
&amp;IF(R135=S135,""," "&amp;S135)</f>
        <v>C</v>
      </c>
    </row>
    <row r="136" spans="1:27" x14ac:dyDescent="0.25">
      <c r="A136">
        <v>1</v>
      </c>
      <c r="B136">
        <v>2017</v>
      </c>
      <c r="C136" t="s">
        <v>4</v>
      </c>
      <c r="D136">
        <v>1</v>
      </c>
      <c r="E136" t="s">
        <v>228</v>
      </c>
      <c r="F136" t="s">
        <v>23</v>
      </c>
      <c r="L136" s="10">
        <v>7023294</v>
      </c>
      <c r="P136" s="24" t="s">
        <v>229</v>
      </c>
      <c r="Q136">
        <v>76</v>
      </c>
      <c r="R136" t="s">
        <v>39</v>
      </c>
      <c r="S136" t="s">
        <v>39</v>
      </c>
      <c r="U136" t="str">
        <f>IF(AND(ISNUMBER(L136),COUNTIF([2]Songs!$L:$L,L136)&gt;0),"YES","")</f>
        <v/>
      </c>
      <c r="V136" t="str">
        <f>IF(AND(ISNUMBER(L136),COUNTIF([3]Songs!$J:$J,L136)&gt;0),"YES","")</f>
        <v>YES</v>
      </c>
      <c r="W136" t="str">
        <f>IF(AND(ISNUMBER(L136),COUNTIF([1]Songs!$H:$H,L136)&gt;0),"YES","")</f>
        <v/>
      </c>
      <c r="X136" t="s">
        <v>639</v>
      </c>
      <c r="Y136">
        <v>135</v>
      </c>
      <c r="AA136" t="str">
        <f>I136
&amp;IF(H136=I136,""," "&amp;H136)
&amp;IF(OR(R136=I136,R136=H136),""," "&amp;R136)
&amp;IF(R136=S136,""," "&amp;S136)</f>
        <v xml:space="preserve"> D</v>
      </c>
    </row>
    <row r="137" spans="1:27" x14ac:dyDescent="0.25">
      <c r="A137">
        <v>1</v>
      </c>
      <c r="B137">
        <v>2017</v>
      </c>
      <c r="C137" t="s">
        <v>4</v>
      </c>
      <c r="D137">
        <v>2</v>
      </c>
      <c r="E137" t="s">
        <v>230</v>
      </c>
      <c r="F137" t="s">
        <v>23</v>
      </c>
      <c r="L137" s="10">
        <v>7068428</v>
      </c>
      <c r="P137" s="24" t="s">
        <v>24</v>
      </c>
      <c r="Q137">
        <v>94</v>
      </c>
      <c r="R137" t="s">
        <v>39</v>
      </c>
      <c r="S137" t="s">
        <v>39</v>
      </c>
      <c r="U137" t="str">
        <f>IF(AND(ISNUMBER(L137),COUNTIF([2]Songs!$L:$L,L137)&gt;0),"YES","")</f>
        <v/>
      </c>
      <c r="V137" t="str">
        <f>IF(AND(ISNUMBER(L137),COUNTIF([3]Songs!$J:$J,L137)&gt;0),"YES","")</f>
        <v>YES</v>
      </c>
      <c r="W137" t="str">
        <f>IF(AND(ISNUMBER(L137),COUNTIF([1]Songs!$H:$H,L137)&gt;0),"YES","")</f>
        <v>YES</v>
      </c>
      <c r="X137" t="s">
        <v>639</v>
      </c>
      <c r="Y137">
        <v>136</v>
      </c>
      <c r="AA137" t="str">
        <f>I137
&amp;IF(H137=I137,""," "&amp;H137)
&amp;IF(OR(R137=I137,R137=H137),""," "&amp;R137)
&amp;IF(R137=S137,""," "&amp;S137)</f>
        <v xml:space="preserve"> D</v>
      </c>
    </row>
    <row r="138" spans="1:27" x14ac:dyDescent="0.25">
      <c r="A138">
        <v>1</v>
      </c>
      <c r="B138">
        <v>2017</v>
      </c>
      <c r="C138" t="s">
        <v>4</v>
      </c>
      <c r="D138">
        <v>3</v>
      </c>
      <c r="E138" t="s">
        <v>231</v>
      </c>
      <c r="F138" t="s">
        <v>23</v>
      </c>
      <c r="G138" t="s">
        <v>446</v>
      </c>
      <c r="H138" s="3" t="s">
        <v>39</v>
      </c>
      <c r="I138" s="3" t="s">
        <v>39</v>
      </c>
      <c r="J138" s="4">
        <v>110</v>
      </c>
      <c r="K138" s="5" t="s">
        <v>371</v>
      </c>
      <c r="L138" s="10">
        <v>7081388</v>
      </c>
      <c r="M138" s="4">
        <v>2017</v>
      </c>
      <c r="N138" s="6" t="s">
        <v>447</v>
      </c>
      <c r="O138" t="s">
        <v>944</v>
      </c>
      <c r="P138" s="24" t="s">
        <v>35</v>
      </c>
      <c r="Q138">
        <v>110</v>
      </c>
      <c r="R138" t="s">
        <v>39</v>
      </c>
      <c r="S138" t="s">
        <v>39</v>
      </c>
      <c r="U138" t="str">
        <f>IF(AND(ISNUMBER(L138),COUNTIF([2]Songs!$L:$L,L138)&gt;0),"YES","")</f>
        <v>YES</v>
      </c>
      <c r="V138" t="str">
        <f>IF(AND(ISNUMBER(L138),COUNTIF([3]Songs!$J:$J,L138)&gt;0),"YES","")</f>
        <v>YES</v>
      </c>
      <c r="W138" t="str">
        <f>IF(AND(ISNUMBER(L138),COUNTIF([1]Songs!$H:$H,L138)&gt;0),"YES","")</f>
        <v/>
      </c>
      <c r="X138" t="s">
        <v>639</v>
      </c>
      <c r="Y138">
        <v>137</v>
      </c>
      <c r="AA138" t="str">
        <f>I138
&amp;IF(H138=I138,""," "&amp;H138)
&amp;IF(OR(R138=I138,R138=H138),""," "&amp;R138)
&amp;IF(R138=S138,""," "&amp;S138)</f>
        <v>D</v>
      </c>
    </row>
    <row r="139" spans="1:27" x14ac:dyDescent="0.25">
      <c r="A139">
        <v>1</v>
      </c>
      <c r="B139">
        <v>2017</v>
      </c>
      <c r="C139" t="s">
        <v>4</v>
      </c>
      <c r="D139">
        <v>4</v>
      </c>
      <c r="E139" t="s">
        <v>232</v>
      </c>
      <c r="F139" t="s">
        <v>23</v>
      </c>
      <c r="G139" t="s">
        <v>448</v>
      </c>
      <c r="H139" s="3" t="s">
        <v>52</v>
      </c>
      <c r="I139" s="3" t="s">
        <v>28</v>
      </c>
      <c r="J139" s="4">
        <v>68</v>
      </c>
      <c r="K139" s="5" t="s">
        <v>371</v>
      </c>
      <c r="L139" s="10">
        <v>7046145</v>
      </c>
      <c r="M139" s="4">
        <v>2015</v>
      </c>
      <c r="N139" s="6" t="s">
        <v>449</v>
      </c>
      <c r="O139" t="s">
        <v>944</v>
      </c>
      <c r="P139" s="24" t="s">
        <v>233</v>
      </c>
      <c r="Q139">
        <v>68</v>
      </c>
      <c r="R139" t="s">
        <v>52</v>
      </c>
      <c r="S139" t="s">
        <v>52</v>
      </c>
      <c r="U139" t="str">
        <f>IF(AND(ISNUMBER(L139),COUNTIF([2]Songs!$L:$L,L139)&gt;0),"YES","")</f>
        <v>YES</v>
      </c>
      <c r="V139" t="str">
        <f>IF(AND(ISNUMBER(L139),COUNTIF([3]Songs!$J:$J,L139)&gt;0),"YES","")</f>
        <v>YES</v>
      </c>
      <c r="W139" t="str">
        <f>IF(AND(ISNUMBER(L139),COUNTIF([1]Songs!$H:$H,L139)&gt;0),"YES","")</f>
        <v/>
      </c>
      <c r="X139" t="s">
        <v>639</v>
      </c>
      <c r="Y139">
        <v>138</v>
      </c>
      <c r="AA139" t="str">
        <f>I139
&amp;IF(H139=I139,""," "&amp;H139)
&amp;IF(OR(R139=I139,R139=H139),""," "&amp;R139)
&amp;IF(R139=S139,""," "&amp;S139)</f>
        <v>Bb A</v>
      </c>
    </row>
    <row r="140" spans="1:27" x14ac:dyDescent="0.25">
      <c r="A140">
        <v>1</v>
      </c>
      <c r="B140">
        <v>2017</v>
      </c>
      <c r="C140" t="s">
        <v>4</v>
      </c>
      <c r="D140">
        <v>5</v>
      </c>
      <c r="E140" t="s">
        <v>234</v>
      </c>
      <c r="F140" t="s">
        <v>23</v>
      </c>
      <c r="L140" s="10">
        <v>5858163</v>
      </c>
      <c r="P140" s="24" t="s">
        <v>235</v>
      </c>
      <c r="Q140">
        <v>68</v>
      </c>
      <c r="R140" t="s">
        <v>36</v>
      </c>
      <c r="S140" t="s">
        <v>36</v>
      </c>
      <c r="U140" t="str">
        <f>IF(AND(ISNUMBER(L140),COUNTIF([2]Songs!$L:$L,L140)&gt;0),"YES","")</f>
        <v/>
      </c>
      <c r="V140" t="str">
        <f>IF(AND(ISNUMBER(L140),COUNTIF([3]Songs!$J:$J,L140)&gt;0),"YES","")</f>
        <v>YES</v>
      </c>
      <c r="W140" t="str">
        <f>IF(AND(ISNUMBER(L140),COUNTIF([1]Songs!$H:$H,L140)&gt;0),"YES","")</f>
        <v/>
      </c>
      <c r="X140" t="s">
        <v>639</v>
      </c>
      <c r="Y140">
        <v>139</v>
      </c>
      <c r="AA140" t="str">
        <f>I140
&amp;IF(H140=I140,""," "&amp;H140)
&amp;IF(OR(R140=I140,R140=H140),""," "&amp;R140)
&amp;IF(R140=S140,""," "&amp;S140)</f>
        <v xml:space="preserve"> E</v>
      </c>
    </row>
    <row r="141" spans="1:27" x14ac:dyDescent="0.25">
      <c r="A141">
        <v>1</v>
      </c>
      <c r="B141">
        <v>2017</v>
      </c>
      <c r="C141" t="s">
        <v>5</v>
      </c>
      <c r="D141">
        <v>1</v>
      </c>
      <c r="E141" t="s">
        <v>236</v>
      </c>
      <c r="F141" t="s">
        <v>23</v>
      </c>
      <c r="L141" s="10">
        <v>7052927</v>
      </c>
      <c r="P141" s="24" t="s">
        <v>35</v>
      </c>
      <c r="Q141">
        <v>81</v>
      </c>
      <c r="R141" t="s">
        <v>47</v>
      </c>
      <c r="S141" t="s">
        <v>47</v>
      </c>
      <c r="U141" t="str">
        <f>IF(AND(ISNUMBER(L141),COUNTIF([2]Songs!$L:$L,L141)&gt;0),"YES","")</f>
        <v/>
      </c>
      <c r="V141" t="str">
        <f>IF(AND(ISNUMBER(L141),COUNTIF([3]Songs!$J:$J,L141)&gt;0),"YES","")</f>
        <v>YES</v>
      </c>
      <c r="W141" t="str">
        <f>IF(AND(ISNUMBER(L141),COUNTIF([1]Songs!$H:$H,L141)&gt;0),"YES","")</f>
        <v/>
      </c>
      <c r="X141" t="s">
        <v>639</v>
      </c>
      <c r="Y141">
        <v>140</v>
      </c>
      <c r="AA141" t="str">
        <f>I141
&amp;IF(H141=I141,""," "&amp;H141)
&amp;IF(OR(R141=I141,R141=H141),""," "&amp;R141)
&amp;IF(R141=S141,""," "&amp;S141)</f>
        <v xml:space="preserve"> C</v>
      </c>
    </row>
    <row r="142" spans="1:27" x14ac:dyDescent="0.25">
      <c r="A142">
        <v>1</v>
      </c>
      <c r="B142">
        <v>2017</v>
      </c>
      <c r="C142" t="s">
        <v>5</v>
      </c>
      <c r="D142">
        <v>2</v>
      </c>
      <c r="E142" t="s">
        <v>237</v>
      </c>
      <c r="F142" t="s">
        <v>23</v>
      </c>
      <c r="G142" t="s">
        <v>450</v>
      </c>
      <c r="H142" s="3" t="s">
        <v>25</v>
      </c>
      <c r="I142" s="3" t="s">
        <v>25</v>
      </c>
      <c r="J142" s="4">
        <v>70</v>
      </c>
      <c r="K142" s="4" t="s">
        <v>371</v>
      </c>
      <c r="L142" s="10">
        <v>7070345</v>
      </c>
      <c r="M142" s="4">
        <v>2016</v>
      </c>
      <c r="N142" s="6" t="s">
        <v>451</v>
      </c>
      <c r="O142" t="s">
        <v>944</v>
      </c>
      <c r="P142" s="24" t="s">
        <v>238</v>
      </c>
      <c r="Q142">
        <v>70</v>
      </c>
      <c r="R142" t="s">
        <v>25</v>
      </c>
      <c r="S142" t="s">
        <v>25</v>
      </c>
      <c r="U142" t="str">
        <f>IF(AND(ISNUMBER(L142),COUNTIF([2]Songs!$L:$L,L142)&gt;0),"YES","")</f>
        <v>YES</v>
      </c>
      <c r="V142" t="str">
        <f>IF(AND(ISNUMBER(L142),COUNTIF([3]Songs!$J:$J,L142)&gt;0),"YES","")</f>
        <v>YES</v>
      </c>
      <c r="W142" t="str">
        <f>IF(AND(ISNUMBER(L142),COUNTIF([1]Songs!$H:$H,L142)&gt;0),"YES","")</f>
        <v/>
      </c>
      <c r="X142" t="s">
        <v>639</v>
      </c>
      <c r="Y142">
        <v>141</v>
      </c>
      <c r="AA142" t="str">
        <f>I142
&amp;IF(H142=I142,""," "&amp;H142)
&amp;IF(OR(R142=I142,R142=H142),""," "&amp;R142)
&amp;IF(R142=S142,""," "&amp;S142)</f>
        <v>G</v>
      </c>
    </row>
    <row r="143" spans="1:27" x14ac:dyDescent="0.25">
      <c r="A143">
        <v>1</v>
      </c>
      <c r="B143">
        <v>2017</v>
      </c>
      <c r="C143" t="s">
        <v>5</v>
      </c>
      <c r="D143">
        <v>3</v>
      </c>
      <c r="E143" t="s">
        <v>239</v>
      </c>
      <c r="F143" t="s">
        <v>23</v>
      </c>
      <c r="L143" s="10">
        <v>7032328</v>
      </c>
      <c r="P143" s="24" t="s">
        <v>192</v>
      </c>
      <c r="Q143">
        <v>71</v>
      </c>
      <c r="R143" t="s">
        <v>31</v>
      </c>
      <c r="S143" t="s">
        <v>31</v>
      </c>
      <c r="U143" t="str">
        <f>IF(AND(ISNUMBER(L143),COUNTIF([2]Songs!$L:$L,L143)&gt;0),"YES","")</f>
        <v/>
      </c>
      <c r="V143" t="str">
        <f>IF(AND(ISNUMBER(L143),COUNTIF([3]Songs!$J:$J,L143)&gt;0),"YES","")</f>
        <v>YES</v>
      </c>
      <c r="W143" t="str">
        <f>IF(AND(ISNUMBER(L143),COUNTIF([1]Songs!$H:$H,L143)&gt;0),"YES","")</f>
        <v/>
      </c>
      <c r="X143" t="s">
        <v>639</v>
      </c>
      <c r="Y143">
        <v>142</v>
      </c>
      <c r="AA143" t="str">
        <f>I143
&amp;IF(H143=I143,""," "&amp;H143)
&amp;IF(OR(R143=I143,R143=H143),""," "&amp;R143)
&amp;IF(R143=S143,""," "&amp;S143)</f>
        <v xml:space="preserve"> B</v>
      </c>
    </row>
    <row r="144" spans="1:27" x14ac:dyDescent="0.25">
      <c r="A144">
        <v>1</v>
      </c>
      <c r="B144">
        <v>2017</v>
      </c>
      <c r="C144" t="s">
        <v>5</v>
      </c>
      <c r="D144">
        <v>4</v>
      </c>
      <c r="E144" t="s">
        <v>240</v>
      </c>
      <c r="F144" t="s">
        <v>23</v>
      </c>
      <c r="L144" s="10">
        <v>6517898</v>
      </c>
      <c r="P144" s="24" t="s">
        <v>35</v>
      </c>
      <c r="Q144">
        <v>81</v>
      </c>
      <c r="R144" t="s">
        <v>31</v>
      </c>
      <c r="S144" t="s">
        <v>31</v>
      </c>
      <c r="U144" t="str">
        <f>IF(AND(ISNUMBER(L144),COUNTIF([2]Songs!$L:$L,L144)&gt;0),"YES","")</f>
        <v/>
      </c>
      <c r="V144" t="str">
        <f>IF(AND(ISNUMBER(L144),COUNTIF([3]Songs!$J:$J,L144)&gt;0),"YES","")</f>
        <v>YES</v>
      </c>
      <c r="W144" t="str">
        <f>IF(AND(ISNUMBER(L144),COUNTIF([1]Songs!$H:$H,L144)&gt;0),"YES","")</f>
        <v/>
      </c>
      <c r="X144" t="s">
        <v>639</v>
      </c>
      <c r="Y144">
        <v>143</v>
      </c>
      <c r="AA144" t="str">
        <f>I144
&amp;IF(H144=I144,""," "&amp;H144)
&amp;IF(OR(R144=I144,R144=H144),""," "&amp;R144)
&amp;IF(R144=S144,""," "&amp;S144)</f>
        <v xml:space="preserve"> B</v>
      </c>
    </row>
    <row r="145" spans="1:27" x14ac:dyDescent="0.25">
      <c r="A145">
        <v>1</v>
      </c>
      <c r="B145">
        <v>2017</v>
      </c>
      <c r="C145" t="s">
        <v>5</v>
      </c>
      <c r="D145">
        <v>5</v>
      </c>
      <c r="E145" t="s">
        <v>241</v>
      </c>
      <c r="F145" t="s">
        <v>23</v>
      </c>
      <c r="G145" t="s">
        <v>852</v>
      </c>
      <c r="H145" s="3" t="s">
        <v>31</v>
      </c>
      <c r="I145" s="3" t="s">
        <v>31</v>
      </c>
      <c r="J145" s="4">
        <v>52</v>
      </c>
      <c r="K145" s="5" t="s">
        <v>425</v>
      </c>
      <c r="L145" s="10">
        <v>7046448</v>
      </c>
      <c r="M145" s="4">
        <v>2015</v>
      </c>
      <c r="N145" s="4" t="s">
        <v>853</v>
      </c>
      <c r="O145" t="s">
        <v>944</v>
      </c>
      <c r="P145" s="24" t="s">
        <v>242</v>
      </c>
      <c r="Q145">
        <v>78</v>
      </c>
      <c r="R145" t="s">
        <v>31</v>
      </c>
      <c r="S145" t="s">
        <v>31</v>
      </c>
      <c r="U145" t="str">
        <f>IF(AND(ISNUMBER(L145),COUNTIF([2]Songs!$L:$L,L145)&gt;0),"YES","")</f>
        <v>YES</v>
      </c>
      <c r="V145" t="str">
        <f>IF(AND(ISNUMBER(L145),COUNTIF([3]Songs!$J:$J,L145)&gt;0),"YES","")</f>
        <v>YES</v>
      </c>
      <c r="W145" t="str">
        <f>IF(AND(ISNUMBER(L145),COUNTIF([1]Songs!$H:$H,L145)&gt;0),"YES","")</f>
        <v/>
      </c>
      <c r="X145" t="s">
        <v>639</v>
      </c>
      <c r="Y145">
        <v>144</v>
      </c>
      <c r="AA145" t="str">
        <f>I145
&amp;IF(H145=I145,""," "&amp;H145)
&amp;IF(OR(R145=I145,R145=H145),""," "&amp;R145)
&amp;IF(R145=S145,""," "&amp;S145)</f>
        <v>B</v>
      </c>
    </row>
    <row r="146" spans="1:27" x14ac:dyDescent="0.25">
      <c r="A146">
        <v>1</v>
      </c>
      <c r="B146">
        <v>2018</v>
      </c>
      <c r="C146" t="s">
        <v>6</v>
      </c>
      <c r="D146">
        <v>1</v>
      </c>
      <c r="E146" t="s">
        <v>243</v>
      </c>
      <c r="F146" t="s">
        <v>23</v>
      </c>
      <c r="G146" t="s">
        <v>452</v>
      </c>
      <c r="H146" s="3" t="s">
        <v>176</v>
      </c>
      <c r="I146" s="3" t="s">
        <v>84</v>
      </c>
      <c r="J146" s="4">
        <v>56</v>
      </c>
      <c r="K146" s="5" t="s">
        <v>425</v>
      </c>
      <c r="L146" s="10">
        <v>7089641</v>
      </c>
      <c r="M146" s="4">
        <v>2017</v>
      </c>
      <c r="N146" s="6" t="s">
        <v>453</v>
      </c>
      <c r="O146" t="s">
        <v>944</v>
      </c>
      <c r="P146" s="24" t="s">
        <v>244</v>
      </c>
      <c r="Q146">
        <v>81</v>
      </c>
      <c r="R146" t="s">
        <v>84</v>
      </c>
      <c r="S146" t="s">
        <v>176</v>
      </c>
      <c r="U146" t="str">
        <f>IF(AND(ISNUMBER(L146),COUNTIF([2]Songs!$L:$L,L146)&gt;0),"YES","")</f>
        <v>YES</v>
      </c>
      <c r="V146" t="str">
        <f>IF(AND(ISNUMBER(L146),COUNTIF([3]Songs!$J:$J,L146)&gt;0),"YES","")</f>
        <v>YES</v>
      </c>
      <c r="W146" t="str">
        <f>IF(AND(ISNUMBER(L146),COUNTIF([1]Songs!$H:$H,L146)&gt;0),"YES","")</f>
        <v/>
      </c>
      <c r="X146" t="s">
        <v>639</v>
      </c>
      <c r="Y146">
        <v>145</v>
      </c>
      <c r="AA146" t="str">
        <f>I146
&amp;IF(H146=I146,""," "&amp;H146)
&amp;IF(OR(R146=I146,R146=H146),""," "&amp;R146)
&amp;IF(R146=S146,""," "&amp;S146)</f>
        <v>F# F F</v>
      </c>
    </row>
    <row r="147" spans="1:27" x14ac:dyDescent="0.25">
      <c r="A147">
        <v>1</v>
      </c>
      <c r="B147">
        <v>2018</v>
      </c>
      <c r="C147" t="s">
        <v>6</v>
      </c>
      <c r="D147">
        <v>2</v>
      </c>
      <c r="E147" t="s">
        <v>245</v>
      </c>
      <c r="F147" t="s">
        <v>23</v>
      </c>
      <c r="L147" s="10">
        <v>7054720</v>
      </c>
      <c r="P147" s="24" t="s">
        <v>27</v>
      </c>
      <c r="Q147">
        <v>101</v>
      </c>
      <c r="R147" t="s">
        <v>31</v>
      </c>
      <c r="S147" t="s">
        <v>31</v>
      </c>
      <c r="U147" t="str">
        <f>IF(AND(ISNUMBER(L147),COUNTIF([2]Songs!$L:$L,L147)&gt;0),"YES","")</f>
        <v/>
      </c>
      <c r="V147" t="str">
        <f>IF(AND(ISNUMBER(L147),COUNTIF([3]Songs!$J:$J,L147)&gt;0),"YES","")</f>
        <v>YES</v>
      </c>
      <c r="W147" t="str">
        <f>IF(AND(ISNUMBER(L147),COUNTIF([1]Songs!$H:$H,L147)&gt;0),"YES","")</f>
        <v/>
      </c>
      <c r="X147" t="s">
        <v>639</v>
      </c>
      <c r="Y147">
        <v>146</v>
      </c>
      <c r="AA147" t="str">
        <f>I147
&amp;IF(H147=I147,""," "&amp;H147)
&amp;IF(OR(R147=I147,R147=H147),""," "&amp;R147)
&amp;IF(R147=S147,""," "&amp;S147)</f>
        <v xml:space="preserve"> B</v>
      </c>
    </row>
    <row r="148" spans="1:27" x14ac:dyDescent="0.25">
      <c r="A148">
        <v>1</v>
      </c>
      <c r="B148">
        <v>2018</v>
      </c>
      <c r="C148" t="s">
        <v>6</v>
      </c>
      <c r="D148">
        <v>3</v>
      </c>
      <c r="E148" t="s">
        <v>246</v>
      </c>
      <c r="F148" t="s">
        <v>23</v>
      </c>
      <c r="G148" t="s">
        <v>454</v>
      </c>
      <c r="H148" s="3" t="s">
        <v>31</v>
      </c>
      <c r="I148" s="3" t="s">
        <v>31</v>
      </c>
      <c r="J148" s="4">
        <v>82</v>
      </c>
      <c r="K148" s="4" t="s">
        <v>371</v>
      </c>
      <c r="L148" s="10">
        <v>6514035</v>
      </c>
      <c r="M148" s="4">
        <v>2012</v>
      </c>
      <c r="N148" s="4" t="s">
        <v>455</v>
      </c>
      <c r="O148" t="s">
        <v>944</v>
      </c>
      <c r="P148" s="24" t="s">
        <v>24</v>
      </c>
      <c r="Q148">
        <v>80</v>
      </c>
      <c r="R148" t="s">
        <v>31</v>
      </c>
      <c r="S148" t="s">
        <v>31</v>
      </c>
      <c r="U148" t="str">
        <f>IF(AND(ISNUMBER(L148),COUNTIF([2]Songs!$L:$L,L148)&gt;0),"YES","")</f>
        <v>YES</v>
      </c>
      <c r="V148" t="str">
        <f>IF(AND(ISNUMBER(L148),COUNTIF([3]Songs!$J:$J,L148)&gt;0),"YES","")</f>
        <v>YES</v>
      </c>
      <c r="W148" t="str">
        <f>IF(AND(ISNUMBER(L148),COUNTIF([1]Songs!$H:$H,L148)&gt;0),"YES","")</f>
        <v>YES</v>
      </c>
      <c r="X148" t="s">
        <v>639</v>
      </c>
      <c r="Y148">
        <v>147</v>
      </c>
      <c r="AA148" t="str">
        <f>I148
&amp;IF(H148=I148,""," "&amp;H148)
&amp;IF(OR(R148=I148,R148=H148),""," "&amp;R148)
&amp;IF(R148=S148,""," "&amp;S148)</f>
        <v>B</v>
      </c>
    </row>
    <row r="149" spans="1:27" x14ac:dyDescent="0.25">
      <c r="A149">
        <v>1</v>
      </c>
      <c r="B149">
        <v>2018</v>
      </c>
      <c r="C149" t="s">
        <v>6</v>
      </c>
      <c r="D149">
        <v>4</v>
      </c>
      <c r="E149" t="s">
        <v>247</v>
      </c>
      <c r="F149" t="s">
        <v>23</v>
      </c>
      <c r="G149" t="s">
        <v>456</v>
      </c>
      <c r="H149" s="3" t="s">
        <v>47</v>
      </c>
      <c r="I149" s="3" t="s">
        <v>47</v>
      </c>
      <c r="J149" s="4">
        <v>74</v>
      </c>
      <c r="K149" s="5" t="s">
        <v>371</v>
      </c>
      <c r="L149" s="10">
        <v>7065049</v>
      </c>
      <c r="M149" s="4">
        <v>2016</v>
      </c>
      <c r="N149" s="6" t="s">
        <v>457</v>
      </c>
      <c r="O149" t="s">
        <v>944</v>
      </c>
      <c r="P149" s="24" t="s">
        <v>248</v>
      </c>
      <c r="Q149">
        <v>74</v>
      </c>
      <c r="R149" t="s">
        <v>47</v>
      </c>
      <c r="S149" t="s">
        <v>47</v>
      </c>
      <c r="U149" t="str">
        <f>IF(AND(ISNUMBER(L149),COUNTIF([2]Songs!$L:$L,L149)&gt;0),"YES","")</f>
        <v>YES</v>
      </c>
      <c r="V149" t="str">
        <f>IF(AND(ISNUMBER(L149),COUNTIF([3]Songs!$J:$J,L149)&gt;0),"YES","")</f>
        <v>YES</v>
      </c>
      <c r="W149" t="str">
        <f>IF(AND(ISNUMBER(L149),COUNTIF([1]Songs!$H:$H,L149)&gt;0),"YES","")</f>
        <v/>
      </c>
      <c r="X149" t="s">
        <v>639</v>
      </c>
      <c r="Y149">
        <v>148</v>
      </c>
      <c r="AA149" t="str">
        <f>I149
&amp;IF(H149=I149,""," "&amp;H149)
&amp;IF(OR(R149=I149,R149=H149),""," "&amp;R149)
&amp;IF(R149=S149,""," "&amp;S149)</f>
        <v>C</v>
      </c>
    </row>
    <row r="150" spans="1:27" x14ac:dyDescent="0.25">
      <c r="A150">
        <v>1</v>
      </c>
      <c r="B150">
        <v>2018</v>
      </c>
      <c r="C150" t="s">
        <v>6</v>
      </c>
      <c r="D150">
        <v>5</v>
      </c>
      <c r="E150" t="s">
        <v>249</v>
      </c>
      <c r="F150" t="s">
        <v>23</v>
      </c>
      <c r="G150" t="s">
        <v>431</v>
      </c>
      <c r="H150" s="3" t="s">
        <v>47</v>
      </c>
      <c r="I150" s="3" t="s">
        <v>93</v>
      </c>
      <c r="J150" s="4">
        <v>74</v>
      </c>
      <c r="K150" s="5" t="s">
        <v>371</v>
      </c>
      <c r="L150" s="10">
        <v>7051507</v>
      </c>
      <c r="M150" s="4">
        <v>2015</v>
      </c>
      <c r="N150" s="6" t="s">
        <v>432</v>
      </c>
      <c r="O150" t="s">
        <v>944</v>
      </c>
      <c r="P150" s="24" t="s">
        <v>250</v>
      </c>
      <c r="Q150">
        <v>75</v>
      </c>
      <c r="R150" t="s">
        <v>93</v>
      </c>
      <c r="S150" t="s">
        <v>47</v>
      </c>
      <c r="U150" t="str">
        <f>IF(AND(ISNUMBER(L150),COUNTIF([2]Songs!$L:$L,L150)&gt;0),"YES","")</f>
        <v>YES</v>
      </c>
      <c r="V150" t="str">
        <f>IF(AND(ISNUMBER(L150),COUNTIF([3]Songs!$J:$J,L150)&gt;0),"YES","")</f>
        <v>YES</v>
      </c>
      <c r="W150" t="str">
        <f>IF(AND(ISNUMBER(L150),COUNTIF([1]Songs!$H:$H,L150)&gt;0),"YES","")</f>
        <v/>
      </c>
      <c r="X150" t="s">
        <v>639</v>
      </c>
      <c r="Y150">
        <v>149</v>
      </c>
      <c r="AA150" t="str">
        <f>I150
&amp;IF(H150=I150,""," "&amp;H150)
&amp;IF(OR(R150=I150,R150=H150),""," "&amp;R150)
&amp;IF(R150=S150,""," "&amp;S150)</f>
        <v>Db C C</v>
      </c>
    </row>
    <row r="151" spans="1:27" x14ac:dyDescent="0.25">
      <c r="A151">
        <v>1</v>
      </c>
      <c r="B151">
        <v>2018</v>
      </c>
      <c r="C151" t="s">
        <v>7</v>
      </c>
      <c r="D151">
        <v>1</v>
      </c>
      <c r="E151" t="s">
        <v>251</v>
      </c>
      <c r="F151" t="s">
        <v>23</v>
      </c>
      <c r="L151" s="10">
        <v>7107554</v>
      </c>
      <c r="P151" s="24" t="s">
        <v>70</v>
      </c>
      <c r="Q151">
        <v>76</v>
      </c>
      <c r="R151" t="s">
        <v>47</v>
      </c>
      <c r="S151" t="s">
        <v>47</v>
      </c>
      <c r="U151" t="str">
        <f>IF(AND(ISNUMBER(L151),COUNTIF([2]Songs!$L:$L,L151)&gt;0),"YES","")</f>
        <v/>
      </c>
      <c r="V151" t="str">
        <f>IF(AND(ISNUMBER(L151),COUNTIF([3]Songs!$J:$J,L151)&gt;0),"YES","")</f>
        <v>YES</v>
      </c>
      <c r="W151" t="str">
        <f>IF(AND(ISNUMBER(L151),COUNTIF([1]Songs!$H:$H,L151)&gt;0),"YES","")</f>
        <v/>
      </c>
      <c r="X151" t="s">
        <v>639</v>
      </c>
      <c r="Y151">
        <v>150</v>
      </c>
      <c r="AA151" t="str">
        <f>I151
&amp;IF(H151=I151,""," "&amp;H151)
&amp;IF(OR(R151=I151,R151=H151),""," "&amp;R151)
&amp;IF(R151=S151,""," "&amp;S151)</f>
        <v xml:space="preserve"> C</v>
      </c>
    </row>
    <row r="152" spans="1:27" x14ac:dyDescent="0.25">
      <c r="A152">
        <v>1</v>
      </c>
      <c r="B152">
        <v>2018</v>
      </c>
      <c r="C152" t="s">
        <v>7</v>
      </c>
      <c r="D152">
        <v>2</v>
      </c>
      <c r="E152" t="s">
        <v>252</v>
      </c>
      <c r="F152" t="s">
        <v>23</v>
      </c>
      <c r="G152" t="s">
        <v>458</v>
      </c>
      <c r="H152" s="3" t="s">
        <v>52</v>
      </c>
      <c r="I152" s="3" t="s">
        <v>28</v>
      </c>
      <c r="J152" s="4">
        <v>86</v>
      </c>
      <c r="K152" s="4" t="s">
        <v>371</v>
      </c>
      <c r="L152" s="10">
        <v>7067555</v>
      </c>
      <c r="M152" s="4">
        <v>2016</v>
      </c>
      <c r="N152" s="6" t="s">
        <v>459</v>
      </c>
      <c r="O152" t="s">
        <v>944</v>
      </c>
      <c r="P152" s="24" t="s">
        <v>250</v>
      </c>
      <c r="Q152">
        <v>86</v>
      </c>
      <c r="R152" t="s">
        <v>28</v>
      </c>
      <c r="S152" t="s">
        <v>52</v>
      </c>
      <c r="U152" t="str">
        <f>IF(AND(ISNUMBER(L152),COUNTIF([2]Songs!$L:$L,L152)&gt;0),"YES","")</f>
        <v>YES</v>
      </c>
      <c r="V152" t="str">
        <f>IF(AND(ISNUMBER(L152),COUNTIF([3]Songs!$J:$J,L152)&gt;0),"YES","")</f>
        <v>YES</v>
      </c>
      <c r="W152" t="str">
        <f>IF(AND(ISNUMBER(L152),COUNTIF([1]Songs!$H:$H,L152)&gt;0),"YES","")</f>
        <v/>
      </c>
      <c r="X152" t="s">
        <v>639</v>
      </c>
      <c r="Y152">
        <v>151</v>
      </c>
      <c r="AA152" t="str">
        <f>I152
&amp;IF(H152=I152,""," "&amp;H152)
&amp;IF(OR(R152=I152,R152=H152),""," "&amp;R152)
&amp;IF(R152=S152,""," "&amp;S152)</f>
        <v>Bb A A</v>
      </c>
    </row>
    <row r="153" spans="1:27" x14ac:dyDescent="0.25">
      <c r="A153">
        <v>1</v>
      </c>
      <c r="B153">
        <v>2018</v>
      </c>
      <c r="C153" t="s">
        <v>7</v>
      </c>
      <c r="D153">
        <v>3</v>
      </c>
      <c r="E153" t="s">
        <v>253</v>
      </c>
      <c r="F153" t="s">
        <v>23</v>
      </c>
      <c r="G153" t="s">
        <v>460</v>
      </c>
      <c r="H153" s="3" t="s">
        <v>39</v>
      </c>
      <c r="I153" s="3" t="s">
        <v>78</v>
      </c>
      <c r="J153" s="4">
        <v>72</v>
      </c>
      <c r="K153" s="4" t="s">
        <v>371</v>
      </c>
      <c r="L153" s="10">
        <v>7106807</v>
      </c>
      <c r="M153" s="4">
        <v>2017</v>
      </c>
      <c r="N153" s="6" t="s">
        <v>374</v>
      </c>
      <c r="O153" t="s">
        <v>944</v>
      </c>
      <c r="P153" s="24" t="s">
        <v>27</v>
      </c>
      <c r="Q153">
        <v>72</v>
      </c>
      <c r="R153" t="s">
        <v>78</v>
      </c>
      <c r="S153" t="s">
        <v>39</v>
      </c>
      <c r="U153" t="str">
        <f>IF(AND(ISNUMBER(L153),COUNTIF([2]Songs!$L:$L,L153)&gt;0),"YES","")</f>
        <v>YES</v>
      </c>
      <c r="V153" t="str">
        <f>IF(AND(ISNUMBER(L153),COUNTIF([3]Songs!$J:$J,L153)&gt;0),"YES","")</f>
        <v>YES</v>
      </c>
      <c r="W153" t="str">
        <f>IF(AND(ISNUMBER(L153),COUNTIF([1]Songs!$H:$H,L153)&gt;0),"YES","")</f>
        <v/>
      </c>
      <c r="X153" t="s">
        <v>639</v>
      </c>
      <c r="Y153">
        <v>152</v>
      </c>
      <c r="AA153" t="str">
        <f>I153
&amp;IF(H153=I153,""," "&amp;H153)
&amp;IF(OR(R153=I153,R153=H153),""," "&amp;R153)
&amp;IF(R153=S153,""," "&amp;S153)</f>
        <v>Eb D D</v>
      </c>
    </row>
    <row r="154" spans="1:27" x14ac:dyDescent="0.25">
      <c r="A154">
        <v>1</v>
      </c>
      <c r="B154">
        <v>2018</v>
      </c>
      <c r="C154" t="s">
        <v>7</v>
      </c>
      <c r="D154">
        <v>4</v>
      </c>
      <c r="E154" t="s">
        <v>254</v>
      </c>
      <c r="F154" t="s">
        <v>23</v>
      </c>
      <c r="G154" t="s">
        <v>413</v>
      </c>
      <c r="H154" s="3" t="s">
        <v>52</v>
      </c>
      <c r="I154" s="3" t="s">
        <v>52</v>
      </c>
      <c r="J154" s="4">
        <v>58</v>
      </c>
      <c r="K154" s="5" t="s">
        <v>425</v>
      </c>
      <c r="L154" s="10">
        <v>7102401</v>
      </c>
      <c r="M154" s="4">
        <v>2017</v>
      </c>
      <c r="N154" s="4" t="s">
        <v>372</v>
      </c>
      <c r="O154" t="s">
        <v>944</v>
      </c>
      <c r="P154" s="24" t="s">
        <v>24</v>
      </c>
      <c r="Q154">
        <v>86</v>
      </c>
      <c r="R154" t="s">
        <v>84</v>
      </c>
      <c r="S154" t="s">
        <v>176</v>
      </c>
      <c r="U154" t="str">
        <f>IF(AND(ISNUMBER(L154),COUNTIF([2]Songs!$L:$L,L154)&gt;0),"YES","")</f>
        <v>YES</v>
      </c>
      <c r="V154" t="str">
        <f>IF(AND(ISNUMBER(L154),COUNTIF([3]Songs!$J:$J,L154)&gt;0),"YES","")</f>
        <v>YES</v>
      </c>
      <c r="W154" t="str">
        <f>IF(AND(ISNUMBER(L154),COUNTIF([1]Songs!$H:$H,L154)&gt;0),"YES","")</f>
        <v>YES</v>
      </c>
      <c r="X154" t="s">
        <v>639</v>
      </c>
      <c r="Y154">
        <v>153</v>
      </c>
      <c r="AA154" t="str">
        <f>I154
&amp;IF(H154=I154,""," "&amp;H154)
&amp;IF(OR(R154=I154,R154=H154),""," "&amp;R154)
&amp;IF(R154=S154,""," "&amp;S154)</f>
        <v>A F# F</v>
      </c>
    </row>
    <row r="155" spans="1:27" x14ac:dyDescent="0.25">
      <c r="A155">
        <v>1</v>
      </c>
      <c r="B155">
        <v>2018</v>
      </c>
      <c r="C155" t="s">
        <v>7</v>
      </c>
      <c r="D155">
        <v>5</v>
      </c>
      <c r="E155" t="s">
        <v>255</v>
      </c>
      <c r="F155" t="s">
        <v>23</v>
      </c>
      <c r="L155" s="10">
        <v>7060709</v>
      </c>
      <c r="P155" s="24" t="s">
        <v>35</v>
      </c>
      <c r="Q155">
        <v>75</v>
      </c>
      <c r="R155" t="s">
        <v>31</v>
      </c>
      <c r="S155" t="s">
        <v>31</v>
      </c>
      <c r="U155" t="str">
        <f>IF(AND(ISNUMBER(L155),COUNTIF([2]Songs!$L:$L,L155)&gt;0),"YES","")</f>
        <v/>
      </c>
      <c r="V155" t="str">
        <f>IF(AND(ISNUMBER(L155),COUNTIF([3]Songs!$J:$J,L155)&gt;0),"YES","")</f>
        <v>YES</v>
      </c>
      <c r="W155" t="str">
        <f>IF(AND(ISNUMBER(L155),COUNTIF([1]Songs!$H:$H,L155)&gt;0),"YES","")</f>
        <v/>
      </c>
      <c r="X155" t="s">
        <v>639</v>
      </c>
      <c r="Y155">
        <v>154</v>
      </c>
      <c r="AA155" t="str">
        <f>I155
&amp;IF(H155=I155,""," "&amp;H155)
&amp;IF(OR(R155=I155,R155=H155),""," "&amp;R155)
&amp;IF(R155=S155,""," "&amp;S155)</f>
        <v xml:space="preserve"> B</v>
      </c>
    </row>
    <row r="156" spans="1:27" x14ac:dyDescent="0.25">
      <c r="A156">
        <v>1</v>
      </c>
      <c r="B156">
        <v>2018</v>
      </c>
      <c r="C156" t="s">
        <v>7</v>
      </c>
      <c r="D156">
        <v>6</v>
      </c>
      <c r="E156" t="s">
        <v>256</v>
      </c>
      <c r="F156" t="s">
        <v>257</v>
      </c>
      <c r="L156" s="10">
        <v>7068430</v>
      </c>
      <c r="P156" s="24" t="s">
        <v>220</v>
      </c>
      <c r="Q156">
        <v>74</v>
      </c>
      <c r="R156" t="s">
        <v>31</v>
      </c>
      <c r="S156" t="s">
        <v>31</v>
      </c>
      <c r="U156" t="str">
        <f>IF(AND(ISNUMBER(L156),COUNTIF([2]Songs!$L:$L,L156)&gt;0),"YES","")</f>
        <v/>
      </c>
      <c r="V156" t="str">
        <f>IF(AND(ISNUMBER(L156),COUNTIF([3]Songs!$J:$J,L156)&gt;0),"YES","")</f>
        <v>YES</v>
      </c>
      <c r="W156" t="str">
        <f>IF(AND(ISNUMBER(L156),COUNTIF([1]Songs!$H:$H,L156)&gt;0),"YES","")</f>
        <v>YES</v>
      </c>
      <c r="X156" t="s">
        <v>639</v>
      </c>
      <c r="Y156">
        <v>155</v>
      </c>
      <c r="AA156" t="str">
        <f>I156
&amp;IF(H156=I156,""," "&amp;H156)
&amp;IF(OR(R156=I156,R156=H156),""," "&amp;R156)
&amp;IF(R156=S156,""," "&amp;S156)</f>
        <v xml:space="preserve"> B</v>
      </c>
    </row>
    <row r="157" spans="1:27" x14ac:dyDescent="0.25">
      <c r="A157">
        <v>1</v>
      </c>
      <c r="B157">
        <v>2018</v>
      </c>
      <c r="C157" t="s">
        <v>7</v>
      </c>
      <c r="D157">
        <v>7</v>
      </c>
      <c r="E157" t="s">
        <v>258</v>
      </c>
      <c r="F157" t="s">
        <v>259</v>
      </c>
      <c r="G157" t="s">
        <v>461</v>
      </c>
      <c r="H157" s="3" t="s">
        <v>52</v>
      </c>
      <c r="I157" s="3" t="s">
        <v>52</v>
      </c>
      <c r="J157" s="4">
        <v>64</v>
      </c>
      <c r="K157" s="5" t="s">
        <v>462</v>
      </c>
      <c r="L157" s="10">
        <v>7084123</v>
      </c>
      <c r="M157" s="4">
        <v>2017</v>
      </c>
      <c r="N157" s="4" t="s">
        <v>372</v>
      </c>
      <c r="O157" t="s">
        <v>944</v>
      </c>
      <c r="P157" s="24" t="s">
        <v>220</v>
      </c>
      <c r="Q157">
        <v>64</v>
      </c>
      <c r="R157" t="s">
        <v>52</v>
      </c>
      <c r="S157" t="s">
        <v>52</v>
      </c>
      <c r="U157" t="str">
        <f>IF(AND(ISNUMBER(L157),COUNTIF([2]Songs!$L:$L,L157)&gt;0),"YES","")</f>
        <v>YES</v>
      </c>
      <c r="V157" t="str">
        <f>IF(AND(ISNUMBER(L157),COUNTIF([3]Songs!$J:$J,L157)&gt;0),"YES","")</f>
        <v>YES</v>
      </c>
      <c r="W157" t="str">
        <f>IF(AND(ISNUMBER(L157),COUNTIF([1]Songs!$H:$H,L157)&gt;0),"YES","")</f>
        <v>YES</v>
      </c>
      <c r="X157" t="s">
        <v>639</v>
      </c>
      <c r="Y157">
        <v>156</v>
      </c>
      <c r="AA157" t="str">
        <f>I157
&amp;IF(H157=I157,""," "&amp;H157)
&amp;IF(OR(R157=I157,R157=H157),""," "&amp;R157)
&amp;IF(R157=S157,""," "&amp;S157)</f>
        <v>A</v>
      </c>
    </row>
    <row r="158" spans="1:27" x14ac:dyDescent="0.25">
      <c r="A158">
        <v>1</v>
      </c>
      <c r="B158">
        <v>2018</v>
      </c>
      <c r="C158" t="s">
        <v>7</v>
      </c>
      <c r="D158">
        <v>8</v>
      </c>
      <c r="E158" t="s">
        <v>260</v>
      </c>
      <c r="F158" t="s">
        <v>23</v>
      </c>
      <c r="L158" s="10">
        <v>7017785</v>
      </c>
      <c r="P158" s="24" t="s">
        <v>35</v>
      </c>
      <c r="Q158">
        <v>71</v>
      </c>
      <c r="R158" t="s">
        <v>67</v>
      </c>
      <c r="S158" t="s">
        <v>25</v>
      </c>
      <c r="U158" t="str">
        <f>IF(AND(ISNUMBER(L158),COUNTIF([2]Songs!$L:$L,L158)&gt;0),"YES","")</f>
        <v/>
      </c>
      <c r="V158" t="str">
        <f>IF(AND(ISNUMBER(L158),COUNTIF([3]Songs!$J:$J,L158)&gt;0),"YES","")</f>
        <v>YES</v>
      </c>
      <c r="W158" t="str">
        <f>IF(AND(ISNUMBER(L158),COUNTIF([1]Songs!$H:$H,L158)&gt;0),"YES","")</f>
        <v/>
      </c>
      <c r="X158" t="s">
        <v>639</v>
      </c>
      <c r="Y158">
        <v>157</v>
      </c>
      <c r="AA158" t="str">
        <f>I158
&amp;IF(H158=I158,""," "&amp;H158)
&amp;IF(OR(R158=I158,R158=H158),""," "&amp;R158)
&amp;IF(R158=S158,""," "&amp;S158)</f>
        <v xml:space="preserve"> Ab G</v>
      </c>
    </row>
    <row r="159" spans="1:27" x14ac:dyDescent="0.25">
      <c r="A159">
        <v>1</v>
      </c>
      <c r="B159">
        <v>2018</v>
      </c>
      <c r="C159" t="s">
        <v>7</v>
      </c>
      <c r="D159">
        <v>9</v>
      </c>
      <c r="E159" t="s">
        <v>261</v>
      </c>
      <c r="F159" t="s">
        <v>23</v>
      </c>
      <c r="L159" s="10">
        <v>7068422</v>
      </c>
      <c r="P159" s="24" t="s">
        <v>24</v>
      </c>
      <c r="Q159">
        <v>122</v>
      </c>
      <c r="R159" t="s">
        <v>47</v>
      </c>
      <c r="S159" t="s">
        <v>47</v>
      </c>
      <c r="U159" t="str">
        <f>IF(AND(ISNUMBER(L159),COUNTIF([2]Songs!$L:$L,L159)&gt;0),"YES","")</f>
        <v/>
      </c>
      <c r="V159" t="str">
        <f>IF(AND(ISNUMBER(L159),COUNTIF([3]Songs!$J:$J,L159)&gt;0),"YES","")</f>
        <v>YES</v>
      </c>
      <c r="W159" t="str">
        <f>IF(AND(ISNUMBER(L159),COUNTIF([1]Songs!$H:$H,L159)&gt;0),"YES","")</f>
        <v>YES</v>
      </c>
      <c r="X159" t="s">
        <v>639</v>
      </c>
      <c r="Y159">
        <v>158</v>
      </c>
      <c r="AA159" t="str">
        <f>I159
&amp;IF(H159=I159,""," "&amp;H159)
&amp;IF(OR(R159=I159,R159=H159),""," "&amp;R159)
&amp;IF(R159=S159,""," "&amp;S159)</f>
        <v xml:space="preserve"> C</v>
      </c>
    </row>
    <row r="160" spans="1:27" x14ac:dyDescent="0.25">
      <c r="A160">
        <v>1</v>
      </c>
      <c r="B160">
        <v>2018</v>
      </c>
      <c r="C160" t="s">
        <v>7</v>
      </c>
      <c r="D160">
        <v>10</v>
      </c>
      <c r="E160" t="s">
        <v>262</v>
      </c>
      <c r="F160" t="s">
        <v>23</v>
      </c>
      <c r="L160" s="10">
        <v>7060031</v>
      </c>
      <c r="P160" s="24" t="s">
        <v>263</v>
      </c>
      <c r="Q160">
        <v>78</v>
      </c>
      <c r="R160" t="s">
        <v>47</v>
      </c>
      <c r="S160" t="s">
        <v>47</v>
      </c>
      <c r="U160" t="str">
        <f>IF(AND(ISNUMBER(L160),COUNTIF([2]Songs!$L:$L,L160)&gt;0),"YES","")</f>
        <v/>
      </c>
      <c r="V160" t="str">
        <f>IF(AND(ISNUMBER(L160),COUNTIF([3]Songs!$J:$J,L160)&gt;0),"YES","")</f>
        <v>YES</v>
      </c>
      <c r="W160" t="str">
        <f>IF(AND(ISNUMBER(L160),COUNTIF([1]Songs!$H:$H,L160)&gt;0),"YES","")</f>
        <v/>
      </c>
      <c r="X160" t="s">
        <v>639</v>
      </c>
      <c r="Y160">
        <v>159</v>
      </c>
      <c r="AA160" t="str">
        <f>I160
&amp;IF(H160=I160,""," "&amp;H160)
&amp;IF(OR(R160=I160,R160=H160),""," "&amp;R160)
&amp;IF(R160=S160,""," "&amp;S160)</f>
        <v xml:space="preserve"> C</v>
      </c>
    </row>
    <row r="161" spans="1:27" x14ac:dyDescent="0.25">
      <c r="A161">
        <v>1</v>
      </c>
      <c r="B161">
        <v>2019</v>
      </c>
      <c r="C161" t="s">
        <v>8</v>
      </c>
      <c r="D161">
        <v>1</v>
      </c>
      <c r="E161" t="s">
        <v>264</v>
      </c>
      <c r="F161" t="s">
        <v>23</v>
      </c>
      <c r="L161" s="10">
        <v>7117726</v>
      </c>
      <c r="P161" s="24" t="s">
        <v>235</v>
      </c>
      <c r="Q161">
        <v>63</v>
      </c>
      <c r="R161" t="s">
        <v>67</v>
      </c>
      <c r="S161" t="s">
        <v>25</v>
      </c>
      <c r="U161" t="str">
        <f>IF(AND(ISNUMBER(L161),COUNTIF([2]Songs!$L:$L,L161)&gt;0),"YES","")</f>
        <v/>
      </c>
      <c r="V161" t="str">
        <f>IF(AND(ISNUMBER(L161),COUNTIF([3]Songs!$J:$J,L161)&gt;0),"YES","")</f>
        <v>YES</v>
      </c>
      <c r="W161" t="str">
        <f>IF(AND(ISNUMBER(L161),COUNTIF([1]Songs!$H:$H,L161)&gt;0),"YES","")</f>
        <v/>
      </c>
      <c r="X161" t="s">
        <v>639</v>
      </c>
      <c r="Y161">
        <v>160</v>
      </c>
      <c r="AA161" t="str">
        <f>I161
&amp;IF(H161=I161,""," "&amp;H161)
&amp;IF(OR(R161=I161,R161=H161),""," "&amp;R161)
&amp;IF(R161=S161,""," "&amp;S161)</f>
        <v xml:space="preserve"> Ab G</v>
      </c>
    </row>
    <row r="162" spans="1:27" x14ac:dyDescent="0.25">
      <c r="A162">
        <v>1</v>
      </c>
      <c r="B162">
        <v>2019</v>
      </c>
      <c r="C162" t="s">
        <v>8</v>
      </c>
      <c r="D162">
        <v>2</v>
      </c>
      <c r="E162" t="s">
        <v>265</v>
      </c>
      <c r="F162" t="s">
        <v>23</v>
      </c>
      <c r="L162" s="10">
        <v>7033417</v>
      </c>
      <c r="P162" s="24" t="s">
        <v>215</v>
      </c>
      <c r="Q162">
        <v>90.5</v>
      </c>
      <c r="R162" t="s">
        <v>67</v>
      </c>
      <c r="S162" t="s">
        <v>25</v>
      </c>
      <c r="U162" t="str">
        <f>IF(AND(ISNUMBER(L162),COUNTIF([2]Songs!$L:$L,L162)&gt;0),"YES","")</f>
        <v/>
      </c>
      <c r="V162" t="str">
        <f>IF(AND(ISNUMBER(L162),COUNTIF([3]Songs!$J:$J,L162)&gt;0),"YES","")</f>
        <v>YES</v>
      </c>
      <c r="W162" t="str">
        <f>IF(AND(ISNUMBER(L162),COUNTIF([1]Songs!$H:$H,L162)&gt;0),"YES","")</f>
        <v/>
      </c>
      <c r="X162" t="s">
        <v>639</v>
      </c>
      <c r="Y162">
        <v>161</v>
      </c>
      <c r="AA162" t="str">
        <f>I162
&amp;IF(H162=I162,""," "&amp;H162)
&amp;IF(OR(R162=I162,R162=H162),""," "&amp;R162)
&amp;IF(R162=S162,""," "&amp;S162)</f>
        <v xml:space="preserve"> Ab G</v>
      </c>
    </row>
    <row r="163" spans="1:27" x14ac:dyDescent="0.25">
      <c r="A163">
        <v>1</v>
      </c>
      <c r="B163">
        <v>2019</v>
      </c>
      <c r="C163" t="s">
        <v>8</v>
      </c>
      <c r="D163">
        <v>3</v>
      </c>
      <c r="E163" t="s">
        <v>266</v>
      </c>
      <c r="F163" t="s">
        <v>23</v>
      </c>
      <c r="L163" s="10">
        <v>7104907</v>
      </c>
      <c r="P163" s="24" t="s">
        <v>267</v>
      </c>
      <c r="Q163">
        <v>67</v>
      </c>
      <c r="R163" t="s">
        <v>176</v>
      </c>
      <c r="S163" t="s">
        <v>176</v>
      </c>
      <c r="U163" t="str">
        <f>IF(AND(ISNUMBER(L163),COUNTIF([2]Songs!$L:$L,L163)&gt;0),"YES","")</f>
        <v/>
      </c>
      <c r="V163" t="str">
        <f>IF(AND(ISNUMBER(L163),COUNTIF([3]Songs!$J:$J,L163)&gt;0),"YES","")</f>
        <v>YES</v>
      </c>
      <c r="W163" t="str">
        <f>IF(AND(ISNUMBER(L163),COUNTIF([1]Songs!$H:$H,L163)&gt;0),"YES","")</f>
        <v/>
      </c>
      <c r="X163" t="s">
        <v>639</v>
      </c>
      <c r="Y163">
        <v>162</v>
      </c>
      <c r="AA163" t="str">
        <f>I163
&amp;IF(H163=I163,""," "&amp;H163)
&amp;IF(OR(R163=I163,R163=H163),""," "&amp;R163)
&amp;IF(R163=S163,""," "&amp;S163)</f>
        <v xml:space="preserve"> F</v>
      </c>
    </row>
    <row r="164" spans="1:27" x14ac:dyDescent="0.25">
      <c r="A164">
        <v>1</v>
      </c>
      <c r="B164">
        <v>2019</v>
      </c>
      <c r="C164" t="s">
        <v>8</v>
      </c>
      <c r="D164">
        <v>4</v>
      </c>
      <c r="E164" t="s">
        <v>268</v>
      </c>
      <c r="F164" t="s">
        <v>23</v>
      </c>
      <c r="L164" s="10">
        <v>7080403</v>
      </c>
      <c r="P164" s="24" t="s">
        <v>269</v>
      </c>
      <c r="Q164">
        <v>74</v>
      </c>
      <c r="R164" t="s">
        <v>176</v>
      </c>
      <c r="S164" t="s">
        <v>176</v>
      </c>
      <c r="U164" t="str">
        <f>IF(AND(ISNUMBER(L164),COUNTIF([2]Songs!$L:$L,L164)&gt;0),"YES","")</f>
        <v/>
      </c>
      <c r="V164" t="str">
        <f>IF(AND(ISNUMBER(L164),COUNTIF([3]Songs!$J:$J,L164)&gt;0),"YES","")</f>
        <v>YES</v>
      </c>
      <c r="W164" t="str">
        <f>IF(AND(ISNUMBER(L164),COUNTIF([1]Songs!$H:$H,L164)&gt;0),"YES","")</f>
        <v/>
      </c>
      <c r="X164" t="s">
        <v>639</v>
      </c>
      <c r="Y164">
        <v>163</v>
      </c>
      <c r="AA164" t="str">
        <f>I164
&amp;IF(H164=I164,""," "&amp;H164)
&amp;IF(OR(R164=I164,R164=H164),""," "&amp;R164)
&amp;IF(R164=S164,""," "&amp;S164)</f>
        <v xml:space="preserve"> F</v>
      </c>
    </row>
    <row r="165" spans="1:27" x14ac:dyDescent="0.25">
      <c r="A165">
        <v>1</v>
      </c>
      <c r="B165">
        <v>2019</v>
      </c>
      <c r="C165" t="s">
        <v>8</v>
      </c>
      <c r="D165">
        <v>5</v>
      </c>
      <c r="E165" t="s">
        <v>270</v>
      </c>
      <c r="F165" t="s">
        <v>23</v>
      </c>
      <c r="L165" s="10">
        <v>7100876</v>
      </c>
      <c r="P165" s="24" t="s">
        <v>271</v>
      </c>
      <c r="Q165">
        <v>70</v>
      </c>
      <c r="R165" t="s">
        <v>176</v>
      </c>
      <c r="S165" t="s">
        <v>176</v>
      </c>
      <c r="U165" t="str">
        <f>IF(AND(ISNUMBER(L165),COUNTIF([2]Songs!$L:$L,L165)&gt;0),"YES","")</f>
        <v/>
      </c>
      <c r="V165" t="str">
        <f>IF(AND(ISNUMBER(L165),COUNTIF([3]Songs!$J:$J,L165)&gt;0),"YES","")</f>
        <v>YES</v>
      </c>
      <c r="W165" t="str">
        <f>IF(AND(ISNUMBER(L165),COUNTIF([1]Songs!$H:$H,L165)&gt;0),"YES","")</f>
        <v/>
      </c>
      <c r="X165" t="s">
        <v>639</v>
      </c>
      <c r="Y165">
        <v>164</v>
      </c>
      <c r="AA165" t="str">
        <f>I165
&amp;IF(H165=I165,""," "&amp;H165)
&amp;IF(OR(R165=I165,R165=H165),""," "&amp;R165)
&amp;IF(R165=S165,""," "&amp;S165)</f>
        <v xml:space="preserve"> F</v>
      </c>
    </row>
    <row r="166" spans="1:27" x14ac:dyDescent="0.25">
      <c r="A166">
        <v>1</v>
      </c>
      <c r="B166">
        <v>2019</v>
      </c>
      <c r="C166" t="s">
        <v>8</v>
      </c>
      <c r="D166">
        <v>6</v>
      </c>
      <c r="E166" t="s">
        <v>91</v>
      </c>
      <c r="F166" t="s">
        <v>23</v>
      </c>
      <c r="G166" t="s">
        <v>463</v>
      </c>
      <c r="H166" s="3" t="s">
        <v>25</v>
      </c>
      <c r="I166" s="3" t="s">
        <v>25</v>
      </c>
      <c r="J166" s="4">
        <v>65</v>
      </c>
      <c r="K166" s="4" t="s">
        <v>464</v>
      </c>
      <c r="L166" s="10">
        <v>7021972</v>
      </c>
      <c r="M166" s="4">
        <v>2013</v>
      </c>
      <c r="N166" s="4" t="s">
        <v>434</v>
      </c>
      <c r="O166" t="s">
        <v>944</v>
      </c>
      <c r="P166" s="24" t="s">
        <v>272</v>
      </c>
      <c r="Q166">
        <v>65</v>
      </c>
      <c r="R166" t="s">
        <v>176</v>
      </c>
      <c r="S166" t="s">
        <v>176</v>
      </c>
      <c r="U166" t="str">
        <f>IF(AND(ISNUMBER(L166),COUNTIF([2]Songs!$L:$L,L166)&gt;0),"YES","")</f>
        <v>YES</v>
      </c>
      <c r="V166" t="str">
        <f>IF(AND(ISNUMBER(L166),COUNTIF([3]Songs!$J:$J,L166)&gt;0),"YES","")</f>
        <v>YES</v>
      </c>
      <c r="W166" t="str">
        <f>IF(AND(ISNUMBER(L166),COUNTIF([1]Songs!$H:$H,L166)&gt;0),"YES","")</f>
        <v/>
      </c>
      <c r="X166" t="s">
        <v>639</v>
      </c>
      <c r="Y166">
        <v>165</v>
      </c>
      <c r="AA166" t="str">
        <f>I166
&amp;IF(H166=I166,""," "&amp;H166)
&amp;IF(OR(R166=I166,R166=H166),""," "&amp;R166)
&amp;IF(R166=S166,""," "&amp;S166)</f>
        <v>G F</v>
      </c>
    </row>
    <row r="167" spans="1:27" x14ac:dyDescent="0.25">
      <c r="A167">
        <v>1</v>
      </c>
      <c r="B167">
        <v>2019</v>
      </c>
      <c r="C167" t="s">
        <v>8</v>
      </c>
      <c r="D167">
        <v>7</v>
      </c>
      <c r="E167" t="s">
        <v>273</v>
      </c>
      <c r="F167" t="s">
        <v>23</v>
      </c>
      <c r="L167" s="10">
        <v>7006188</v>
      </c>
      <c r="P167" s="24" t="s">
        <v>274</v>
      </c>
      <c r="Q167">
        <v>71</v>
      </c>
      <c r="R167" t="s">
        <v>176</v>
      </c>
      <c r="S167" t="s">
        <v>176</v>
      </c>
      <c r="U167" t="str">
        <f>IF(AND(ISNUMBER(L167),COUNTIF([2]Songs!$L:$L,L167)&gt;0),"YES","")</f>
        <v/>
      </c>
      <c r="V167" t="str">
        <f>IF(AND(ISNUMBER(L167),COUNTIF([3]Songs!$J:$J,L167)&gt;0),"YES","")</f>
        <v>YES</v>
      </c>
      <c r="W167" t="str">
        <f>IF(AND(ISNUMBER(L167),COUNTIF([1]Songs!$H:$H,L167)&gt;0),"YES","")</f>
        <v/>
      </c>
      <c r="X167" t="s">
        <v>639</v>
      </c>
      <c r="Y167">
        <v>166</v>
      </c>
      <c r="AA167" t="str">
        <f>I167
&amp;IF(H167=I167,""," "&amp;H167)
&amp;IF(OR(R167=I167,R167=H167),""," "&amp;R167)
&amp;IF(R167=S167,""," "&amp;S167)</f>
        <v xml:space="preserve"> F</v>
      </c>
    </row>
    <row r="168" spans="1:27" x14ac:dyDescent="0.25">
      <c r="A168">
        <v>1</v>
      </c>
      <c r="B168">
        <v>2019</v>
      </c>
      <c r="C168" t="s">
        <v>8</v>
      </c>
      <c r="D168">
        <v>8</v>
      </c>
      <c r="E168" t="s">
        <v>275</v>
      </c>
      <c r="F168" t="s">
        <v>23</v>
      </c>
      <c r="G168" t="s">
        <v>412</v>
      </c>
      <c r="H168" s="3" t="s">
        <v>52</v>
      </c>
      <c r="I168" s="3" t="s">
        <v>28</v>
      </c>
      <c r="J168" s="4">
        <v>77</v>
      </c>
      <c r="K168" s="5" t="s">
        <v>371</v>
      </c>
      <c r="L168" s="10">
        <v>7102397</v>
      </c>
      <c r="M168" s="4">
        <v>2017</v>
      </c>
      <c r="N168" s="4" t="s">
        <v>372</v>
      </c>
      <c r="O168" t="s">
        <v>944</v>
      </c>
      <c r="P168" s="24" t="s">
        <v>24</v>
      </c>
      <c r="Q168">
        <v>70</v>
      </c>
      <c r="R168" t="s">
        <v>47</v>
      </c>
      <c r="S168" t="s">
        <v>47</v>
      </c>
      <c r="U168" t="str">
        <f>IF(AND(ISNUMBER(L168),COUNTIF([2]Songs!$L:$L,L168)&gt;0),"YES","")</f>
        <v>YES</v>
      </c>
      <c r="V168" t="str">
        <f>IF(AND(ISNUMBER(L168),COUNTIF([3]Songs!$J:$J,L168)&gt;0),"YES","")</f>
        <v>YES</v>
      </c>
      <c r="W168" t="str">
        <f>IF(AND(ISNUMBER(L168),COUNTIF([1]Songs!$H:$H,L168)&gt;0),"YES","")</f>
        <v>YES</v>
      </c>
      <c r="X168" t="s">
        <v>639</v>
      </c>
      <c r="Y168">
        <v>167</v>
      </c>
      <c r="AA168" t="str">
        <f>I168
&amp;IF(H168=I168,""," "&amp;H168)
&amp;IF(OR(R168=I168,R168=H168),""," "&amp;R168)
&amp;IF(R168=S168,""," "&amp;S168)</f>
        <v>Bb A C</v>
      </c>
    </row>
    <row r="169" spans="1:27" x14ac:dyDescent="0.25">
      <c r="A169">
        <v>1</v>
      </c>
      <c r="B169">
        <v>2019</v>
      </c>
      <c r="C169" t="s">
        <v>8</v>
      </c>
      <c r="D169">
        <v>9</v>
      </c>
      <c r="E169" t="s">
        <v>276</v>
      </c>
      <c r="F169" t="s">
        <v>23</v>
      </c>
      <c r="L169" s="10">
        <v>7004369</v>
      </c>
      <c r="P169" s="24" t="s">
        <v>277</v>
      </c>
      <c r="Q169">
        <v>58</v>
      </c>
      <c r="R169" t="s">
        <v>47</v>
      </c>
      <c r="S169" t="s">
        <v>47</v>
      </c>
      <c r="U169" t="str">
        <f>IF(AND(ISNUMBER(L169),COUNTIF([2]Songs!$L:$L,L169)&gt;0),"YES","")</f>
        <v/>
      </c>
      <c r="V169" t="str">
        <f>IF(AND(ISNUMBER(L169),COUNTIF([3]Songs!$J:$J,L169)&gt;0),"YES","")</f>
        <v>YES</v>
      </c>
      <c r="W169" t="str">
        <f>IF(AND(ISNUMBER(L169),COUNTIF([1]Songs!$H:$H,L169)&gt;0),"YES","")</f>
        <v/>
      </c>
      <c r="X169" t="s">
        <v>639</v>
      </c>
      <c r="Y169">
        <v>168</v>
      </c>
      <c r="AA169" t="str">
        <f>I169
&amp;IF(H169=I169,""," "&amp;H169)
&amp;IF(OR(R169=I169,R169=H169),""," "&amp;R169)
&amp;IF(R169=S169,""," "&amp;S169)</f>
        <v xml:space="preserve"> C</v>
      </c>
    </row>
    <row r="170" spans="1:27" x14ac:dyDescent="0.25">
      <c r="A170">
        <v>1</v>
      </c>
      <c r="B170">
        <v>2019</v>
      </c>
      <c r="C170" t="s">
        <v>8</v>
      </c>
      <c r="D170">
        <v>10</v>
      </c>
      <c r="E170" t="s">
        <v>278</v>
      </c>
      <c r="F170" t="s">
        <v>23</v>
      </c>
      <c r="L170" s="10">
        <v>7078152</v>
      </c>
      <c r="P170" s="24" t="s">
        <v>35</v>
      </c>
      <c r="Q170">
        <v>72</v>
      </c>
      <c r="R170" t="s">
        <v>39</v>
      </c>
      <c r="S170" t="s">
        <v>39</v>
      </c>
      <c r="U170" t="str">
        <f>IF(AND(ISNUMBER(L170),COUNTIF([2]Songs!$L:$L,L170)&gt;0),"YES","")</f>
        <v/>
      </c>
      <c r="V170" t="str">
        <f>IF(AND(ISNUMBER(L170),COUNTIF([3]Songs!$J:$J,L170)&gt;0),"YES","")</f>
        <v>YES</v>
      </c>
      <c r="W170" t="str">
        <f>IF(AND(ISNUMBER(L170),COUNTIF([1]Songs!$H:$H,L170)&gt;0),"YES","")</f>
        <v/>
      </c>
      <c r="X170" t="s">
        <v>639</v>
      </c>
      <c r="Y170">
        <v>169</v>
      </c>
      <c r="AA170" t="str">
        <f>I170
&amp;IF(H170=I170,""," "&amp;H170)
&amp;IF(OR(R170=I170,R170=H170),""," "&amp;R170)
&amp;IF(R170=S170,""," "&amp;S170)</f>
        <v xml:space="preserve"> D</v>
      </c>
    </row>
    <row r="171" spans="1:27" x14ac:dyDescent="0.25">
      <c r="A171">
        <v>1</v>
      </c>
      <c r="B171">
        <v>2019</v>
      </c>
      <c r="C171" t="s">
        <v>8</v>
      </c>
      <c r="D171">
        <v>11</v>
      </c>
      <c r="E171" t="s">
        <v>279</v>
      </c>
      <c r="F171" t="s">
        <v>23</v>
      </c>
      <c r="L171" s="10">
        <v>7081764</v>
      </c>
      <c r="P171" s="24" t="s">
        <v>280</v>
      </c>
      <c r="Q171">
        <v>70</v>
      </c>
      <c r="R171" t="s">
        <v>36</v>
      </c>
      <c r="S171" t="s">
        <v>36</v>
      </c>
      <c r="U171" t="str">
        <f>IF(AND(ISNUMBER(L171),COUNTIF([2]Songs!$L:$L,L171)&gt;0),"YES","")</f>
        <v/>
      </c>
      <c r="V171" t="str">
        <f>IF(AND(ISNUMBER(L171),COUNTIF([3]Songs!$J:$J,L171)&gt;0),"YES","")</f>
        <v>YES</v>
      </c>
      <c r="W171" t="str">
        <f>IF(AND(ISNUMBER(L171),COUNTIF([1]Songs!$H:$H,L171)&gt;0),"YES","")</f>
        <v/>
      </c>
      <c r="X171" t="s">
        <v>639</v>
      </c>
      <c r="Y171">
        <v>170</v>
      </c>
      <c r="AA171" t="str">
        <f>I171
&amp;IF(H171=I171,""," "&amp;H171)
&amp;IF(OR(R171=I171,R171=H171),""," "&amp;R171)
&amp;IF(R171=S171,""," "&amp;S171)</f>
        <v xml:space="preserve"> E</v>
      </c>
    </row>
    <row r="172" spans="1:27" x14ac:dyDescent="0.25">
      <c r="A172">
        <v>1</v>
      </c>
      <c r="B172">
        <v>2019</v>
      </c>
      <c r="C172" t="s">
        <v>8</v>
      </c>
      <c r="D172">
        <v>12</v>
      </c>
      <c r="E172" t="s">
        <v>281</v>
      </c>
      <c r="F172" t="s">
        <v>23</v>
      </c>
      <c r="G172" t="s">
        <v>465</v>
      </c>
      <c r="H172" s="3" t="s">
        <v>25</v>
      </c>
      <c r="I172" s="3" t="s">
        <v>25</v>
      </c>
      <c r="J172" s="4">
        <v>70</v>
      </c>
      <c r="K172" s="4" t="s">
        <v>371</v>
      </c>
      <c r="L172" s="10">
        <v>7019974</v>
      </c>
      <c r="M172" s="4">
        <v>2014</v>
      </c>
      <c r="N172" s="6" t="s">
        <v>372</v>
      </c>
      <c r="O172" t="s">
        <v>944</v>
      </c>
      <c r="P172" s="24" t="s">
        <v>24</v>
      </c>
      <c r="Q172">
        <v>70.5</v>
      </c>
      <c r="R172" t="s">
        <v>36</v>
      </c>
      <c r="S172" t="s">
        <v>36</v>
      </c>
      <c r="U172" t="str">
        <f>IF(AND(ISNUMBER(L172),COUNTIF([2]Songs!$L:$L,L172)&gt;0),"YES","")</f>
        <v>YES</v>
      </c>
      <c r="V172" t="str">
        <f>IF(AND(ISNUMBER(L172),COUNTIF([3]Songs!$J:$J,L172)&gt;0),"YES","")</f>
        <v>YES</v>
      </c>
      <c r="W172" t="str">
        <f>IF(AND(ISNUMBER(L172),COUNTIF([1]Songs!$H:$H,L172)&gt;0),"YES","")</f>
        <v>YES</v>
      </c>
      <c r="X172" t="s">
        <v>639</v>
      </c>
      <c r="Y172">
        <v>171</v>
      </c>
      <c r="AA172" t="str">
        <f>I172
&amp;IF(H172=I172,""," "&amp;H172)
&amp;IF(OR(R172=I172,R172=H172),""," "&amp;R172)
&amp;IF(R172=S172,""," "&amp;S172)</f>
        <v>G E</v>
      </c>
    </row>
    <row r="173" spans="1:27" x14ac:dyDescent="0.25">
      <c r="A173">
        <v>1</v>
      </c>
      <c r="B173">
        <v>2020</v>
      </c>
      <c r="C173" t="s">
        <v>9</v>
      </c>
      <c r="D173">
        <v>1</v>
      </c>
      <c r="E173" t="s">
        <v>282</v>
      </c>
      <c r="F173" t="s">
        <v>23</v>
      </c>
      <c r="L173" s="10">
        <v>7097216</v>
      </c>
      <c r="P173" s="24" t="s">
        <v>194</v>
      </c>
      <c r="Q173">
        <v>74</v>
      </c>
      <c r="R173" t="s">
        <v>47</v>
      </c>
      <c r="S173" t="s">
        <v>47</v>
      </c>
      <c r="U173" t="str">
        <f>IF(AND(ISNUMBER(L173),COUNTIF([2]Songs!$L:$L,L173)&gt;0),"YES","")</f>
        <v/>
      </c>
      <c r="V173" t="str">
        <f>IF(AND(ISNUMBER(L173),COUNTIF([3]Songs!$J:$J,L173)&gt;0),"YES","")</f>
        <v>YES</v>
      </c>
      <c r="W173" t="str">
        <f>IF(AND(ISNUMBER(L173),COUNTIF([1]Songs!$H:$H,L173)&gt;0),"YES","")</f>
        <v/>
      </c>
      <c r="X173" t="s">
        <v>639</v>
      </c>
      <c r="Y173">
        <v>172</v>
      </c>
      <c r="AA173" t="str">
        <f>I173
&amp;IF(H173=I173,""," "&amp;H173)
&amp;IF(OR(R173=I173,R173=H173),""," "&amp;R173)
&amp;IF(R173=S173,""," "&amp;S173)</f>
        <v xml:space="preserve"> C</v>
      </c>
    </row>
    <row r="174" spans="1:27" x14ac:dyDescent="0.25">
      <c r="A174">
        <v>1</v>
      </c>
      <c r="B174">
        <v>2020</v>
      </c>
      <c r="C174" t="s">
        <v>9</v>
      </c>
      <c r="D174">
        <v>2</v>
      </c>
      <c r="E174" t="s">
        <v>283</v>
      </c>
      <c r="F174" t="s">
        <v>23</v>
      </c>
      <c r="G174" t="s">
        <v>466</v>
      </c>
      <c r="H174" s="3" t="s">
        <v>47</v>
      </c>
      <c r="I174" s="3" t="s">
        <v>47</v>
      </c>
      <c r="J174" s="4">
        <v>75</v>
      </c>
      <c r="K174" s="5" t="s">
        <v>371</v>
      </c>
      <c r="L174" s="10">
        <v>7121852</v>
      </c>
      <c r="M174" s="4">
        <v>2018</v>
      </c>
      <c r="N174" s="6" t="s">
        <v>467</v>
      </c>
      <c r="O174" t="s">
        <v>944</v>
      </c>
      <c r="P174" s="24" t="s">
        <v>284</v>
      </c>
      <c r="Q174">
        <v>73</v>
      </c>
      <c r="R174" t="s">
        <v>31</v>
      </c>
      <c r="S174" t="s">
        <v>31</v>
      </c>
      <c r="U174" t="str">
        <f>IF(AND(ISNUMBER(L174),COUNTIF([2]Songs!$L:$L,L174)&gt;0),"YES","")</f>
        <v>YES</v>
      </c>
      <c r="V174" t="str">
        <f>IF(AND(ISNUMBER(L174),COUNTIF([3]Songs!$J:$J,L174)&gt;0),"YES","")</f>
        <v>YES</v>
      </c>
      <c r="W174" t="str">
        <f>IF(AND(ISNUMBER(L174),COUNTIF([1]Songs!$H:$H,L174)&gt;0),"YES","")</f>
        <v/>
      </c>
      <c r="X174" t="s">
        <v>639</v>
      </c>
      <c r="Y174">
        <v>173</v>
      </c>
      <c r="AA174" t="str">
        <f>I174
&amp;IF(H174=I174,""," "&amp;H174)
&amp;IF(OR(R174=I174,R174=H174),""," "&amp;R174)
&amp;IF(R174=S174,""," "&amp;S174)</f>
        <v>C B</v>
      </c>
    </row>
    <row r="175" spans="1:27" x14ac:dyDescent="0.25">
      <c r="A175">
        <v>1</v>
      </c>
      <c r="B175">
        <v>2020</v>
      </c>
      <c r="C175" t="s">
        <v>9</v>
      </c>
      <c r="D175">
        <v>3</v>
      </c>
      <c r="E175" t="s">
        <v>285</v>
      </c>
      <c r="F175" t="s">
        <v>23</v>
      </c>
      <c r="L175" s="10">
        <v>7076958</v>
      </c>
      <c r="P175" s="24" t="s">
        <v>27</v>
      </c>
      <c r="Q175">
        <v>74</v>
      </c>
      <c r="R175" t="s">
        <v>47</v>
      </c>
      <c r="S175" t="s">
        <v>47</v>
      </c>
      <c r="U175" t="str">
        <f>IF(AND(ISNUMBER(L175),COUNTIF([2]Songs!$L:$L,L175)&gt;0),"YES","")</f>
        <v/>
      </c>
      <c r="V175" t="str">
        <f>IF(AND(ISNUMBER(L175),COUNTIF([3]Songs!$J:$J,L175)&gt;0),"YES","")</f>
        <v>YES</v>
      </c>
      <c r="W175" t="str">
        <f>IF(AND(ISNUMBER(L175),COUNTIF([1]Songs!$H:$H,L175)&gt;0),"YES","")</f>
        <v/>
      </c>
      <c r="X175" t="s">
        <v>639</v>
      </c>
      <c r="Y175">
        <v>174</v>
      </c>
      <c r="AA175" t="str">
        <f>I175
&amp;IF(H175=I175,""," "&amp;H175)
&amp;IF(OR(R175=I175,R175=H175),""," "&amp;R175)
&amp;IF(R175=S175,""," "&amp;S175)</f>
        <v xml:space="preserve"> C</v>
      </c>
    </row>
    <row r="176" spans="1:27" x14ac:dyDescent="0.25">
      <c r="A176">
        <v>1</v>
      </c>
      <c r="B176">
        <v>2020</v>
      </c>
      <c r="C176" t="s">
        <v>9</v>
      </c>
      <c r="D176">
        <v>4</v>
      </c>
      <c r="E176" t="s">
        <v>286</v>
      </c>
      <c r="F176" t="s">
        <v>23</v>
      </c>
      <c r="G176" t="s">
        <v>468</v>
      </c>
      <c r="H176" s="3" t="s">
        <v>39</v>
      </c>
      <c r="I176" s="3" t="s">
        <v>39</v>
      </c>
      <c r="J176" s="4">
        <v>68</v>
      </c>
      <c r="K176" s="5" t="s">
        <v>371</v>
      </c>
      <c r="L176" s="10">
        <v>7127647</v>
      </c>
      <c r="M176" s="4">
        <v>2019</v>
      </c>
      <c r="N176" s="6" t="s">
        <v>372</v>
      </c>
      <c r="O176" t="s">
        <v>944</v>
      </c>
      <c r="P176" s="24" t="s">
        <v>220</v>
      </c>
      <c r="Q176">
        <v>68</v>
      </c>
      <c r="R176" t="s">
        <v>47</v>
      </c>
      <c r="S176" t="s">
        <v>47</v>
      </c>
      <c r="U176" t="str">
        <f>IF(AND(ISNUMBER(L176),COUNTIF([2]Songs!$L:$L,L176)&gt;0),"YES","")</f>
        <v>YES</v>
      </c>
      <c r="V176" t="str">
        <f>IF(AND(ISNUMBER(L176),COUNTIF([3]Songs!$J:$J,L176)&gt;0),"YES","")</f>
        <v>YES</v>
      </c>
      <c r="W176" t="str">
        <f>IF(AND(ISNUMBER(L176),COUNTIF([1]Songs!$H:$H,L176)&gt;0),"YES","")</f>
        <v>YES</v>
      </c>
      <c r="X176" t="s">
        <v>639</v>
      </c>
      <c r="Y176">
        <v>175</v>
      </c>
      <c r="AA176" t="str">
        <f>I176
&amp;IF(H176=I176,""," "&amp;H176)
&amp;IF(OR(R176=I176,R176=H176),""," "&amp;R176)
&amp;IF(R176=S176,""," "&amp;S176)</f>
        <v>D C</v>
      </c>
    </row>
    <row r="177" spans="1:27" x14ac:dyDescent="0.25">
      <c r="A177">
        <v>1</v>
      </c>
      <c r="B177">
        <v>2020</v>
      </c>
      <c r="C177" t="s">
        <v>9</v>
      </c>
      <c r="D177">
        <v>5</v>
      </c>
      <c r="E177" t="s">
        <v>287</v>
      </c>
      <c r="F177" t="s">
        <v>23</v>
      </c>
      <c r="L177" s="10">
        <v>7120418</v>
      </c>
      <c r="P177" s="24" t="s">
        <v>288</v>
      </c>
      <c r="Q177">
        <v>80</v>
      </c>
      <c r="R177" t="s">
        <v>176</v>
      </c>
      <c r="S177" t="s">
        <v>176</v>
      </c>
      <c r="U177" t="str">
        <f>IF(AND(ISNUMBER(L177),COUNTIF([2]Songs!$L:$L,L177)&gt;0),"YES","")</f>
        <v/>
      </c>
      <c r="V177" t="str">
        <f>IF(AND(ISNUMBER(L177),COUNTIF([3]Songs!$J:$J,L177)&gt;0),"YES","")</f>
        <v>YES</v>
      </c>
      <c r="W177" t="str">
        <f>IF(AND(ISNUMBER(L177),COUNTIF([1]Songs!$H:$H,L177)&gt;0),"YES","")</f>
        <v/>
      </c>
      <c r="X177" t="s">
        <v>639</v>
      </c>
      <c r="Y177">
        <v>176</v>
      </c>
      <c r="AA177" t="str">
        <f>I177
&amp;IF(H177=I177,""," "&amp;H177)
&amp;IF(OR(R177=I177,R177=H177),""," "&amp;R177)
&amp;IF(R177=S177,""," "&amp;S177)</f>
        <v xml:space="preserve"> F</v>
      </c>
    </row>
    <row r="178" spans="1:27" x14ac:dyDescent="0.25">
      <c r="A178">
        <v>1</v>
      </c>
      <c r="B178">
        <v>2020</v>
      </c>
      <c r="C178" t="s">
        <v>9</v>
      </c>
      <c r="D178">
        <v>6</v>
      </c>
      <c r="E178" t="s">
        <v>289</v>
      </c>
      <c r="F178" t="s">
        <v>23</v>
      </c>
      <c r="L178" s="10">
        <v>7107821</v>
      </c>
      <c r="P178" s="24" t="s">
        <v>290</v>
      </c>
      <c r="Q178">
        <v>72</v>
      </c>
      <c r="R178" t="s">
        <v>31</v>
      </c>
      <c r="S178" t="s">
        <v>31</v>
      </c>
      <c r="U178" t="str">
        <f>IF(AND(ISNUMBER(L178),COUNTIF([2]Songs!$L:$L,L178)&gt;0),"YES","")</f>
        <v/>
      </c>
      <c r="V178" t="str">
        <f>IF(AND(ISNUMBER(L178),COUNTIF([3]Songs!$J:$J,L178)&gt;0),"YES","")</f>
        <v>YES</v>
      </c>
      <c r="W178" t="str">
        <f>IF(AND(ISNUMBER(L178),COUNTIF([1]Songs!$H:$H,L178)&gt;0),"YES","")</f>
        <v/>
      </c>
      <c r="X178" t="s">
        <v>639</v>
      </c>
      <c r="Y178">
        <v>177</v>
      </c>
      <c r="AA178" t="str">
        <f>I178
&amp;IF(H178=I178,""," "&amp;H178)
&amp;IF(OR(R178=I178,R178=H178),""," "&amp;R178)
&amp;IF(R178=S178,""," "&amp;S178)</f>
        <v xml:space="preserve"> B</v>
      </c>
    </row>
    <row r="179" spans="1:27" x14ac:dyDescent="0.25">
      <c r="A179">
        <v>1</v>
      </c>
      <c r="B179">
        <v>2020</v>
      </c>
      <c r="C179" t="s">
        <v>9</v>
      </c>
      <c r="D179">
        <v>7</v>
      </c>
      <c r="E179" t="s">
        <v>291</v>
      </c>
      <c r="F179" t="s">
        <v>292</v>
      </c>
      <c r="L179" s="10">
        <v>7089024</v>
      </c>
      <c r="P179" s="24" t="s">
        <v>293</v>
      </c>
      <c r="Q179">
        <v>80</v>
      </c>
      <c r="R179" t="s">
        <v>28</v>
      </c>
      <c r="S179" t="s">
        <v>52</v>
      </c>
      <c r="U179" t="str">
        <f>IF(AND(ISNUMBER(L179),COUNTIF([2]Songs!$L:$L,L179)&gt;0),"YES","")</f>
        <v/>
      </c>
      <c r="V179" t="str">
        <f>IF(AND(ISNUMBER(L179),COUNTIF([3]Songs!$J:$J,L179)&gt;0),"YES","")</f>
        <v>YES</v>
      </c>
      <c r="W179" t="str">
        <f>IF(AND(ISNUMBER(L179),COUNTIF([1]Songs!$H:$H,L179)&gt;0),"YES","")</f>
        <v/>
      </c>
      <c r="X179" t="s">
        <v>639</v>
      </c>
      <c r="Y179">
        <v>178</v>
      </c>
      <c r="AA179" t="str">
        <f>I179
&amp;IF(H179=I179,""," "&amp;H179)
&amp;IF(OR(R179=I179,R179=H179),""," "&amp;R179)
&amp;IF(R179=S179,""," "&amp;S179)</f>
        <v xml:space="preserve"> Bb A</v>
      </c>
    </row>
    <row r="180" spans="1:27" x14ac:dyDescent="0.25">
      <c r="A180">
        <v>1</v>
      </c>
      <c r="B180">
        <v>2020</v>
      </c>
      <c r="C180" t="s">
        <v>9</v>
      </c>
      <c r="D180">
        <v>8</v>
      </c>
      <c r="E180" t="s">
        <v>294</v>
      </c>
      <c r="F180" t="s">
        <v>23</v>
      </c>
      <c r="L180" s="10">
        <v>7105442</v>
      </c>
      <c r="P180" s="24" t="s">
        <v>295</v>
      </c>
      <c r="Q180">
        <v>75</v>
      </c>
      <c r="R180" t="s">
        <v>47</v>
      </c>
      <c r="S180" t="s">
        <v>47</v>
      </c>
      <c r="U180" t="str">
        <f>IF(AND(ISNUMBER(L180),COUNTIF([2]Songs!$L:$L,L180)&gt;0),"YES","")</f>
        <v/>
      </c>
      <c r="V180" t="str">
        <f>IF(AND(ISNUMBER(L180),COUNTIF([3]Songs!$J:$J,L180)&gt;0),"YES","")</f>
        <v>YES</v>
      </c>
      <c r="W180" t="str">
        <f>IF(AND(ISNUMBER(L180),COUNTIF([1]Songs!$H:$H,L180)&gt;0),"YES","")</f>
        <v/>
      </c>
      <c r="X180" t="s">
        <v>639</v>
      </c>
      <c r="Y180">
        <v>179</v>
      </c>
      <c r="AA180" t="str">
        <f>I180
&amp;IF(H180=I180,""," "&amp;H180)
&amp;IF(OR(R180=I180,R180=H180),""," "&amp;R180)
&amp;IF(R180=S180,""," "&amp;S180)</f>
        <v xml:space="preserve"> C</v>
      </c>
    </row>
    <row r="181" spans="1:27" x14ac:dyDescent="0.25">
      <c r="A181">
        <v>1</v>
      </c>
      <c r="B181">
        <v>2020</v>
      </c>
      <c r="C181" t="s">
        <v>9</v>
      </c>
      <c r="D181">
        <v>9</v>
      </c>
      <c r="E181" t="s">
        <v>296</v>
      </c>
      <c r="F181" t="s">
        <v>23</v>
      </c>
      <c r="G181" t="s">
        <v>469</v>
      </c>
      <c r="H181" s="3" t="s">
        <v>39</v>
      </c>
      <c r="I181" s="3" t="s">
        <v>39</v>
      </c>
      <c r="J181" s="4">
        <v>75</v>
      </c>
      <c r="K181" s="4" t="s">
        <v>371</v>
      </c>
      <c r="L181" s="10">
        <v>7107551</v>
      </c>
      <c r="M181" s="4">
        <v>2018</v>
      </c>
      <c r="N181" s="6" t="s">
        <v>470</v>
      </c>
      <c r="O181" t="s">
        <v>944</v>
      </c>
      <c r="P181" s="24" t="s">
        <v>163</v>
      </c>
      <c r="Q181">
        <v>75</v>
      </c>
      <c r="R181" t="s">
        <v>47</v>
      </c>
      <c r="S181" t="s">
        <v>47</v>
      </c>
      <c r="U181" t="str">
        <f>IF(AND(ISNUMBER(L181),COUNTIF([2]Songs!$L:$L,L181)&gt;0),"YES","")</f>
        <v>YES</v>
      </c>
      <c r="V181" t="str">
        <f>IF(AND(ISNUMBER(L181),COUNTIF([3]Songs!$J:$J,L181)&gt;0),"YES","")</f>
        <v>YES</v>
      </c>
      <c r="W181" t="str">
        <f>IF(AND(ISNUMBER(L181),COUNTIF([1]Songs!$H:$H,L181)&gt;0),"YES","")</f>
        <v/>
      </c>
      <c r="X181" t="s">
        <v>639</v>
      </c>
      <c r="Y181">
        <v>180</v>
      </c>
      <c r="AA181" t="str">
        <f>I181
&amp;IF(H181=I181,""," "&amp;H181)
&amp;IF(OR(R181=I181,R181=H181),""," "&amp;R181)
&amp;IF(R181=S181,""," "&amp;S181)</f>
        <v>D C</v>
      </c>
    </row>
    <row r="182" spans="1:27" x14ac:dyDescent="0.25">
      <c r="A182">
        <v>1</v>
      </c>
      <c r="B182">
        <v>2020</v>
      </c>
      <c r="C182" t="s">
        <v>9</v>
      </c>
      <c r="D182">
        <v>10</v>
      </c>
      <c r="E182" t="s">
        <v>297</v>
      </c>
      <c r="F182" t="s">
        <v>23</v>
      </c>
      <c r="L182" s="10">
        <v>7111321</v>
      </c>
      <c r="P182" s="24" t="s">
        <v>27</v>
      </c>
      <c r="Q182">
        <v>102</v>
      </c>
      <c r="R182" t="s">
        <v>31</v>
      </c>
      <c r="S182" t="s">
        <v>31</v>
      </c>
      <c r="U182" t="str">
        <f>IF(AND(ISNUMBER(L182),COUNTIF([2]Songs!$L:$L,L182)&gt;0),"YES","")</f>
        <v/>
      </c>
      <c r="V182" t="str">
        <f>IF(AND(ISNUMBER(L182),COUNTIF([3]Songs!$J:$J,L182)&gt;0),"YES","")</f>
        <v/>
      </c>
      <c r="W182" t="str">
        <f>IF(AND(ISNUMBER(L182),COUNTIF([1]Songs!$H:$H,L182)&gt;0),"YES","")</f>
        <v/>
      </c>
      <c r="X182" t="s">
        <v>639</v>
      </c>
      <c r="Y182">
        <v>181</v>
      </c>
      <c r="AA182" t="str">
        <f>I182
&amp;IF(H182=I182,""," "&amp;H182)
&amp;IF(OR(R182=I182,R182=H182),""," "&amp;R182)
&amp;IF(R182=S182,""," "&amp;S182)</f>
        <v xml:space="preserve"> B</v>
      </c>
    </row>
    <row r="183" spans="1:27" x14ac:dyDescent="0.25">
      <c r="A183">
        <v>1</v>
      </c>
      <c r="B183">
        <v>2020</v>
      </c>
      <c r="C183" t="s">
        <v>10</v>
      </c>
      <c r="D183">
        <v>1</v>
      </c>
      <c r="E183" t="s">
        <v>298</v>
      </c>
      <c r="F183" t="s">
        <v>23</v>
      </c>
      <c r="G183" t="s">
        <v>471</v>
      </c>
      <c r="H183" s="3" t="s">
        <v>47</v>
      </c>
      <c r="I183" s="3" t="s">
        <v>47</v>
      </c>
      <c r="J183" s="4">
        <v>67</v>
      </c>
      <c r="K183" s="5" t="s">
        <v>371</v>
      </c>
      <c r="L183" s="10">
        <v>7124907</v>
      </c>
      <c r="M183" s="4">
        <v>2018</v>
      </c>
      <c r="N183" s="6" t="s">
        <v>372</v>
      </c>
      <c r="O183" t="s">
        <v>944</v>
      </c>
      <c r="P183" s="24" t="s">
        <v>181</v>
      </c>
      <c r="Q183">
        <v>67</v>
      </c>
      <c r="R183" t="s">
        <v>47</v>
      </c>
      <c r="S183" t="s">
        <v>47</v>
      </c>
      <c r="U183" t="str">
        <f>IF(AND(ISNUMBER(L183),COUNTIF([2]Songs!$L:$L,L183)&gt;0),"YES","")</f>
        <v>YES</v>
      </c>
      <c r="V183" t="str">
        <f>IF(AND(ISNUMBER(L183),COUNTIF([3]Songs!$J:$J,L183)&gt;0),"YES","")</f>
        <v>YES</v>
      </c>
      <c r="W183" t="str">
        <f>IF(AND(ISNUMBER(L183),COUNTIF([1]Songs!$H:$H,L183)&gt;0),"YES","")</f>
        <v>YES</v>
      </c>
      <c r="X183" t="s">
        <v>639</v>
      </c>
      <c r="Y183">
        <v>182</v>
      </c>
      <c r="AA183" t="str">
        <f>I183
&amp;IF(H183=I183,""," "&amp;H183)
&amp;IF(OR(R183=I183,R183=H183),""," "&amp;R183)
&amp;IF(R183=S183,""," "&amp;S183)</f>
        <v>C</v>
      </c>
    </row>
    <row r="184" spans="1:27" x14ac:dyDescent="0.25">
      <c r="A184">
        <v>1</v>
      </c>
      <c r="B184">
        <v>2020</v>
      </c>
      <c r="C184" t="s">
        <v>10</v>
      </c>
      <c r="D184">
        <v>2</v>
      </c>
      <c r="E184" t="s">
        <v>299</v>
      </c>
      <c r="F184" t="s">
        <v>23</v>
      </c>
      <c r="L184" s="10">
        <v>7133375</v>
      </c>
      <c r="P184" s="24" t="s">
        <v>300</v>
      </c>
      <c r="Q184">
        <v>69</v>
      </c>
      <c r="R184" t="s">
        <v>47</v>
      </c>
      <c r="S184" t="s">
        <v>47</v>
      </c>
      <c r="U184" t="str">
        <f>IF(AND(ISNUMBER(L184),COUNTIF([2]Songs!$L:$L,L184)&gt;0),"YES","")</f>
        <v/>
      </c>
      <c r="V184" t="str">
        <f>IF(AND(ISNUMBER(L184),COUNTIF([3]Songs!$J:$J,L184)&gt;0),"YES","")</f>
        <v>YES</v>
      </c>
      <c r="W184" t="str">
        <f>IF(AND(ISNUMBER(L184),COUNTIF([1]Songs!$H:$H,L184)&gt;0),"YES","")</f>
        <v/>
      </c>
      <c r="X184" t="s">
        <v>639</v>
      </c>
      <c r="Y184">
        <v>183</v>
      </c>
      <c r="AA184" t="str">
        <f>I184
&amp;IF(H184=I184,""," "&amp;H184)
&amp;IF(OR(R184=I184,R184=H184),""," "&amp;R184)
&amp;IF(R184=S184,""," "&amp;S184)</f>
        <v xml:space="preserve"> C</v>
      </c>
    </row>
    <row r="185" spans="1:27" x14ac:dyDescent="0.25">
      <c r="A185">
        <v>1</v>
      </c>
      <c r="B185">
        <v>2020</v>
      </c>
      <c r="C185" t="s">
        <v>10</v>
      </c>
      <c r="D185">
        <v>3</v>
      </c>
      <c r="E185" t="s">
        <v>301</v>
      </c>
      <c r="F185" t="s">
        <v>23</v>
      </c>
      <c r="L185" s="10">
        <v>7048885</v>
      </c>
      <c r="P185" s="24" t="s">
        <v>196</v>
      </c>
      <c r="Q185">
        <v>73</v>
      </c>
      <c r="R185" t="s">
        <v>47</v>
      </c>
      <c r="S185" t="s">
        <v>47</v>
      </c>
      <c r="U185" t="str">
        <f>IF(AND(ISNUMBER(L185),COUNTIF([2]Songs!$L:$L,L185)&gt;0),"YES","")</f>
        <v/>
      </c>
      <c r="V185" t="str">
        <f>IF(AND(ISNUMBER(L185),COUNTIF([3]Songs!$J:$J,L185)&gt;0),"YES","")</f>
        <v>YES</v>
      </c>
      <c r="W185" t="str">
        <f>IF(AND(ISNUMBER(L185),COUNTIF([1]Songs!$H:$H,L185)&gt;0),"YES","")</f>
        <v/>
      </c>
      <c r="X185" t="s">
        <v>639</v>
      </c>
      <c r="Y185">
        <v>184</v>
      </c>
      <c r="AA185" t="str">
        <f>I185
&amp;IF(H185=I185,""," "&amp;H185)
&amp;IF(OR(R185=I185,R185=H185),""," "&amp;R185)
&amp;IF(R185=S185,""," "&amp;S185)</f>
        <v xml:space="preserve"> C</v>
      </c>
    </row>
    <row r="186" spans="1:27" x14ac:dyDescent="0.25">
      <c r="A186">
        <v>1</v>
      </c>
      <c r="B186">
        <v>2020</v>
      </c>
      <c r="C186" t="s">
        <v>10</v>
      </c>
      <c r="D186">
        <v>4</v>
      </c>
      <c r="E186" t="s">
        <v>302</v>
      </c>
      <c r="F186" t="s">
        <v>23</v>
      </c>
      <c r="L186" s="10">
        <v>7109453</v>
      </c>
      <c r="P186" s="24" t="s">
        <v>215</v>
      </c>
      <c r="Q186">
        <v>71</v>
      </c>
      <c r="R186" t="s">
        <v>47</v>
      </c>
      <c r="S186" t="s">
        <v>47</v>
      </c>
      <c r="U186" t="str">
        <f>IF(AND(ISNUMBER(L186),COUNTIF([2]Songs!$L:$L,L186)&gt;0),"YES","")</f>
        <v/>
      </c>
      <c r="V186" t="str">
        <f>IF(AND(ISNUMBER(L186),COUNTIF([3]Songs!$J:$J,L186)&gt;0),"YES","")</f>
        <v>YES</v>
      </c>
      <c r="W186" t="str">
        <f>IF(AND(ISNUMBER(L186),COUNTIF([1]Songs!$H:$H,L186)&gt;0),"YES","")</f>
        <v>YES</v>
      </c>
      <c r="X186" t="s">
        <v>639</v>
      </c>
      <c r="Y186">
        <v>185</v>
      </c>
      <c r="AA186" t="str">
        <f>I186
&amp;IF(H186=I186,""," "&amp;H186)
&amp;IF(OR(R186=I186,R186=H186),""," "&amp;R186)
&amp;IF(R186=S186,""," "&amp;S186)</f>
        <v xml:space="preserve"> C</v>
      </c>
    </row>
    <row r="187" spans="1:27" x14ac:dyDescent="0.25">
      <c r="A187">
        <v>1</v>
      </c>
      <c r="B187">
        <v>2020</v>
      </c>
      <c r="C187" t="s">
        <v>10</v>
      </c>
      <c r="D187">
        <v>5</v>
      </c>
      <c r="E187" t="s">
        <v>303</v>
      </c>
      <c r="F187" t="s">
        <v>23</v>
      </c>
      <c r="L187" s="10">
        <v>7073332</v>
      </c>
      <c r="P187" s="24" t="s">
        <v>284</v>
      </c>
      <c r="Q187">
        <v>75</v>
      </c>
      <c r="R187" t="s">
        <v>176</v>
      </c>
      <c r="S187" t="s">
        <v>176</v>
      </c>
      <c r="U187" t="str">
        <f>IF(AND(ISNUMBER(L187),COUNTIF([2]Songs!$L:$L,L187)&gt;0),"YES","")</f>
        <v/>
      </c>
      <c r="V187" t="str">
        <f>IF(AND(ISNUMBER(L187),COUNTIF([3]Songs!$J:$J,L187)&gt;0),"YES","")</f>
        <v>YES</v>
      </c>
      <c r="W187" t="str">
        <f>IF(AND(ISNUMBER(L187),COUNTIF([1]Songs!$H:$H,L187)&gt;0),"YES","")</f>
        <v/>
      </c>
      <c r="X187" t="s">
        <v>639</v>
      </c>
      <c r="Y187">
        <v>186</v>
      </c>
      <c r="AA187" t="str">
        <f>I187
&amp;IF(H187=I187,""," "&amp;H187)
&amp;IF(OR(R187=I187,R187=H187),""," "&amp;R187)
&amp;IF(R187=S187,""," "&amp;S187)</f>
        <v xml:space="preserve"> F</v>
      </c>
    </row>
    <row r="188" spans="1:27" x14ac:dyDescent="0.25">
      <c r="A188">
        <v>1</v>
      </c>
      <c r="B188">
        <v>2020</v>
      </c>
      <c r="C188" t="s">
        <v>10</v>
      </c>
      <c r="D188">
        <v>6</v>
      </c>
      <c r="E188" t="s">
        <v>304</v>
      </c>
      <c r="F188" t="s">
        <v>23</v>
      </c>
      <c r="L188" s="10">
        <v>7036096</v>
      </c>
      <c r="P188" s="24" t="s">
        <v>284</v>
      </c>
      <c r="Q188">
        <v>72</v>
      </c>
      <c r="R188" t="s">
        <v>28</v>
      </c>
      <c r="S188" t="s">
        <v>52</v>
      </c>
      <c r="U188" t="str">
        <f>IF(AND(ISNUMBER(L188),COUNTIF([2]Songs!$L:$L,L188)&gt;0),"YES","")</f>
        <v/>
      </c>
      <c r="V188" t="str">
        <f>IF(AND(ISNUMBER(L188),COUNTIF([3]Songs!$J:$J,L188)&gt;0),"YES","")</f>
        <v>YES</v>
      </c>
      <c r="W188" t="str">
        <f>IF(AND(ISNUMBER(L188),COUNTIF([1]Songs!$H:$H,L188)&gt;0),"YES","")</f>
        <v/>
      </c>
      <c r="X188" t="s">
        <v>639</v>
      </c>
      <c r="Y188">
        <v>187</v>
      </c>
      <c r="AA188" t="str">
        <f>I188
&amp;IF(H188=I188,""," "&amp;H188)
&amp;IF(OR(R188=I188,R188=H188),""," "&amp;R188)
&amp;IF(R188=S188,""," "&amp;S188)</f>
        <v xml:space="preserve"> Bb A</v>
      </c>
    </row>
    <row r="189" spans="1:27" x14ac:dyDescent="0.25">
      <c r="A189">
        <v>1</v>
      </c>
      <c r="B189">
        <v>2020</v>
      </c>
      <c r="C189" t="s">
        <v>10</v>
      </c>
      <c r="D189">
        <v>7</v>
      </c>
      <c r="E189" t="s">
        <v>305</v>
      </c>
      <c r="F189" t="s">
        <v>23</v>
      </c>
      <c r="L189" s="10">
        <v>5174122</v>
      </c>
      <c r="P189" s="24" t="s">
        <v>306</v>
      </c>
      <c r="Q189">
        <v>65</v>
      </c>
      <c r="R189" t="s">
        <v>78</v>
      </c>
      <c r="S189" t="s">
        <v>39</v>
      </c>
      <c r="U189" t="str">
        <f>IF(AND(ISNUMBER(L189),COUNTIF([2]Songs!$L:$L,L189)&gt;0),"YES","")</f>
        <v/>
      </c>
      <c r="V189" t="str">
        <f>IF(AND(ISNUMBER(L189),COUNTIF([3]Songs!$J:$J,L189)&gt;0),"YES","")</f>
        <v>YES</v>
      </c>
      <c r="W189" t="str">
        <f>IF(AND(ISNUMBER(L189),COUNTIF([1]Songs!$H:$H,L189)&gt;0),"YES","")</f>
        <v/>
      </c>
      <c r="X189" t="s">
        <v>639</v>
      </c>
      <c r="Y189">
        <v>188</v>
      </c>
      <c r="AA189" t="str">
        <f>I189
&amp;IF(H189=I189,""," "&amp;H189)
&amp;IF(OR(R189=I189,R189=H189),""," "&amp;R189)
&amp;IF(R189=S189,""," "&amp;S189)</f>
        <v xml:space="preserve"> Eb D</v>
      </c>
    </row>
    <row r="190" spans="1:27" x14ac:dyDescent="0.25">
      <c r="A190">
        <v>1</v>
      </c>
      <c r="B190">
        <v>2020</v>
      </c>
      <c r="C190" t="s">
        <v>10</v>
      </c>
      <c r="D190">
        <v>8</v>
      </c>
      <c r="E190" t="s">
        <v>307</v>
      </c>
      <c r="F190" t="s">
        <v>23</v>
      </c>
      <c r="L190" s="10">
        <v>7098243</v>
      </c>
      <c r="P190" s="24" t="s">
        <v>308</v>
      </c>
      <c r="Q190">
        <v>72</v>
      </c>
      <c r="R190" t="s">
        <v>31</v>
      </c>
      <c r="S190" t="s">
        <v>31</v>
      </c>
      <c r="U190" t="str">
        <f>IF(AND(ISNUMBER(L190),COUNTIF([2]Songs!$L:$L,L190)&gt;0),"YES","")</f>
        <v/>
      </c>
      <c r="V190" t="str">
        <f>IF(AND(ISNUMBER(L190),COUNTIF([3]Songs!$J:$J,L190)&gt;0),"YES","")</f>
        <v>YES</v>
      </c>
      <c r="W190" t="str">
        <f>IF(AND(ISNUMBER(L190),COUNTIF([1]Songs!$H:$H,L190)&gt;0),"YES","")</f>
        <v/>
      </c>
      <c r="X190" t="s">
        <v>639</v>
      </c>
      <c r="Y190">
        <v>189</v>
      </c>
      <c r="AA190" t="str">
        <f>I190
&amp;IF(H190=I190,""," "&amp;H190)
&amp;IF(OR(R190=I190,R190=H190),""," "&amp;R190)
&amp;IF(R190=S190,""," "&amp;S190)</f>
        <v xml:space="preserve"> B</v>
      </c>
    </row>
    <row r="191" spans="1:27" x14ac:dyDescent="0.25">
      <c r="A191">
        <v>1</v>
      </c>
      <c r="B191">
        <v>2020</v>
      </c>
      <c r="C191" t="s">
        <v>10</v>
      </c>
      <c r="D191">
        <v>9</v>
      </c>
      <c r="E191" t="s">
        <v>309</v>
      </c>
      <c r="F191" t="s">
        <v>23</v>
      </c>
      <c r="L191" s="10">
        <v>7011451</v>
      </c>
      <c r="P191" s="24" t="s">
        <v>190</v>
      </c>
      <c r="Q191">
        <v>70</v>
      </c>
      <c r="R191" t="s">
        <v>39</v>
      </c>
      <c r="S191" t="s">
        <v>39</v>
      </c>
      <c r="U191" t="str">
        <f>IF(AND(ISNUMBER(L191),COUNTIF([2]Songs!$L:$L,L191)&gt;0),"YES","")</f>
        <v/>
      </c>
      <c r="V191" t="str">
        <f>IF(AND(ISNUMBER(L191),COUNTIF([3]Songs!$J:$J,L191)&gt;0),"YES","")</f>
        <v>YES</v>
      </c>
      <c r="W191" t="str">
        <f>IF(AND(ISNUMBER(L191),COUNTIF([1]Songs!$H:$H,L191)&gt;0),"YES","")</f>
        <v/>
      </c>
      <c r="X191" t="s">
        <v>639</v>
      </c>
      <c r="Y191">
        <v>190</v>
      </c>
      <c r="AA191" t="str">
        <f>I191
&amp;IF(H191=I191,""," "&amp;H191)
&amp;IF(OR(R191=I191,R191=H191),""," "&amp;R191)
&amp;IF(R191=S191,""," "&amp;S191)</f>
        <v xml:space="preserve"> D</v>
      </c>
    </row>
    <row r="192" spans="1:27" x14ac:dyDescent="0.25">
      <c r="A192">
        <v>1</v>
      </c>
      <c r="B192">
        <v>2020</v>
      </c>
      <c r="C192" t="s">
        <v>10</v>
      </c>
      <c r="D192">
        <v>10</v>
      </c>
      <c r="E192" t="s">
        <v>310</v>
      </c>
      <c r="F192" t="s">
        <v>23</v>
      </c>
      <c r="L192" s="10">
        <v>7142008</v>
      </c>
      <c r="P192" s="24" t="s">
        <v>311</v>
      </c>
      <c r="Q192">
        <v>86</v>
      </c>
      <c r="R192" t="s">
        <v>28</v>
      </c>
      <c r="S192" t="s">
        <v>52</v>
      </c>
      <c r="U192" t="str">
        <f>IF(AND(ISNUMBER(L192),COUNTIF([2]Songs!$L:$L,L192)&gt;0),"YES","")</f>
        <v/>
      </c>
      <c r="V192" t="str">
        <f>IF(AND(ISNUMBER(L192),COUNTIF([3]Songs!$J:$J,L192)&gt;0),"YES","")</f>
        <v>YES</v>
      </c>
      <c r="W192" t="str">
        <f>IF(AND(ISNUMBER(L192),COUNTIF([1]Songs!$H:$H,L192)&gt;0),"YES","")</f>
        <v/>
      </c>
      <c r="X192" t="s">
        <v>639</v>
      </c>
      <c r="Y192">
        <v>191</v>
      </c>
      <c r="AA192" t="str">
        <f>I192
&amp;IF(H192=I192,""," "&amp;H192)
&amp;IF(OR(R192=I192,R192=H192),""," "&amp;R192)
&amp;IF(R192=S192,""," "&amp;S192)</f>
        <v xml:space="preserve"> Bb A</v>
      </c>
    </row>
    <row r="193" spans="1:27" x14ac:dyDescent="0.25">
      <c r="A193">
        <v>1</v>
      </c>
      <c r="B193">
        <v>2020</v>
      </c>
      <c r="C193" t="s">
        <v>11</v>
      </c>
      <c r="D193">
        <v>1</v>
      </c>
      <c r="E193" t="s">
        <v>312</v>
      </c>
      <c r="F193" t="s">
        <v>23</v>
      </c>
      <c r="L193" s="10">
        <v>7122996</v>
      </c>
      <c r="P193" s="24" t="s">
        <v>311</v>
      </c>
      <c r="Q193">
        <v>75</v>
      </c>
      <c r="R193" t="s">
        <v>47</v>
      </c>
      <c r="S193" t="s">
        <v>47</v>
      </c>
      <c r="U193" t="str">
        <f>IF(AND(ISNUMBER(L193),COUNTIF([2]Songs!$L:$L,L193)&gt;0),"YES","")</f>
        <v/>
      </c>
      <c r="V193" t="str">
        <f>IF(AND(ISNUMBER(L193),COUNTIF([3]Songs!$J:$J,L193)&gt;0),"YES","")</f>
        <v>YES</v>
      </c>
      <c r="W193" t="str">
        <f>IF(AND(ISNUMBER(L193),COUNTIF([1]Songs!$H:$H,L193)&gt;0),"YES","")</f>
        <v/>
      </c>
      <c r="X193" t="s">
        <v>639</v>
      </c>
      <c r="Y193">
        <v>192</v>
      </c>
      <c r="AA193" t="str">
        <f>I193
&amp;IF(H193=I193,""," "&amp;H193)
&amp;IF(OR(R193=I193,R193=H193),""," "&amp;R193)
&amp;IF(R193=S193,""," "&amp;S193)</f>
        <v xml:space="preserve"> C</v>
      </c>
    </row>
    <row r="194" spans="1:27" x14ac:dyDescent="0.25">
      <c r="A194">
        <v>1</v>
      </c>
      <c r="B194">
        <v>2020</v>
      </c>
      <c r="C194" t="s">
        <v>11</v>
      </c>
      <c r="D194">
        <v>2</v>
      </c>
      <c r="E194" t="s">
        <v>313</v>
      </c>
      <c r="F194" t="s">
        <v>23</v>
      </c>
      <c r="L194" s="10">
        <v>7102399</v>
      </c>
      <c r="P194" s="24" t="s">
        <v>24</v>
      </c>
      <c r="Q194">
        <v>70</v>
      </c>
      <c r="R194" t="s">
        <v>39</v>
      </c>
      <c r="S194" t="s">
        <v>39</v>
      </c>
      <c r="U194" t="str">
        <f>IF(AND(ISNUMBER(L194),COUNTIF([2]Songs!$L:$L,L194)&gt;0),"YES","")</f>
        <v/>
      </c>
      <c r="V194" t="str">
        <f>IF(AND(ISNUMBER(L194),COUNTIF([3]Songs!$J:$J,L194)&gt;0),"YES","")</f>
        <v>YES</v>
      </c>
      <c r="W194" t="str">
        <f>IF(AND(ISNUMBER(L194),COUNTIF([1]Songs!$H:$H,L194)&gt;0),"YES","")</f>
        <v>YES</v>
      </c>
      <c r="X194" t="s">
        <v>639</v>
      </c>
      <c r="Y194">
        <v>193</v>
      </c>
      <c r="AA194" t="str">
        <f>I194
&amp;IF(H194=I194,""," "&amp;H194)
&amp;IF(OR(R194=I194,R194=H194),""," "&amp;R194)
&amp;IF(R194=S194,""," "&amp;S194)</f>
        <v xml:space="preserve"> D</v>
      </c>
    </row>
    <row r="195" spans="1:27" x14ac:dyDescent="0.25">
      <c r="A195">
        <v>1</v>
      </c>
      <c r="B195">
        <v>2020</v>
      </c>
      <c r="C195" t="s">
        <v>11</v>
      </c>
      <c r="D195">
        <v>3</v>
      </c>
      <c r="E195" t="s">
        <v>314</v>
      </c>
      <c r="F195" t="s">
        <v>23</v>
      </c>
      <c r="L195" s="10">
        <v>7127096</v>
      </c>
      <c r="P195" s="24" t="s">
        <v>315</v>
      </c>
      <c r="Q195">
        <v>91</v>
      </c>
      <c r="R195" t="s">
        <v>47</v>
      </c>
      <c r="S195" t="s">
        <v>47</v>
      </c>
      <c r="U195" t="str">
        <f>IF(AND(ISNUMBER(L195),COUNTIF([2]Songs!$L:$L,L195)&gt;0),"YES","")</f>
        <v/>
      </c>
      <c r="V195" t="str">
        <f>IF(AND(ISNUMBER(L195),COUNTIF([3]Songs!$J:$J,L195)&gt;0),"YES","")</f>
        <v>YES</v>
      </c>
      <c r="W195" t="str">
        <f>IF(AND(ISNUMBER(L195),COUNTIF([1]Songs!$H:$H,L195)&gt;0),"YES","")</f>
        <v/>
      </c>
      <c r="X195" t="s">
        <v>639</v>
      </c>
      <c r="Y195">
        <v>194</v>
      </c>
      <c r="AA195" t="str">
        <f>I195
&amp;IF(H195=I195,""," "&amp;H195)
&amp;IF(OR(R195=I195,R195=H195),""," "&amp;R195)
&amp;IF(R195=S195,""," "&amp;S195)</f>
        <v xml:space="preserve"> C</v>
      </c>
    </row>
    <row r="196" spans="1:27" x14ac:dyDescent="0.25">
      <c r="A196">
        <v>1</v>
      </c>
      <c r="B196">
        <v>2020</v>
      </c>
      <c r="C196" t="s">
        <v>11</v>
      </c>
      <c r="D196">
        <v>4</v>
      </c>
      <c r="E196" t="s">
        <v>316</v>
      </c>
      <c r="F196" t="s">
        <v>23</v>
      </c>
      <c r="L196" s="10">
        <v>7110696</v>
      </c>
      <c r="P196" s="24" t="s">
        <v>317</v>
      </c>
      <c r="Q196">
        <v>98</v>
      </c>
      <c r="R196" t="s">
        <v>47</v>
      </c>
      <c r="S196" t="s">
        <v>47</v>
      </c>
      <c r="U196" t="str">
        <f>IF(AND(ISNUMBER(L196),COUNTIF([2]Songs!$L:$L,L196)&gt;0),"YES","")</f>
        <v/>
      </c>
      <c r="V196" t="str">
        <f>IF(AND(ISNUMBER(L196),COUNTIF([3]Songs!$J:$J,L196)&gt;0),"YES","")</f>
        <v>YES</v>
      </c>
      <c r="W196" t="str">
        <f>IF(AND(ISNUMBER(L196),COUNTIF([1]Songs!$H:$H,L196)&gt;0),"YES","")</f>
        <v/>
      </c>
      <c r="X196" t="s">
        <v>639</v>
      </c>
      <c r="Y196">
        <v>195</v>
      </c>
      <c r="AA196" t="str">
        <f>I196
&amp;IF(H196=I196,""," "&amp;H196)
&amp;IF(OR(R196=I196,R196=H196),""," "&amp;R196)
&amp;IF(R196=S196,""," "&amp;S196)</f>
        <v xml:space="preserve"> C</v>
      </c>
    </row>
    <row r="197" spans="1:27" x14ac:dyDescent="0.25">
      <c r="A197">
        <v>1</v>
      </c>
      <c r="B197">
        <v>2020</v>
      </c>
      <c r="C197" t="s">
        <v>11</v>
      </c>
      <c r="D197">
        <v>5</v>
      </c>
      <c r="E197" t="s">
        <v>318</v>
      </c>
      <c r="F197" t="s">
        <v>23</v>
      </c>
      <c r="L197" s="10">
        <v>6517269</v>
      </c>
      <c r="P197" s="24" t="s">
        <v>311</v>
      </c>
      <c r="Q197">
        <v>65</v>
      </c>
      <c r="R197" t="s">
        <v>25</v>
      </c>
      <c r="S197" t="s">
        <v>25</v>
      </c>
      <c r="U197" t="str">
        <f>IF(AND(ISNUMBER(L197),COUNTIF([2]Songs!$L:$L,L197)&gt;0),"YES","")</f>
        <v/>
      </c>
      <c r="V197" t="str">
        <f>IF(AND(ISNUMBER(L197),COUNTIF([3]Songs!$J:$J,L197)&gt;0),"YES","")</f>
        <v>YES</v>
      </c>
      <c r="W197" t="str">
        <f>IF(AND(ISNUMBER(L197),COUNTIF([1]Songs!$H:$H,L197)&gt;0),"YES","")</f>
        <v/>
      </c>
      <c r="X197" t="s">
        <v>639</v>
      </c>
      <c r="Y197">
        <v>196</v>
      </c>
      <c r="AA197" t="str">
        <f>I197
&amp;IF(H197=I197,""," "&amp;H197)
&amp;IF(OR(R197=I197,R197=H197),""," "&amp;R197)
&amp;IF(R197=S197,""," "&amp;S197)</f>
        <v xml:space="preserve"> G</v>
      </c>
    </row>
    <row r="198" spans="1:27" x14ac:dyDescent="0.25">
      <c r="A198">
        <v>1</v>
      </c>
      <c r="B198">
        <v>2020</v>
      </c>
      <c r="C198" t="s">
        <v>11</v>
      </c>
      <c r="D198">
        <v>6</v>
      </c>
      <c r="E198" t="s">
        <v>319</v>
      </c>
      <c r="F198" t="s">
        <v>23</v>
      </c>
      <c r="L198" s="10">
        <v>7147502</v>
      </c>
      <c r="P198" s="24" t="s">
        <v>320</v>
      </c>
      <c r="Q198">
        <v>71</v>
      </c>
      <c r="R198" t="s">
        <v>67</v>
      </c>
      <c r="S198" t="s">
        <v>25</v>
      </c>
      <c r="U198" t="str">
        <f>IF(AND(ISNUMBER(L198),COUNTIF([2]Songs!$L:$L,L198)&gt;0),"YES","")</f>
        <v/>
      </c>
      <c r="V198" t="str">
        <f>IF(AND(ISNUMBER(L198),COUNTIF([3]Songs!$J:$J,L198)&gt;0),"YES","")</f>
        <v>YES</v>
      </c>
      <c r="W198" t="str">
        <f>IF(AND(ISNUMBER(L198),COUNTIF([1]Songs!$H:$H,L198)&gt;0),"YES","")</f>
        <v/>
      </c>
      <c r="X198" t="s">
        <v>639</v>
      </c>
      <c r="Y198">
        <v>197</v>
      </c>
      <c r="AA198" t="str">
        <f>I198
&amp;IF(H198=I198,""," "&amp;H198)
&amp;IF(OR(R198=I198,R198=H198),""," "&amp;R198)
&amp;IF(R198=S198,""," "&amp;S198)</f>
        <v xml:space="preserve"> Ab G</v>
      </c>
    </row>
    <row r="199" spans="1:27" x14ac:dyDescent="0.25">
      <c r="A199">
        <v>1</v>
      </c>
      <c r="B199">
        <v>2020</v>
      </c>
      <c r="C199" t="s">
        <v>11</v>
      </c>
      <c r="D199">
        <v>7</v>
      </c>
      <c r="E199" t="s">
        <v>321</v>
      </c>
      <c r="F199" t="s">
        <v>23</v>
      </c>
      <c r="L199" s="10">
        <v>7054548</v>
      </c>
      <c r="P199" s="24" t="s">
        <v>96</v>
      </c>
      <c r="Q199">
        <v>74</v>
      </c>
      <c r="R199" t="s">
        <v>31</v>
      </c>
      <c r="S199" t="s">
        <v>31</v>
      </c>
      <c r="U199" t="str">
        <f>IF(AND(ISNUMBER(L199),COUNTIF([2]Songs!$L:$L,L199)&gt;0),"YES","")</f>
        <v/>
      </c>
      <c r="V199" t="str">
        <f>IF(AND(ISNUMBER(L199),COUNTIF([3]Songs!$J:$J,L199)&gt;0),"YES","")</f>
        <v>YES</v>
      </c>
      <c r="W199" t="str">
        <f>IF(AND(ISNUMBER(L199),COUNTIF([1]Songs!$H:$H,L199)&gt;0),"YES","")</f>
        <v/>
      </c>
      <c r="X199" t="s">
        <v>639</v>
      </c>
      <c r="Y199">
        <v>198</v>
      </c>
      <c r="AA199" t="str">
        <f>I199
&amp;IF(H199=I199,""," "&amp;H199)
&amp;IF(OR(R199=I199,R199=H199),""," "&amp;R199)
&amp;IF(R199=S199,""," "&amp;S199)</f>
        <v xml:space="preserve"> B</v>
      </c>
    </row>
    <row r="200" spans="1:27" x14ac:dyDescent="0.25">
      <c r="A200">
        <v>1</v>
      </c>
      <c r="B200">
        <v>2020</v>
      </c>
      <c r="C200" t="s">
        <v>11</v>
      </c>
      <c r="D200">
        <v>8</v>
      </c>
      <c r="E200" t="s">
        <v>231</v>
      </c>
      <c r="F200" t="s">
        <v>322</v>
      </c>
      <c r="G200" t="s">
        <v>472</v>
      </c>
      <c r="H200" s="3" t="s">
        <v>31</v>
      </c>
      <c r="I200" s="3" t="s">
        <v>31</v>
      </c>
      <c r="J200" s="4">
        <v>120</v>
      </c>
      <c r="K200" s="5" t="s">
        <v>371</v>
      </c>
      <c r="L200" s="10">
        <v>5638022</v>
      </c>
      <c r="M200" s="4">
        <v>2009</v>
      </c>
      <c r="N200" s="6" t="s">
        <v>473</v>
      </c>
      <c r="O200" t="s">
        <v>944</v>
      </c>
      <c r="P200" s="24" t="s">
        <v>323</v>
      </c>
      <c r="Q200">
        <v>74</v>
      </c>
      <c r="R200" t="s">
        <v>47</v>
      </c>
      <c r="S200" t="s">
        <v>47</v>
      </c>
      <c r="U200" t="str">
        <f>IF(AND(ISNUMBER(L200),COUNTIF([2]Songs!$L:$L,L200)&gt;0),"YES","")</f>
        <v>YES</v>
      </c>
      <c r="V200" t="str">
        <f>IF(AND(ISNUMBER(L200),COUNTIF([3]Songs!$J:$J,L200)&gt;0),"YES","")</f>
        <v>YES</v>
      </c>
      <c r="W200" t="str">
        <f>IF(AND(ISNUMBER(L200),COUNTIF([1]Songs!$H:$H,L200)&gt;0),"YES","")</f>
        <v/>
      </c>
      <c r="X200" t="s">
        <v>639</v>
      </c>
      <c r="Y200">
        <v>199</v>
      </c>
      <c r="AA200" t="str">
        <f>I200
&amp;IF(H200=I200,""," "&amp;H200)
&amp;IF(OR(R200=I200,R200=H200),""," "&amp;R200)
&amp;IF(R200=S200,""," "&amp;S200)</f>
        <v>B C</v>
      </c>
    </row>
    <row r="201" spans="1:27" x14ac:dyDescent="0.25">
      <c r="A201">
        <v>1</v>
      </c>
      <c r="B201">
        <v>2020</v>
      </c>
      <c r="C201" t="s">
        <v>11</v>
      </c>
      <c r="D201">
        <v>9</v>
      </c>
      <c r="E201" t="s">
        <v>324</v>
      </c>
      <c r="F201" t="s">
        <v>23</v>
      </c>
      <c r="L201" s="10">
        <v>7067561</v>
      </c>
      <c r="P201" s="24" t="s">
        <v>190</v>
      </c>
      <c r="Q201">
        <v>80</v>
      </c>
      <c r="R201" t="s">
        <v>47</v>
      </c>
      <c r="S201" t="s">
        <v>47</v>
      </c>
      <c r="U201" t="str">
        <f>IF(AND(ISNUMBER(L201),COUNTIF([2]Songs!$L:$L,L201)&gt;0),"YES","")</f>
        <v/>
      </c>
      <c r="V201" t="str">
        <f>IF(AND(ISNUMBER(L201),COUNTIF([3]Songs!$J:$J,L201)&gt;0),"YES","")</f>
        <v>YES</v>
      </c>
      <c r="W201" t="str">
        <f>IF(AND(ISNUMBER(L201),COUNTIF([1]Songs!$H:$H,L201)&gt;0),"YES","")</f>
        <v/>
      </c>
      <c r="X201" t="s">
        <v>639</v>
      </c>
      <c r="Y201">
        <v>200</v>
      </c>
      <c r="AA201" t="str">
        <f>I201
&amp;IF(H201=I201,""," "&amp;H201)
&amp;IF(OR(R201=I201,R201=H201),""," "&amp;R201)
&amp;IF(R201=S201,""," "&amp;S201)</f>
        <v xml:space="preserve"> C</v>
      </c>
    </row>
    <row r="202" spans="1:27" x14ac:dyDescent="0.25">
      <c r="A202">
        <v>1</v>
      </c>
      <c r="B202">
        <v>2020</v>
      </c>
      <c r="C202" t="s">
        <v>11</v>
      </c>
      <c r="D202">
        <v>10</v>
      </c>
      <c r="E202" t="s">
        <v>155</v>
      </c>
      <c r="F202" t="s">
        <v>23</v>
      </c>
      <c r="L202" s="10">
        <v>7107548</v>
      </c>
      <c r="P202" s="24" t="s">
        <v>27</v>
      </c>
      <c r="Q202">
        <v>70</v>
      </c>
      <c r="R202" t="s">
        <v>31</v>
      </c>
      <c r="S202" t="s">
        <v>31</v>
      </c>
      <c r="U202" t="str">
        <f>IF(AND(ISNUMBER(L202),COUNTIF([2]Songs!$L:$L,L202)&gt;0),"YES","")</f>
        <v/>
      </c>
      <c r="V202" t="str">
        <f>IF(AND(ISNUMBER(L202),COUNTIF([3]Songs!$J:$J,L202)&gt;0),"YES","")</f>
        <v>YES</v>
      </c>
      <c r="W202" t="str">
        <f>IF(AND(ISNUMBER(L202),COUNTIF([1]Songs!$H:$H,L202)&gt;0),"YES","")</f>
        <v/>
      </c>
      <c r="X202" t="s">
        <v>639</v>
      </c>
      <c r="Y202">
        <v>201</v>
      </c>
      <c r="AA202" t="str">
        <f>I202
&amp;IF(H202=I202,""," "&amp;H202)
&amp;IF(OR(R202=I202,R202=H202),""," "&amp;R202)
&amp;IF(R202=S202,""," "&amp;S202)</f>
        <v xml:space="preserve"> B</v>
      </c>
    </row>
    <row r="203" spans="1:27" x14ac:dyDescent="0.25">
      <c r="A203">
        <v>1</v>
      </c>
      <c r="B203">
        <v>2020</v>
      </c>
      <c r="C203" t="s">
        <v>12</v>
      </c>
      <c r="D203">
        <v>1</v>
      </c>
      <c r="E203" t="s">
        <v>325</v>
      </c>
      <c r="F203" t="s">
        <v>23</v>
      </c>
      <c r="L203" s="10" t="s">
        <v>327</v>
      </c>
      <c r="P203" s="24" t="s">
        <v>326</v>
      </c>
      <c r="Q203">
        <v>76</v>
      </c>
      <c r="R203" t="s">
        <v>47</v>
      </c>
      <c r="S203" t="s">
        <v>47</v>
      </c>
      <c r="U203" t="str">
        <f>IF(AND(ISNUMBER(L203),COUNTIF([2]Songs!$L:$L,L203)&gt;0),"YES","")</f>
        <v/>
      </c>
      <c r="V203" t="str">
        <f>IF(AND(ISNUMBER(L203),COUNTIF([3]Songs!$J:$J,L203)&gt;0),"YES","")</f>
        <v/>
      </c>
      <c r="W203" t="str">
        <f>IF(AND(ISNUMBER(L203),COUNTIF([1]Songs!$H:$H,L203)&gt;0),"YES","")</f>
        <v/>
      </c>
      <c r="X203" t="s">
        <v>639</v>
      </c>
      <c r="Y203">
        <v>202</v>
      </c>
      <c r="AA203" t="str">
        <f>I203
&amp;IF(H203=I203,""," "&amp;H203)
&amp;IF(OR(R203=I203,R203=H203),""," "&amp;R203)
&amp;IF(R203=S203,""," "&amp;S203)</f>
        <v xml:space="preserve"> C</v>
      </c>
    </row>
    <row r="204" spans="1:27" x14ac:dyDescent="0.25">
      <c r="A204">
        <v>1</v>
      </c>
      <c r="B204">
        <v>2020</v>
      </c>
      <c r="C204" t="s">
        <v>12</v>
      </c>
      <c r="D204">
        <v>2</v>
      </c>
      <c r="E204" t="s">
        <v>328</v>
      </c>
      <c r="F204" t="s">
        <v>23</v>
      </c>
      <c r="L204" s="10">
        <v>7059306</v>
      </c>
      <c r="P204" s="24" t="s">
        <v>27</v>
      </c>
      <c r="Q204">
        <v>73.5</v>
      </c>
      <c r="R204" t="s">
        <v>47</v>
      </c>
      <c r="S204" t="s">
        <v>47</v>
      </c>
      <c r="U204" t="str">
        <f>IF(AND(ISNUMBER(L204),COUNTIF([2]Songs!$L:$L,L204)&gt;0),"YES","")</f>
        <v/>
      </c>
      <c r="V204" t="str">
        <f>IF(AND(ISNUMBER(L204),COUNTIF([3]Songs!$J:$J,L204)&gt;0),"YES","")</f>
        <v>YES</v>
      </c>
      <c r="W204" t="str">
        <f>IF(AND(ISNUMBER(L204),COUNTIF([1]Songs!$H:$H,L204)&gt;0),"YES","")</f>
        <v/>
      </c>
      <c r="X204" t="s">
        <v>639</v>
      </c>
      <c r="Y204">
        <v>203</v>
      </c>
      <c r="AA204" t="str">
        <f>I204
&amp;IF(H204=I204,""," "&amp;H204)
&amp;IF(OR(R204=I204,R204=H204),""," "&amp;R204)
&amp;IF(R204=S204,""," "&amp;S204)</f>
        <v xml:space="preserve"> C</v>
      </c>
    </row>
    <row r="205" spans="1:27" x14ac:dyDescent="0.25">
      <c r="A205">
        <v>1</v>
      </c>
      <c r="B205">
        <v>2020</v>
      </c>
      <c r="C205" t="s">
        <v>12</v>
      </c>
      <c r="D205">
        <v>3</v>
      </c>
      <c r="E205" t="s">
        <v>329</v>
      </c>
      <c r="F205" t="s">
        <v>23</v>
      </c>
      <c r="L205" s="10">
        <v>7138219</v>
      </c>
      <c r="P205" s="24" t="s">
        <v>190</v>
      </c>
      <c r="Q205">
        <v>70</v>
      </c>
      <c r="R205" t="s">
        <v>31</v>
      </c>
      <c r="S205" t="s">
        <v>31</v>
      </c>
      <c r="U205" t="str">
        <f>IF(AND(ISNUMBER(L205),COUNTIF([2]Songs!$L:$L,L205)&gt;0),"YES","")</f>
        <v/>
      </c>
      <c r="V205" t="str">
        <f>IF(AND(ISNUMBER(L205),COUNTIF([3]Songs!$J:$J,L205)&gt;0),"YES","")</f>
        <v>YES</v>
      </c>
      <c r="W205" t="str">
        <f>IF(AND(ISNUMBER(L205),COUNTIF([1]Songs!$H:$H,L205)&gt;0),"YES","")</f>
        <v/>
      </c>
      <c r="X205" t="s">
        <v>639</v>
      </c>
      <c r="Y205">
        <v>204</v>
      </c>
      <c r="AA205" t="str">
        <f>I205
&amp;IF(H205=I205,""," "&amp;H205)
&amp;IF(OR(R205=I205,R205=H205),""," "&amp;R205)
&amp;IF(R205=S205,""," "&amp;S205)</f>
        <v xml:space="preserve"> B</v>
      </c>
    </row>
    <row r="206" spans="1:27" x14ac:dyDescent="0.25">
      <c r="A206">
        <v>1</v>
      </c>
      <c r="B206">
        <v>2020</v>
      </c>
      <c r="C206" t="s">
        <v>12</v>
      </c>
      <c r="D206">
        <v>4</v>
      </c>
      <c r="E206" t="s">
        <v>330</v>
      </c>
      <c r="F206" t="s">
        <v>23</v>
      </c>
      <c r="G206" t="s">
        <v>861</v>
      </c>
      <c r="H206" s="3" t="s">
        <v>176</v>
      </c>
      <c r="I206" s="3" t="s">
        <v>176</v>
      </c>
      <c r="J206" s="4"/>
      <c r="K206" s="5" t="s">
        <v>371</v>
      </c>
      <c r="L206" s="10">
        <v>27714</v>
      </c>
      <c r="M206" s="4">
        <v>1855</v>
      </c>
      <c r="N206" s="6" t="s">
        <v>401</v>
      </c>
      <c r="O206" t="s">
        <v>92</v>
      </c>
      <c r="P206" s="24" t="s">
        <v>1</v>
      </c>
      <c r="Q206">
        <v>70</v>
      </c>
      <c r="R206" t="s">
        <v>28</v>
      </c>
      <c r="S206" t="s">
        <v>52</v>
      </c>
      <c r="U206" t="str">
        <f>IF(AND(ISNUMBER(L206),COUNTIF([2]Songs!$L:$L,L206)&gt;0),"YES","")</f>
        <v>YES</v>
      </c>
      <c r="V206" t="str">
        <f>IF(AND(ISNUMBER(L206),COUNTIF([3]Songs!$J:$J,L206)&gt;0),"YES","")</f>
        <v>YES</v>
      </c>
      <c r="W206" t="str">
        <f>IF(AND(ISNUMBER(L206),COUNTIF([1]Songs!$H:$H,L206)&gt;0),"YES","")</f>
        <v/>
      </c>
      <c r="X206" t="s">
        <v>639</v>
      </c>
      <c r="Y206">
        <v>205</v>
      </c>
      <c r="AA206" t="str">
        <f>I206
&amp;IF(H206=I206,""," "&amp;H206)
&amp;IF(OR(R206=I206,R206=H206),""," "&amp;R206)
&amp;IF(R206=S206,""," "&amp;S206)</f>
        <v>F Bb A</v>
      </c>
    </row>
    <row r="207" spans="1:27" x14ac:dyDescent="0.25">
      <c r="A207">
        <v>1</v>
      </c>
      <c r="B207">
        <v>2020</v>
      </c>
      <c r="C207" t="s">
        <v>12</v>
      </c>
      <c r="D207">
        <v>5</v>
      </c>
      <c r="E207" t="s">
        <v>331</v>
      </c>
      <c r="F207" t="s">
        <v>23</v>
      </c>
      <c r="L207" s="10">
        <v>3469389</v>
      </c>
      <c r="P207" s="24" t="s">
        <v>332</v>
      </c>
      <c r="Q207">
        <v>70</v>
      </c>
      <c r="R207" t="s">
        <v>47</v>
      </c>
      <c r="S207" t="s">
        <v>47</v>
      </c>
      <c r="U207" t="str">
        <f>IF(AND(ISNUMBER(L207),COUNTIF([2]Songs!$L:$L,L207)&gt;0),"YES","")</f>
        <v/>
      </c>
      <c r="V207" t="str">
        <f>IF(AND(ISNUMBER(L207),COUNTIF([3]Songs!$J:$J,L207)&gt;0),"YES","")</f>
        <v>YES</v>
      </c>
      <c r="W207" t="str">
        <f>IF(AND(ISNUMBER(L207),COUNTIF([1]Songs!$H:$H,L207)&gt;0),"YES","")</f>
        <v/>
      </c>
      <c r="X207" t="s">
        <v>639</v>
      </c>
      <c r="Y207">
        <v>206</v>
      </c>
      <c r="AA207" t="str">
        <f>I207
&amp;IF(H207=I207,""," "&amp;H207)
&amp;IF(OR(R207=I207,R207=H207),""," "&amp;R207)
&amp;IF(R207=S207,""," "&amp;S207)</f>
        <v xml:space="preserve"> C</v>
      </c>
    </row>
    <row r="208" spans="1:27" x14ac:dyDescent="0.25">
      <c r="A208">
        <v>1</v>
      </c>
      <c r="B208">
        <v>2020</v>
      </c>
      <c r="C208" t="s">
        <v>12</v>
      </c>
      <c r="D208">
        <v>6</v>
      </c>
      <c r="E208" t="s">
        <v>333</v>
      </c>
      <c r="F208" t="s">
        <v>23</v>
      </c>
      <c r="L208" s="10">
        <v>7054172</v>
      </c>
      <c r="P208" s="24" t="s">
        <v>334</v>
      </c>
      <c r="Q208">
        <v>72</v>
      </c>
      <c r="R208" t="s">
        <v>31</v>
      </c>
      <c r="S208" t="s">
        <v>31</v>
      </c>
      <c r="U208" t="str">
        <f>IF(AND(ISNUMBER(L208),COUNTIF([2]Songs!$L:$L,L208)&gt;0),"YES","")</f>
        <v/>
      </c>
      <c r="V208" t="str">
        <f>IF(AND(ISNUMBER(L208),COUNTIF([3]Songs!$J:$J,L208)&gt;0),"YES","")</f>
        <v>YES</v>
      </c>
      <c r="W208" t="str">
        <f>IF(AND(ISNUMBER(L208),COUNTIF([1]Songs!$H:$H,L208)&gt;0),"YES","")</f>
        <v/>
      </c>
      <c r="X208" t="s">
        <v>639</v>
      </c>
      <c r="Y208">
        <v>207</v>
      </c>
      <c r="AA208" t="str">
        <f>I208
&amp;IF(H208=I208,""," "&amp;H208)
&amp;IF(OR(R208=I208,R208=H208),""," "&amp;R208)
&amp;IF(R208=S208,""," "&amp;S208)</f>
        <v xml:space="preserve"> B</v>
      </c>
    </row>
    <row r="209" spans="1:27" x14ac:dyDescent="0.25">
      <c r="A209">
        <v>1</v>
      </c>
      <c r="B209">
        <v>2020</v>
      </c>
      <c r="C209" t="s">
        <v>12</v>
      </c>
      <c r="D209">
        <v>7</v>
      </c>
      <c r="E209" t="s">
        <v>335</v>
      </c>
      <c r="F209" t="s">
        <v>23</v>
      </c>
      <c r="L209" s="10">
        <v>7138939</v>
      </c>
      <c r="P209" s="24" t="s">
        <v>43</v>
      </c>
      <c r="Q209">
        <v>74</v>
      </c>
      <c r="R209" t="s">
        <v>31</v>
      </c>
      <c r="S209" t="s">
        <v>31</v>
      </c>
      <c r="U209" t="str">
        <f>IF(AND(ISNUMBER(L209),COUNTIF([2]Songs!$L:$L,L209)&gt;0),"YES","")</f>
        <v/>
      </c>
      <c r="V209" t="str">
        <f>IF(AND(ISNUMBER(L209),COUNTIF([3]Songs!$J:$J,L209)&gt;0),"YES","")</f>
        <v>YES</v>
      </c>
      <c r="W209" t="str">
        <f>IF(AND(ISNUMBER(L209),COUNTIF([1]Songs!$H:$H,L209)&gt;0),"YES","")</f>
        <v/>
      </c>
      <c r="X209" t="s">
        <v>639</v>
      </c>
      <c r="Y209">
        <v>208</v>
      </c>
      <c r="AA209" t="str">
        <f>I209
&amp;IF(H209=I209,""," "&amp;H209)
&amp;IF(OR(R209=I209,R209=H209),""," "&amp;R209)
&amp;IF(R209=S209,""," "&amp;S209)</f>
        <v xml:space="preserve"> B</v>
      </c>
    </row>
    <row r="210" spans="1:27" x14ac:dyDescent="0.25">
      <c r="A210">
        <v>1</v>
      </c>
      <c r="B210">
        <v>2020</v>
      </c>
      <c r="C210" t="s">
        <v>12</v>
      </c>
      <c r="D210">
        <v>8</v>
      </c>
      <c r="E210" t="s">
        <v>336</v>
      </c>
      <c r="F210" t="s">
        <v>337</v>
      </c>
      <c r="G210" t="s">
        <v>858</v>
      </c>
      <c r="H210" s="3" t="s">
        <v>39</v>
      </c>
      <c r="I210" s="3" t="s">
        <v>39</v>
      </c>
      <c r="J210" s="4">
        <v>74</v>
      </c>
      <c r="K210" s="5" t="s">
        <v>371</v>
      </c>
      <c r="L210" s="10">
        <v>23189</v>
      </c>
      <c r="M210" s="4">
        <v>1896</v>
      </c>
      <c r="N210" s="6" t="s">
        <v>401</v>
      </c>
      <c r="O210" t="s">
        <v>92</v>
      </c>
      <c r="P210" s="24" t="s">
        <v>1</v>
      </c>
      <c r="Q210">
        <v>73.5</v>
      </c>
      <c r="R210" t="s">
        <v>47</v>
      </c>
      <c r="S210" t="s">
        <v>47</v>
      </c>
      <c r="U210" t="str">
        <f>IF(AND(ISNUMBER(L210),COUNTIF([2]Songs!$L:$L,L210)&gt;0),"YES","")</f>
        <v>YES</v>
      </c>
      <c r="V210" t="str">
        <f>IF(AND(ISNUMBER(L210),COUNTIF([3]Songs!$J:$J,L210)&gt;0),"YES","")</f>
        <v>YES</v>
      </c>
      <c r="W210" t="str">
        <f>IF(AND(ISNUMBER(L210),COUNTIF([1]Songs!$H:$H,L210)&gt;0),"YES","")</f>
        <v/>
      </c>
      <c r="X210" t="s">
        <v>639</v>
      </c>
      <c r="Y210">
        <v>209</v>
      </c>
      <c r="AA210" t="str">
        <f>I210
&amp;IF(H210=I210,""," "&amp;H210)
&amp;IF(OR(R210=I210,R210=H210),""," "&amp;R210)
&amp;IF(R210=S210,""," "&amp;S210)</f>
        <v>D C</v>
      </c>
    </row>
    <row r="211" spans="1:27" x14ac:dyDescent="0.25">
      <c r="A211">
        <v>1</v>
      </c>
      <c r="B211">
        <v>2020</v>
      </c>
      <c r="C211" t="s">
        <v>12</v>
      </c>
      <c r="D211">
        <v>9</v>
      </c>
      <c r="E211" t="s">
        <v>338</v>
      </c>
      <c r="F211" t="s">
        <v>23</v>
      </c>
      <c r="L211" s="10">
        <v>7141227</v>
      </c>
      <c r="P211" s="24" t="s">
        <v>311</v>
      </c>
      <c r="Q211">
        <v>105</v>
      </c>
      <c r="R211" t="s">
        <v>67</v>
      </c>
      <c r="S211" t="s">
        <v>25</v>
      </c>
      <c r="U211" t="str">
        <f>IF(AND(ISNUMBER(L211),COUNTIF([2]Songs!$L:$L,L211)&gt;0),"YES","")</f>
        <v/>
      </c>
      <c r="V211" t="str">
        <f>IF(AND(ISNUMBER(L211),COUNTIF([3]Songs!$J:$J,L211)&gt;0),"YES","")</f>
        <v>YES</v>
      </c>
      <c r="W211" t="str">
        <f>IF(AND(ISNUMBER(L211),COUNTIF([1]Songs!$H:$H,L211)&gt;0),"YES","")</f>
        <v/>
      </c>
      <c r="X211" t="s">
        <v>639</v>
      </c>
      <c r="Y211">
        <v>210</v>
      </c>
      <c r="AA211" t="str">
        <f>I211
&amp;IF(H211=I211,""," "&amp;H211)
&amp;IF(OR(R211=I211,R211=H211),""," "&amp;R211)
&amp;IF(R211=S211,""," "&amp;S211)</f>
        <v xml:space="preserve"> Ab G</v>
      </c>
    </row>
    <row r="212" spans="1:27" x14ac:dyDescent="0.25">
      <c r="A212">
        <v>1</v>
      </c>
      <c r="B212">
        <v>2020</v>
      </c>
      <c r="C212" t="s">
        <v>12</v>
      </c>
      <c r="D212">
        <v>10</v>
      </c>
      <c r="E212" t="s">
        <v>339</v>
      </c>
      <c r="F212" t="s">
        <v>23</v>
      </c>
      <c r="L212" s="10">
        <v>7147007</v>
      </c>
      <c r="P212" s="24" t="s">
        <v>340</v>
      </c>
      <c r="Q212">
        <v>70</v>
      </c>
      <c r="R212" t="s">
        <v>52</v>
      </c>
      <c r="S212" t="s">
        <v>52</v>
      </c>
      <c r="U212" t="str">
        <f>IF(AND(ISNUMBER(L212),COUNTIF([2]Songs!$L:$L,L212)&gt;0),"YES","")</f>
        <v/>
      </c>
      <c r="V212" t="str">
        <f>IF(AND(ISNUMBER(L212),COUNTIF([3]Songs!$J:$J,L212)&gt;0),"YES","")</f>
        <v>YES</v>
      </c>
      <c r="W212" t="str">
        <f>IF(AND(ISNUMBER(L212),COUNTIF([1]Songs!$H:$H,L212)&gt;0),"YES","")</f>
        <v/>
      </c>
      <c r="X212" t="s">
        <v>639</v>
      </c>
      <c r="Y212">
        <v>211</v>
      </c>
      <c r="AA212" t="str">
        <f>I212
&amp;IF(H212=I212,""," "&amp;H212)
&amp;IF(OR(R212=I212,R212=H212),""," "&amp;R212)
&amp;IF(R212=S212,""," "&amp;S212)</f>
        <v xml:space="preserve"> A</v>
      </c>
    </row>
    <row r="213" spans="1:27" x14ac:dyDescent="0.25">
      <c r="A213">
        <v>1</v>
      </c>
      <c r="B213">
        <v>2020</v>
      </c>
      <c r="C213" t="s">
        <v>13</v>
      </c>
      <c r="D213">
        <v>1</v>
      </c>
      <c r="E213" t="s">
        <v>341</v>
      </c>
      <c r="F213" t="s">
        <v>23</v>
      </c>
      <c r="L213" s="10">
        <v>4582588</v>
      </c>
      <c r="P213" s="24" t="s">
        <v>1</v>
      </c>
      <c r="Q213">
        <v>72</v>
      </c>
      <c r="R213" t="s">
        <v>28</v>
      </c>
      <c r="S213" t="s">
        <v>52</v>
      </c>
      <c r="U213" t="str">
        <f>IF(AND(ISNUMBER(L213),COUNTIF([2]Songs!$L:$L,L213)&gt;0),"YES","")</f>
        <v/>
      </c>
      <c r="V213" t="str">
        <f>IF(AND(ISNUMBER(L213),COUNTIF([3]Songs!$J:$J,L213)&gt;0),"YES","")</f>
        <v>YES</v>
      </c>
      <c r="W213" t="str">
        <f>IF(AND(ISNUMBER(L213),COUNTIF([1]Songs!$H:$H,L213)&gt;0),"YES","")</f>
        <v/>
      </c>
      <c r="X213" t="s">
        <v>639</v>
      </c>
      <c r="Y213">
        <v>212</v>
      </c>
      <c r="AA213" t="str">
        <f>I213
&amp;IF(H213=I213,""," "&amp;H213)
&amp;IF(OR(R213=I213,R213=H213),""," "&amp;R213)
&amp;IF(R213=S213,""," "&amp;S213)</f>
        <v xml:space="preserve"> Bb A</v>
      </c>
    </row>
    <row r="214" spans="1:27" x14ac:dyDescent="0.25">
      <c r="A214">
        <v>1</v>
      </c>
      <c r="B214">
        <v>2020</v>
      </c>
      <c r="C214" t="s">
        <v>13</v>
      </c>
      <c r="D214">
        <v>2</v>
      </c>
      <c r="E214" t="s">
        <v>342</v>
      </c>
      <c r="F214" t="s">
        <v>23</v>
      </c>
      <c r="L214" s="10">
        <v>7146673</v>
      </c>
      <c r="P214" s="24" t="s">
        <v>343</v>
      </c>
      <c r="Q214">
        <v>62</v>
      </c>
      <c r="R214" t="s">
        <v>28</v>
      </c>
      <c r="S214" t="s">
        <v>52</v>
      </c>
      <c r="U214" t="str">
        <f>IF(AND(ISNUMBER(L214),COUNTIF([2]Songs!$L:$L,L214)&gt;0),"YES","")</f>
        <v/>
      </c>
      <c r="V214" t="str">
        <f>IF(AND(ISNUMBER(L214),COUNTIF([3]Songs!$J:$J,L214)&gt;0),"YES","")</f>
        <v>YES</v>
      </c>
      <c r="W214" t="str">
        <f>IF(AND(ISNUMBER(L214),COUNTIF([1]Songs!$H:$H,L214)&gt;0),"YES","")</f>
        <v/>
      </c>
      <c r="X214" t="s">
        <v>639</v>
      </c>
      <c r="Y214">
        <v>213</v>
      </c>
      <c r="AA214" t="str">
        <f>I214
&amp;IF(H214=I214,""," "&amp;H214)
&amp;IF(OR(R214=I214,R214=H214),""," "&amp;R214)
&amp;IF(R214=S214,""," "&amp;S214)</f>
        <v xml:space="preserve"> Bb A</v>
      </c>
    </row>
    <row r="215" spans="1:27" x14ac:dyDescent="0.25">
      <c r="A215">
        <v>1</v>
      </c>
      <c r="B215">
        <v>2020</v>
      </c>
      <c r="C215" t="s">
        <v>13</v>
      </c>
      <c r="D215">
        <v>3</v>
      </c>
      <c r="E215" t="s">
        <v>344</v>
      </c>
      <c r="F215" t="s">
        <v>23</v>
      </c>
      <c r="L215" s="10">
        <v>7149439</v>
      </c>
      <c r="P215" s="24" t="s">
        <v>345</v>
      </c>
      <c r="Q215">
        <v>86</v>
      </c>
      <c r="R215" t="s">
        <v>28</v>
      </c>
      <c r="S215" t="s">
        <v>52</v>
      </c>
      <c r="U215" t="str">
        <f>IF(AND(ISNUMBER(L215),COUNTIF([2]Songs!$L:$L,L215)&gt;0),"YES","")</f>
        <v/>
      </c>
      <c r="V215" t="str">
        <f>IF(AND(ISNUMBER(L215),COUNTIF([3]Songs!$J:$J,L215)&gt;0),"YES","")</f>
        <v>YES</v>
      </c>
      <c r="W215" t="str">
        <f>IF(AND(ISNUMBER(L215),COUNTIF([1]Songs!$H:$H,L215)&gt;0),"YES","")</f>
        <v/>
      </c>
      <c r="X215" t="s">
        <v>639</v>
      </c>
      <c r="Y215">
        <v>214</v>
      </c>
      <c r="AA215" t="str">
        <f>I215
&amp;IF(H215=I215,""," "&amp;H215)
&amp;IF(OR(R215=I215,R215=H215),""," "&amp;R215)
&amp;IF(R215=S215,""," "&amp;S215)</f>
        <v xml:space="preserve"> Bb A</v>
      </c>
    </row>
    <row r="216" spans="1:27" x14ac:dyDescent="0.25">
      <c r="A216">
        <v>1</v>
      </c>
      <c r="B216">
        <v>2020</v>
      </c>
      <c r="C216" t="s">
        <v>13</v>
      </c>
      <c r="D216">
        <v>4</v>
      </c>
      <c r="E216" t="s">
        <v>346</v>
      </c>
      <c r="F216" t="s">
        <v>23</v>
      </c>
      <c r="L216" s="10">
        <v>7079706</v>
      </c>
      <c r="P216" s="24" t="s">
        <v>347</v>
      </c>
      <c r="Q216">
        <v>58</v>
      </c>
      <c r="R216" t="s">
        <v>31</v>
      </c>
      <c r="S216" t="s">
        <v>31</v>
      </c>
      <c r="U216" t="str">
        <f>IF(AND(ISNUMBER(L216),COUNTIF([2]Songs!$L:$L,L216)&gt;0),"YES","")</f>
        <v/>
      </c>
      <c r="V216" t="str">
        <f>IF(AND(ISNUMBER(L216),COUNTIF([3]Songs!$J:$J,L216)&gt;0),"YES","")</f>
        <v>YES</v>
      </c>
      <c r="W216" t="str">
        <f>IF(AND(ISNUMBER(L216),COUNTIF([1]Songs!$H:$H,L216)&gt;0),"YES","")</f>
        <v/>
      </c>
      <c r="X216" t="s">
        <v>639</v>
      </c>
      <c r="Y216">
        <v>215</v>
      </c>
      <c r="AA216" t="str">
        <f>I216
&amp;IF(H216=I216,""," "&amp;H216)
&amp;IF(OR(R216=I216,R216=H216),""," "&amp;R216)
&amp;IF(R216=S216,""," "&amp;S216)</f>
        <v xml:space="preserve"> B</v>
      </c>
    </row>
    <row r="217" spans="1:27" x14ac:dyDescent="0.25">
      <c r="A217">
        <v>1</v>
      </c>
      <c r="B217">
        <v>2020</v>
      </c>
      <c r="C217" t="s">
        <v>13</v>
      </c>
      <c r="D217">
        <v>5</v>
      </c>
      <c r="E217" t="s">
        <v>348</v>
      </c>
      <c r="F217" t="s">
        <v>23</v>
      </c>
      <c r="L217" s="10">
        <v>7130622</v>
      </c>
      <c r="P217" s="24" t="s">
        <v>349</v>
      </c>
      <c r="Q217">
        <v>66.5</v>
      </c>
      <c r="R217" t="s">
        <v>36</v>
      </c>
      <c r="S217" t="s">
        <v>36</v>
      </c>
      <c r="U217" t="str">
        <f>IF(AND(ISNUMBER(L217),COUNTIF([2]Songs!$L:$L,L217)&gt;0),"YES","")</f>
        <v/>
      </c>
      <c r="V217" t="str">
        <f>IF(AND(ISNUMBER(L217),COUNTIF([3]Songs!$J:$J,L217)&gt;0),"YES","")</f>
        <v>YES</v>
      </c>
      <c r="W217" t="str">
        <f>IF(AND(ISNUMBER(L217),COUNTIF([1]Songs!$H:$H,L217)&gt;0),"YES","")</f>
        <v/>
      </c>
      <c r="X217" t="s">
        <v>639</v>
      </c>
      <c r="Y217">
        <v>216</v>
      </c>
      <c r="AA217" t="str">
        <f>I217
&amp;IF(H217=I217,""," "&amp;H217)
&amp;IF(OR(R217=I217,R217=H217),""," "&amp;R217)
&amp;IF(R217=S217,""," "&amp;S217)</f>
        <v xml:space="preserve"> E</v>
      </c>
    </row>
    <row r="218" spans="1:27" x14ac:dyDescent="0.25">
      <c r="A218">
        <v>1</v>
      </c>
      <c r="B218">
        <v>2020</v>
      </c>
      <c r="C218" t="s">
        <v>13</v>
      </c>
      <c r="D218">
        <v>6</v>
      </c>
      <c r="E218" t="s">
        <v>350</v>
      </c>
      <c r="F218" t="s">
        <v>23</v>
      </c>
      <c r="L218" s="10">
        <v>5942543</v>
      </c>
      <c r="P218" s="24" t="s">
        <v>27</v>
      </c>
      <c r="Q218">
        <v>84</v>
      </c>
      <c r="R218" t="s">
        <v>52</v>
      </c>
      <c r="S218" t="s">
        <v>52</v>
      </c>
      <c r="U218" t="str">
        <f>IF(AND(ISNUMBER(L218),COUNTIF([2]Songs!$L:$L,L218)&gt;0),"YES","")</f>
        <v/>
      </c>
      <c r="V218" t="str">
        <f>IF(AND(ISNUMBER(L218),COUNTIF([3]Songs!$J:$J,L218)&gt;0),"YES","")</f>
        <v>YES</v>
      </c>
      <c r="W218" t="str">
        <f>IF(AND(ISNUMBER(L218),COUNTIF([1]Songs!$H:$H,L218)&gt;0),"YES","")</f>
        <v/>
      </c>
      <c r="X218" t="s">
        <v>639</v>
      </c>
      <c r="Y218">
        <v>217</v>
      </c>
      <c r="AA218" t="str">
        <f>I218
&amp;IF(H218=I218,""," "&amp;H218)
&amp;IF(OR(R218=I218,R218=H218),""," "&amp;R218)
&amp;IF(R218=S218,""," "&amp;S218)</f>
        <v xml:space="preserve"> A</v>
      </c>
    </row>
    <row r="219" spans="1:27" x14ac:dyDescent="0.25">
      <c r="A219">
        <v>1</v>
      </c>
      <c r="B219">
        <v>2020</v>
      </c>
      <c r="C219" t="s">
        <v>13</v>
      </c>
      <c r="D219">
        <v>7</v>
      </c>
      <c r="E219" t="s">
        <v>351</v>
      </c>
      <c r="F219" t="s">
        <v>23</v>
      </c>
      <c r="L219" s="10">
        <v>7126793</v>
      </c>
      <c r="P219" s="24" t="s">
        <v>345</v>
      </c>
      <c r="Q219">
        <v>76</v>
      </c>
      <c r="R219" t="s">
        <v>25</v>
      </c>
      <c r="S219" t="s">
        <v>25</v>
      </c>
      <c r="U219" t="str">
        <f>IF(AND(ISNUMBER(L219),COUNTIF([2]Songs!$L:$L,L219)&gt;0),"YES","")</f>
        <v/>
      </c>
      <c r="V219" t="str">
        <f>IF(AND(ISNUMBER(L219),COUNTIF([3]Songs!$J:$J,L219)&gt;0),"YES","")</f>
        <v>YES</v>
      </c>
      <c r="W219" t="str">
        <f>IF(AND(ISNUMBER(L219),COUNTIF([1]Songs!$H:$H,L219)&gt;0),"YES","")</f>
        <v/>
      </c>
      <c r="X219" t="s">
        <v>639</v>
      </c>
      <c r="Y219">
        <v>218</v>
      </c>
      <c r="AA219" t="str">
        <f>I219
&amp;IF(H219=I219,""," "&amp;H219)
&amp;IF(OR(R219=I219,R219=H219),""," "&amp;R219)
&amp;IF(R219=S219,""," "&amp;S219)</f>
        <v xml:space="preserve"> G</v>
      </c>
    </row>
    <row r="220" spans="1:27" x14ac:dyDescent="0.25">
      <c r="A220">
        <v>1</v>
      </c>
      <c r="B220">
        <v>2020</v>
      </c>
      <c r="C220" t="s">
        <v>13</v>
      </c>
      <c r="D220">
        <v>8</v>
      </c>
      <c r="E220" t="s">
        <v>352</v>
      </c>
      <c r="F220" t="s">
        <v>23</v>
      </c>
      <c r="L220" s="10">
        <v>7153516</v>
      </c>
      <c r="P220" s="24" t="s">
        <v>345</v>
      </c>
      <c r="Q220">
        <v>70.5</v>
      </c>
      <c r="R220" t="s">
        <v>176</v>
      </c>
      <c r="S220" t="s">
        <v>176</v>
      </c>
      <c r="U220" t="str">
        <f>IF(AND(ISNUMBER(L220),COUNTIF([2]Songs!$L:$L,L220)&gt;0),"YES","")</f>
        <v/>
      </c>
      <c r="V220" t="str">
        <f>IF(AND(ISNUMBER(L220),COUNTIF([3]Songs!$J:$J,L220)&gt;0),"YES","")</f>
        <v>YES</v>
      </c>
      <c r="W220" t="str">
        <f>IF(AND(ISNUMBER(L220),COUNTIF([1]Songs!$H:$H,L220)&gt;0),"YES","")</f>
        <v/>
      </c>
      <c r="X220" t="s">
        <v>639</v>
      </c>
      <c r="Y220">
        <v>219</v>
      </c>
      <c r="AA220" t="str">
        <f>I220
&amp;IF(H220=I220,""," "&amp;H220)
&amp;IF(OR(R220=I220,R220=H220),""," "&amp;R220)
&amp;IF(R220=S220,""," "&amp;S220)</f>
        <v xml:space="preserve"> F</v>
      </c>
    </row>
    <row r="221" spans="1:27" x14ac:dyDescent="0.25">
      <c r="A221">
        <v>1</v>
      </c>
      <c r="B221">
        <v>2020</v>
      </c>
      <c r="C221" t="s">
        <v>13</v>
      </c>
      <c r="D221">
        <v>9</v>
      </c>
      <c r="E221" t="s">
        <v>353</v>
      </c>
      <c r="F221" t="s">
        <v>23</v>
      </c>
      <c r="L221" s="10">
        <v>6472799</v>
      </c>
      <c r="P221" s="24" t="s">
        <v>354</v>
      </c>
      <c r="Q221">
        <v>79</v>
      </c>
      <c r="R221" t="s">
        <v>47</v>
      </c>
      <c r="S221" t="s">
        <v>47</v>
      </c>
      <c r="U221" t="str">
        <f>IF(AND(ISNUMBER(L221),COUNTIF([2]Songs!$L:$L,L221)&gt;0),"YES","")</f>
        <v/>
      </c>
      <c r="V221" t="str">
        <f>IF(AND(ISNUMBER(L221),COUNTIF([3]Songs!$J:$J,L221)&gt;0),"YES","")</f>
        <v>YES</v>
      </c>
      <c r="W221" t="str">
        <f>IF(AND(ISNUMBER(L221),COUNTIF([1]Songs!$H:$H,L221)&gt;0),"YES","")</f>
        <v/>
      </c>
      <c r="X221" t="s">
        <v>639</v>
      </c>
      <c r="Y221">
        <v>220</v>
      </c>
      <c r="AA221" t="str">
        <f>I221
&amp;IF(H221=I221,""," "&amp;H221)
&amp;IF(OR(R221=I221,R221=H221),""," "&amp;R221)
&amp;IF(R221=S221,""," "&amp;S221)</f>
        <v xml:space="preserve"> C</v>
      </c>
    </row>
    <row r="222" spans="1:27" x14ac:dyDescent="0.25">
      <c r="A222">
        <v>1</v>
      </c>
      <c r="B222">
        <v>2020</v>
      </c>
      <c r="C222" t="s">
        <v>13</v>
      </c>
      <c r="D222">
        <v>10</v>
      </c>
      <c r="E222" t="s">
        <v>355</v>
      </c>
      <c r="F222" t="s">
        <v>23</v>
      </c>
      <c r="L222" s="10">
        <v>7068421</v>
      </c>
      <c r="P222" s="24" t="s">
        <v>220</v>
      </c>
      <c r="Q222">
        <v>70</v>
      </c>
      <c r="R222" t="s">
        <v>25</v>
      </c>
      <c r="S222" t="s">
        <v>25</v>
      </c>
      <c r="U222" t="str">
        <f>IF(AND(ISNUMBER(L222),COUNTIF([2]Songs!$L:$L,L222)&gt;0),"YES","")</f>
        <v/>
      </c>
      <c r="V222" t="str">
        <f>IF(AND(ISNUMBER(L222),COUNTIF([3]Songs!$J:$J,L222)&gt;0),"YES","")</f>
        <v>YES</v>
      </c>
      <c r="W222" t="str">
        <f>IF(AND(ISNUMBER(L222),COUNTIF([1]Songs!$H:$H,L222)&gt;0),"YES","")</f>
        <v>YES</v>
      </c>
      <c r="X222" t="s">
        <v>639</v>
      </c>
      <c r="Y222">
        <v>221</v>
      </c>
      <c r="AA222" t="str">
        <f>I222
&amp;IF(H222=I222,""," "&amp;H222)
&amp;IF(OR(R222=I222,R222=H222),""," "&amp;R222)
&amp;IF(R222=S222,""," "&amp;S222)</f>
        <v xml:space="preserve"> G</v>
      </c>
    </row>
    <row r="223" spans="1:27" x14ac:dyDescent="0.25">
      <c r="A223">
        <v>1</v>
      </c>
      <c r="B223">
        <v>2020</v>
      </c>
      <c r="C223" t="s">
        <v>13</v>
      </c>
      <c r="D223">
        <v>11</v>
      </c>
      <c r="E223" t="s">
        <v>356</v>
      </c>
      <c r="F223" t="s">
        <v>23</v>
      </c>
      <c r="L223" s="10">
        <v>7151239</v>
      </c>
      <c r="P223" s="24" t="s">
        <v>343</v>
      </c>
      <c r="Q223">
        <v>68</v>
      </c>
      <c r="R223" t="s">
        <v>39</v>
      </c>
      <c r="S223" t="s">
        <v>39</v>
      </c>
      <c r="U223" t="str">
        <f>IF(AND(ISNUMBER(L223),COUNTIF([2]Songs!$L:$L,L223)&gt;0),"YES","")</f>
        <v/>
      </c>
      <c r="V223" t="str">
        <f>IF(AND(ISNUMBER(L223),COUNTIF([3]Songs!$J:$J,L223)&gt;0),"YES","")</f>
        <v>YES</v>
      </c>
      <c r="W223" t="str">
        <f>IF(AND(ISNUMBER(L223),COUNTIF([1]Songs!$H:$H,L223)&gt;0),"YES","")</f>
        <v/>
      </c>
      <c r="X223" t="s">
        <v>639</v>
      </c>
      <c r="Y223">
        <v>222</v>
      </c>
      <c r="AA223" t="str">
        <f>I223
&amp;IF(H223=I223,""," "&amp;H223)
&amp;IF(OR(R223=I223,R223=H223),""," "&amp;R223)
&amp;IF(R223=S223,""," "&amp;S223)</f>
        <v xml:space="preserve"> D</v>
      </c>
    </row>
    <row r="224" spans="1:27" x14ac:dyDescent="0.25">
      <c r="A224">
        <v>1</v>
      </c>
      <c r="B224">
        <v>2020</v>
      </c>
      <c r="C224" t="s">
        <v>14</v>
      </c>
      <c r="D224">
        <v>1</v>
      </c>
      <c r="E224" t="s">
        <v>936</v>
      </c>
      <c r="F224" t="s">
        <v>23</v>
      </c>
      <c r="S224" t="s">
        <v>23</v>
      </c>
      <c r="T224" t="s">
        <v>481</v>
      </c>
      <c r="U224" t="str">
        <f>IF(AND(ISNUMBER(L224),COUNTIF([2]Songs!$L:$L,L224)&gt;0),"YES","")</f>
        <v/>
      </c>
      <c r="V224" t="str">
        <f>IF(AND(ISNUMBER(L224),COUNTIF([3]Songs!$J:$J,L224)&gt;0),"YES","")</f>
        <v/>
      </c>
      <c r="W224" t="str">
        <f>IF(AND(ISNUMBER(L224),COUNTIF([1]Songs!$H:$H,L224)&gt;0),"YES","")</f>
        <v/>
      </c>
      <c r="X224" t="s">
        <v>639</v>
      </c>
      <c r="Y224">
        <v>223</v>
      </c>
      <c r="AA224" t="str">
        <f>I224
&amp;IF(H224=I224,""," "&amp;H224)
&amp;IF(OR(R224=I224,R224=H224),""," "&amp;R224)
&amp;IF(R224=S224,""," "&amp;S224)</f>
        <v/>
      </c>
    </row>
    <row r="225" spans="1:27" x14ac:dyDescent="0.25">
      <c r="A225">
        <v>1</v>
      </c>
      <c r="B225">
        <v>2020</v>
      </c>
      <c r="C225" t="s">
        <v>14</v>
      </c>
      <c r="D225">
        <v>2</v>
      </c>
      <c r="E225" t="s">
        <v>357</v>
      </c>
      <c r="F225" t="s">
        <v>23</v>
      </c>
      <c r="L225" s="10">
        <v>7133494</v>
      </c>
      <c r="P225" s="24" t="s">
        <v>358</v>
      </c>
      <c r="Q225">
        <v>68.5</v>
      </c>
      <c r="R225" t="s">
        <v>176</v>
      </c>
      <c r="S225" t="s">
        <v>176</v>
      </c>
      <c r="U225" t="str">
        <f>IF(AND(ISNUMBER(L225),COUNTIF([2]Songs!$L:$L,L225)&gt;0),"YES","")</f>
        <v/>
      </c>
      <c r="V225" t="str">
        <f>IF(AND(ISNUMBER(L225),COUNTIF([3]Songs!$J:$J,L225)&gt;0),"YES","")</f>
        <v>YES</v>
      </c>
      <c r="W225" t="str">
        <f>IF(AND(ISNUMBER(L225),COUNTIF([1]Songs!$H:$H,L225)&gt;0),"YES","")</f>
        <v/>
      </c>
      <c r="X225" t="s">
        <v>639</v>
      </c>
      <c r="Y225">
        <v>224</v>
      </c>
      <c r="AA225" t="str">
        <f>I225
&amp;IF(H225=I225,""," "&amp;H225)
&amp;IF(OR(R225=I225,R225=H225),""," "&amp;R225)
&amp;IF(R225=S225,""," "&amp;S225)</f>
        <v xml:space="preserve"> F</v>
      </c>
    </row>
    <row r="226" spans="1:27" x14ac:dyDescent="0.25">
      <c r="A226">
        <v>1</v>
      </c>
      <c r="B226">
        <v>2020</v>
      </c>
      <c r="C226" t="s">
        <v>14</v>
      </c>
      <c r="D226">
        <v>3</v>
      </c>
      <c r="E226" t="s">
        <v>359</v>
      </c>
      <c r="F226" t="s">
        <v>23</v>
      </c>
      <c r="L226" s="10">
        <v>7125876</v>
      </c>
      <c r="P226" s="24" t="s">
        <v>360</v>
      </c>
      <c r="Q226">
        <v>77</v>
      </c>
      <c r="R226" t="s">
        <v>39</v>
      </c>
      <c r="S226" t="s">
        <v>39</v>
      </c>
      <c r="U226" t="str">
        <f>IF(AND(ISNUMBER(L226),COUNTIF([2]Songs!$L:$L,L226)&gt;0),"YES","")</f>
        <v/>
      </c>
      <c r="V226" t="str">
        <f>IF(AND(ISNUMBER(L226),COUNTIF([3]Songs!$J:$J,L226)&gt;0),"YES","")</f>
        <v>YES</v>
      </c>
      <c r="W226" t="str">
        <f>IF(AND(ISNUMBER(L226),COUNTIF([1]Songs!$H:$H,L226)&gt;0),"YES","")</f>
        <v/>
      </c>
      <c r="X226" t="s">
        <v>639</v>
      </c>
      <c r="Y226">
        <v>225</v>
      </c>
      <c r="AA226" t="str">
        <f>I226
&amp;IF(H226=I226,""," "&amp;H226)
&amp;IF(OR(R226=I226,R226=H226),""," "&amp;R226)
&amp;IF(R226=S226,""," "&amp;S226)</f>
        <v xml:space="preserve"> D</v>
      </c>
    </row>
    <row r="227" spans="1:27" x14ac:dyDescent="0.25">
      <c r="A227">
        <v>1</v>
      </c>
      <c r="B227">
        <v>2020</v>
      </c>
      <c r="C227" t="s">
        <v>14</v>
      </c>
      <c r="D227">
        <v>4</v>
      </c>
      <c r="E227" t="s">
        <v>937</v>
      </c>
      <c r="F227" t="s">
        <v>23</v>
      </c>
      <c r="S227" t="s">
        <v>23</v>
      </c>
      <c r="T227" t="s">
        <v>481</v>
      </c>
      <c r="U227" t="str">
        <f>IF(AND(ISNUMBER(L227),COUNTIF([2]Songs!$L:$L,L227)&gt;0),"YES","")</f>
        <v/>
      </c>
      <c r="V227" t="str">
        <f>IF(AND(ISNUMBER(L227),COUNTIF([3]Songs!$J:$J,L227)&gt;0),"YES","")</f>
        <v/>
      </c>
      <c r="W227" t="str">
        <f>IF(AND(ISNUMBER(L227),COUNTIF([1]Songs!$H:$H,L227)&gt;0),"YES","")</f>
        <v/>
      </c>
      <c r="X227" t="s">
        <v>639</v>
      </c>
      <c r="Y227">
        <v>226</v>
      </c>
      <c r="AA227" t="str">
        <f>I227
&amp;IF(H227=I227,""," "&amp;H227)
&amp;IF(OR(R227=I227,R227=H227),""," "&amp;R227)
&amp;IF(R227=S227,""," "&amp;S227)</f>
        <v/>
      </c>
    </row>
    <row r="228" spans="1:27" x14ac:dyDescent="0.25">
      <c r="A228">
        <v>1</v>
      </c>
      <c r="B228">
        <v>2020</v>
      </c>
      <c r="C228" t="s">
        <v>14</v>
      </c>
      <c r="D228">
        <v>5</v>
      </c>
      <c r="E228" t="s">
        <v>361</v>
      </c>
      <c r="F228" t="s">
        <v>23</v>
      </c>
      <c r="L228" s="10">
        <v>7108656</v>
      </c>
      <c r="P228" s="24" t="s">
        <v>362</v>
      </c>
      <c r="Q228">
        <v>68</v>
      </c>
      <c r="R228" t="s">
        <v>28</v>
      </c>
      <c r="S228" t="s">
        <v>52</v>
      </c>
      <c r="U228" t="str">
        <f>IF(AND(ISNUMBER(L228),COUNTIF([2]Songs!$L:$L,L228)&gt;0),"YES","")</f>
        <v/>
      </c>
      <c r="V228" t="str">
        <f>IF(AND(ISNUMBER(L228),COUNTIF([3]Songs!$J:$J,L228)&gt;0),"YES","")</f>
        <v>YES</v>
      </c>
      <c r="W228" t="str">
        <f>IF(AND(ISNUMBER(L228),COUNTIF([1]Songs!$H:$H,L228)&gt;0),"YES","")</f>
        <v/>
      </c>
      <c r="X228" t="s">
        <v>639</v>
      </c>
      <c r="Y228">
        <v>227</v>
      </c>
      <c r="AA228" t="str">
        <f>I228
&amp;IF(H228=I228,""," "&amp;H228)
&amp;IF(OR(R228=I228,R228=H228),""," "&amp;R228)
&amp;IF(R228=S228,""," "&amp;S228)</f>
        <v xml:space="preserve"> Bb A</v>
      </c>
    </row>
    <row r="229" spans="1:27" x14ac:dyDescent="0.25">
      <c r="A229">
        <v>1</v>
      </c>
      <c r="B229">
        <v>2020</v>
      </c>
      <c r="C229" t="s">
        <v>14</v>
      </c>
      <c r="D229">
        <v>6</v>
      </c>
      <c r="E229" t="s">
        <v>363</v>
      </c>
      <c r="F229" t="s">
        <v>23</v>
      </c>
      <c r="L229" s="10">
        <v>19007</v>
      </c>
      <c r="P229" s="24" t="s">
        <v>364</v>
      </c>
      <c r="Q229">
        <v>69</v>
      </c>
      <c r="R229" t="s">
        <v>176</v>
      </c>
      <c r="S229" t="s">
        <v>176</v>
      </c>
      <c r="U229" t="str">
        <f>IF(AND(ISNUMBER(L229),COUNTIF([2]Songs!$L:$L,L229)&gt;0),"YES","")</f>
        <v/>
      </c>
      <c r="V229" t="str">
        <f>IF(AND(ISNUMBER(L229),COUNTIF([3]Songs!$J:$J,L229)&gt;0),"YES","")</f>
        <v>YES</v>
      </c>
      <c r="W229" t="str">
        <f>IF(AND(ISNUMBER(L229),COUNTIF([1]Songs!$H:$H,L229)&gt;0),"YES","")</f>
        <v/>
      </c>
      <c r="X229" t="s">
        <v>639</v>
      </c>
      <c r="Y229">
        <v>228</v>
      </c>
      <c r="AA229" t="str">
        <f>I229
&amp;IF(H229=I229,""," "&amp;H229)
&amp;IF(OR(R229=I229,R229=H229),""," "&amp;R229)
&amp;IF(R229=S229,""," "&amp;S229)</f>
        <v xml:space="preserve"> F</v>
      </c>
    </row>
    <row r="230" spans="1:27" x14ac:dyDescent="0.25">
      <c r="A230">
        <v>1</v>
      </c>
      <c r="B230">
        <v>2020</v>
      </c>
      <c r="C230" t="s">
        <v>14</v>
      </c>
      <c r="D230">
        <v>7</v>
      </c>
      <c r="E230" t="s">
        <v>938</v>
      </c>
      <c r="F230" t="s">
        <v>23</v>
      </c>
      <c r="S230" t="s">
        <v>23</v>
      </c>
      <c r="T230" t="s">
        <v>481</v>
      </c>
      <c r="U230" t="str">
        <f>IF(AND(ISNUMBER(L230),COUNTIF([2]Songs!$L:$L,L230)&gt;0),"YES","")</f>
        <v/>
      </c>
      <c r="V230" t="str">
        <f>IF(AND(ISNUMBER(L230),COUNTIF([3]Songs!$J:$J,L230)&gt;0),"YES","")</f>
        <v/>
      </c>
      <c r="W230" t="str">
        <f>IF(AND(ISNUMBER(L230),COUNTIF([1]Songs!$H:$H,L230)&gt;0),"YES","")</f>
        <v/>
      </c>
      <c r="X230" t="s">
        <v>639</v>
      </c>
      <c r="Y230">
        <v>229</v>
      </c>
      <c r="AA230" t="str">
        <f>I230
&amp;IF(H230=I230,""," "&amp;H230)
&amp;IF(OR(R230=I230,R230=H230),""," "&amp;R230)
&amp;IF(R230=S230,""," "&amp;S230)</f>
        <v/>
      </c>
    </row>
    <row r="231" spans="1:27" x14ac:dyDescent="0.25">
      <c r="A231">
        <v>1</v>
      </c>
      <c r="B231">
        <v>2020</v>
      </c>
      <c r="C231" t="s">
        <v>14</v>
      </c>
      <c r="D231">
        <v>8</v>
      </c>
      <c r="E231" t="s">
        <v>561</v>
      </c>
      <c r="F231" t="s">
        <v>23</v>
      </c>
      <c r="S231" t="s">
        <v>23</v>
      </c>
      <c r="T231" t="s">
        <v>481</v>
      </c>
      <c r="U231" t="str">
        <f>IF(AND(ISNUMBER(L231),COUNTIF([2]Songs!$L:$L,L231)&gt;0),"YES","")</f>
        <v/>
      </c>
      <c r="V231" t="str">
        <f>IF(AND(ISNUMBER(L231),COUNTIF([3]Songs!$J:$J,L231)&gt;0),"YES","")</f>
        <v/>
      </c>
      <c r="W231" t="str">
        <f>IF(AND(ISNUMBER(L231),COUNTIF([1]Songs!$H:$H,L231)&gt;0),"YES","")</f>
        <v/>
      </c>
      <c r="X231" t="s">
        <v>639</v>
      </c>
      <c r="Y231">
        <v>230</v>
      </c>
      <c r="AA231" t="str">
        <f>I231
&amp;IF(H231=I231,""," "&amp;H231)
&amp;IF(OR(R231=I231,R231=H231),""," "&amp;R231)
&amp;IF(R231=S231,""," "&amp;S231)</f>
        <v/>
      </c>
    </row>
    <row r="232" spans="1:27" x14ac:dyDescent="0.25">
      <c r="A232">
        <v>1</v>
      </c>
      <c r="B232">
        <v>2020</v>
      </c>
      <c r="C232" t="s">
        <v>14</v>
      </c>
      <c r="D232">
        <v>9</v>
      </c>
      <c r="E232" t="s">
        <v>939</v>
      </c>
      <c r="F232" t="s">
        <v>23</v>
      </c>
      <c r="S232" t="s">
        <v>23</v>
      </c>
      <c r="T232" t="s">
        <v>481</v>
      </c>
      <c r="U232" t="str">
        <f>IF(AND(ISNUMBER(L232),COUNTIF([2]Songs!$L:$L,L232)&gt;0),"YES","")</f>
        <v/>
      </c>
      <c r="V232" t="str">
        <f>IF(AND(ISNUMBER(L232),COUNTIF([3]Songs!$J:$J,L232)&gt;0),"YES","")</f>
        <v/>
      </c>
      <c r="W232" t="str">
        <f>IF(AND(ISNUMBER(L232),COUNTIF([1]Songs!$H:$H,L232)&gt;0),"YES","")</f>
        <v/>
      </c>
      <c r="X232" t="s">
        <v>639</v>
      </c>
      <c r="Y232">
        <v>231</v>
      </c>
      <c r="AA232" t="str">
        <f>I232
&amp;IF(H232=I232,""," "&amp;H232)
&amp;IF(OR(R232=I232,R232=H232),""," "&amp;R232)
&amp;IF(R232=S232,""," "&amp;S232)</f>
        <v/>
      </c>
    </row>
    <row r="233" spans="1:27" x14ac:dyDescent="0.25">
      <c r="A233">
        <v>1</v>
      </c>
      <c r="B233">
        <v>2020</v>
      </c>
      <c r="C233" t="s">
        <v>14</v>
      </c>
      <c r="D233">
        <v>10</v>
      </c>
      <c r="E233" t="s">
        <v>940</v>
      </c>
      <c r="F233" t="s">
        <v>23</v>
      </c>
      <c r="S233" t="s">
        <v>23</v>
      </c>
      <c r="T233" t="s">
        <v>481</v>
      </c>
      <c r="U233" t="str">
        <f>IF(AND(ISNUMBER(L233),COUNTIF([2]Songs!$L:$L,L233)&gt;0),"YES","")</f>
        <v/>
      </c>
      <c r="V233" t="str">
        <f>IF(AND(ISNUMBER(L233),COUNTIF([3]Songs!$J:$J,L233)&gt;0),"YES","")</f>
        <v/>
      </c>
      <c r="W233" t="str">
        <f>IF(AND(ISNUMBER(L233),COUNTIF([1]Songs!$H:$H,L233)&gt;0),"YES","")</f>
        <v/>
      </c>
      <c r="X233" t="s">
        <v>639</v>
      </c>
      <c r="Y233">
        <v>232</v>
      </c>
      <c r="AA233" t="str">
        <f>I233
&amp;IF(H233=I233,""," "&amp;H233)
&amp;IF(OR(R233=I233,R233=H233),""," "&amp;R233)
&amp;IF(R233=S233,""," "&amp;S233)</f>
        <v/>
      </c>
    </row>
    <row r="234" spans="1:27" x14ac:dyDescent="0.25">
      <c r="A234">
        <v>2</v>
      </c>
      <c r="B234">
        <v>2018</v>
      </c>
      <c r="C234" t="s">
        <v>15</v>
      </c>
      <c r="D234">
        <v>1</v>
      </c>
      <c r="E234" t="s">
        <v>482</v>
      </c>
      <c r="F234" t="s">
        <v>23</v>
      </c>
      <c r="G234" t="s">
        <v>817</v>
      </c>
      <c r="H234" s="3" t="s">
        <v>25</v>
      </c>
      <c r="I234" s="3" t="s">
        <v>25</v>
      </c>
      <c r="J234" s="4">
        <v>90</v>
      </c>
      <c r="K234" s="5" t="s">
        <v>371</v>
      </c>
      <c r="L234" s="10">
        <v>22609</v>
      </c>
      <c r="M234" s="4">
        <v>1882</v>
      </c>
      <c r="N234" s="6" t="s">
        <v>401</v>
      </c>
      <c r="O234" t="s">
        <v>92</v>
      </c>
      <c r="P234" s="24" t="s">
        <v>70</v>
      </c>
      <c r="Q234">
        <v>102</v>
      </c>
      <c r="R234" t="s">
        <v>39</v>
      </c>
      <c r="S234" t="s">
        <v>23</v>
      </c>
      <c r="U234" t="str">
        <f>IF(AND(ISNUMBER(L234),COUNTIF([2]Songs!$L:$L,L234)&gt;0),"YES","")</f>
        <v>YES</v>
      </c>
      <c r="V234" t="str">
        <f>IF(AND(ISNUMBER(L234),COUNTIF([3]Songs!$J:$J,L234)&gt;0),"YES","")</f>
        <v>YES</v>
      </c>
      <c r="W234" t="str">
        <f>IF(AND(ISNUMBER(L234),COUNTIF([1]Songs!$H:$H,L234)&gt;0),"YES","")</f>
        <v/>
      </c>
      <c r="X234" t="s">
        <v>640</v>
      </c>
      <c r="Y234">
        <v>1</v>
      </c>
      <c r="AA234" t="str">
        <f>I234
&amp;IF(H234=I234,""," "&amp;H234)
&amp;IF(OR(R234=I234,R234=H234),""," "&amp;R234)
&amp;IF(R234=S234,""," "&amp;S234)</f>
        <v xml:space="preserve">G D </v>
      </c>
    </row>
    <row r="235" spans="1:27" x14ac:dyDescent="0.25">
      <c r="A235">
        <v>2</v>
      </c>
      <c r="B235">
        <v>2018</v>
      </c>
      <c r="C235" t="s">
        <v>15</v>
      </c>
      <c r="D235">
        <v>2</v>
      </c>
      <c r="E235" t="s">
        <v>483</v>
      </c>
      <c r="F235" t="s">
        <v>23</v>
      </c>
      <c r="G235" t="s">
        <v>728</v>
      </c>
      <c r="H235" s="3" t="s">
        <v>31</v>
      </c>
      <c r="I235" s="3" t="s">
        <v>28</v>
      </c>
      <c r="J235" s="4">
        <v>48</v>
      </c>
      <c r="K235" s="4" t="s">
        <v>371</v>
      </c>
      <c r="L235" s="9">
        <v>14181</v>
      </c>
      <c r="M235" s="4">
        <v>1953</v>
      </c>
      <c r="N235" s="4" t="s">
        <v>729</v>
      </c>
      <c r="O235" t="s">
        <v>92</v>
      </c>
      <c r="P235" s="24" t="s">
        <v>70</v>
      </c>
      <c r="Q235">
        <v>58</v>
      </c>
      <c r="R235" t="s">
        <v>39</v>
      </c>
      <c r="S235" t="s">
        <v>23</v>
      </c>
      <c r="U235" t="str">
        <f>IF(AND(ISNUMBER(L235),COUNTIF([2]Songs!$L:$L,L235)&gt;0),"YES","")</f>
        <v>YES</v>
      </c>
      <c r="V235" t="str">
        <f>IF(AND(ISNUMBER(L235),COUNTIF([3]Songs!$J:$J,L235)&gt;0),"YES","")</f>
        <v>YES</v>
      </c>
      <c r="W235" t="str">
        <f>IF(AND(ISNUMBER(L235),COUNTIF([1]Songs!$H:$H,L235)&gt;0),"YES","")</f>
        <v/>
      </c>
      <c r="X235" t="s">
        <v>640</v>
      </c>
      <c r="Y235">
        <v>2</v>
      </c>
      <c r="AA235" t="str">
        <f>I235
&amp;IF(H235=I235,""," "&amp;H235)
&amp;IF(OR(R235=I235,R235=H235),""," "&amp;R235)
&amp;IF(R235=S235,""," "&amp;S235)</f>
        <v xml:space="preserve">Bb B D </v>
      </c>
    </row>
    <row r="236" spans="1:27" x14ac:dyDescent="0.25">
      <c r="A236">
        <v>2</v>
      </c>
      <c r="B236">
        <v>2018</v>
      </c>
      <c r="C236" t="s">
        <v>15</v>
      </c>
      <c r="D236">
        <v>3</v>
      </c>
      <c r="E236" t="s">
        <v>484</v>
      </c>
      <c r="F236" t="s">
        <v>23</v>
      </c>
      <c r="L236" s="10" t="s">
        <v>327</v>
      </c>
      <c r="P236" s="24" t="s">
        <v>70</v>
      </c>
      <c r="Q236">
        <v>72</v>
      </c>
      <c r="R236" t="s">
        <v>39</v>
      </c>
      <c r="S236" t="s">
        <v>23</v>
      </c>
      <c r="U236" t="str">
        <f>IF(AND(ISNUMBER(L236),COUNTIF([2]Songs!$L:$L,L236)&gt;0),"YES","")</f>
        <v/>
      </c>
      <c r="V236" t="str">
        <f>IF(AND(ISNUMBER(L236),COUNTIF([3]Songs!$J:$J,L236)&gt;0),"YES","")</f>
        <v/>
      </c>
      <c r="W236" t="str">
        <f>IF(AND(ISNUMBER(L236),COUNTIF([1]Songs!$H:$H,L236)&gt;0),"YES","")</f>
        <v/>
      </c>
      <c r="X236" t="s">
        <v>640</v>
      </c>
      <c r="Y236">
        <v>3</v>
      </c>
      <c r="AA236" t="str">
        <f>I236
&amp;IF(H236=I236,""," "&amp;H236)
&amp;IF(OR(R236=I236,R236=H236),""," "&amp;R236)
&amp;IF(R236=S236,""," "&amp;S236)</f>
        <v xml:space="preserve"> D </v>
      </c>
    </row>
    <row r="237" spans="1:27" x14ac:dyDescent="0.25">
      <c r="A237">
        <v>2</v>
      </c>
      <c r="B237">
        <v>2018</v>
      </c>
      <c r="C237" t="s">
        <v>15</v>
      </c>
      <c r="D237">
        <v>4</v>
      </c>
      <c r="E237" t="s">
        <v>40</v>
      </c>
      <c r="F237" t="s">
        <v>924</v>
      </c>
      <c r="L237" s="10">
        <v>7029505</v>
      </c>
      <c r="P237" s="24" t="s">
        <v>70</v>
      </c>
      <c r="Q237">
        <v>65</v>
      </c>
      <c r="R237" t="s">
        <v>39</v>
      </c>
      <c r="S237" t="s">
        <v>23</v>
      </c>
      <c r="U237" t="str">
        <f>IF(AND(ISNUMBER(L237),COUNTIF([2]Songs!$L:$L,L237)&gt;0),"YES","")</f>
        <v/>
      </c>
      <c r="V237" t="str">
        <f>IF(AND(ISNUMBER(L237),COUNTIF([3]Songs!$J:$J,L237)&gt;0),"YES","")</f>
        <v>YES</v>
      </c>
      <c r="W237" t="str">
        <f>IF(AND(ISNUMBER(L237),COUNTIF([1]Songs!$H:$H,L237)&gt;0),"YES","")</f>
        <v/>
      </c>
      <c r="X237" t="s">
        <v>640</v>
      </c>
      <c r="Y237">
        <v>4</v>
      </c>
      <c r="AA237" t="str">
        <f>I237
&amp;IF(H237=I237,""," "&amp;H237)
&amp;IF(OR(R237=I237,R237=H237),""," "&amp;R237)
&amp;IF(R237=S237,""," "&amp;S237)</f>
        <v xml:space="preserve"> D </v>
      </c>
    </row>
    <row r="238" spans="1:27" x14ac:dyDescent="0.25">
      <c r="A238">
        <v>2</v>
      </c>
      <c r="B238">
        <v>2018</v>
      </c>
      <c r="C238" t="s">
        <v>15</v>
      </c>
      <c r="D238">
        <v>5</v>
      </c>
      <c r="E238" t="s">
        <v>485</v>
      </c>
      <c r="F238" t="s">
        <v>23</v>
      </c>
      <c r="G238" t="s">
        <v>766</v>
      </c>
      <c r="H238" s="3" t="s">
        <v>52</v>
      </c>
      <c r="I238" s="3" t="s">
        <v>52</v>
      </c>
      <c r="J238" s="4">
        <v>69</v>
      </c>
      <c r="K238" s="5" t="s">
        <v>371</v>
      </c>
      <c r="L238" s="10">
        <v>7063694</v>
      </c>
      <c r="M238" s="4">
        <v>2016</v>
      </c>
      <c r="N238" s="4" t="s">
        <v>436</v>
      </c>
      <c r="O238" t="s">
        <v>944</v>
      </c>
      <c r="P238" s="24" t="s">
        <v>895</v>
      </c>
      <c r="Q238">
        <v>66</v>
      </c>
      <c r="R238" t="s">
        <v>47</v>
      </c>
      <c r="S238" t="s">
        <v>23</v>
      </c>
      <c r="U238" t="str">
        <f>IF(AND(ISNUMBER(L238),COUNTIF([2]Songs!$L:$L,L238)&gt;0),"YES","")</f>
        <v>YES</v>
      </c>
      <c r="V238" t="str">
        <f>IF(AND(ISNUMBER(L238),COUNTIF([3]Songs!$J:$J,L238)&gt;0),"YES","")</f>
        <v>YES</v>
      </c>
      <c r="W238" t="str">
        <f>IF(AND(ISNUMBER(L238),COUNTIF([1]Songs!$H:$H,L238)&gt;0),"YES","")</f>
        <v/>
      </c>
      <c r="X238" t="s">
        <v>640</v>
      </c>
      <c r="Y238">
        <v>5</v>
      </c>
      <c r="AA238" t="str">
        <f>I238
&amp;IF(H238=I238,""," "&amp;H238)
&amp;IF(OR(R238=I238,R238=H238),""," "&amp;R238)
&amp;IF(R238=S238,""," "&amp;S238)</f>
        <v xml:space="preserve">A C </v>
      </c>
    </row>
    <row r="239" spans="1:27" x14ac:dyDescent="0.25">
      <c r="A239">
        <v>2</v>
      </c>
      <c r="B239">
        <v>2018</v>
      </c>
      <c r="C239" t="s">
        <v>15</v>
      </c>
      <c r="D239">
        <v>6</v>
      </c>
      <c r="E239" t="s">
        <v>925</v>
      </c>
      <c r="F239" t="s">
        <v>926</v>
      </c>
      <c r="L239" s="10">
        <v>7118356</v>
      </c>
      <c r="P239" s="24" t="s">
        <v>70</v>
      </c>
      <c r="Q239">
        <v>73</v>
      </c>
      <c r="R239" t="s">
        <v>47</v>
      </c>
      <c r="S239" t="s">
        <v>23</v>
      </c>
      <c r="U239" t="str">
        <f>IF(AND(ISNUMBER(L239),COUNTIF([2]Songs!$L:$L,L239)&gt;0),"YES","")</f>
        <v/>
      </c>
      <c r="V239" t="str">
        <f>IF(AND(ISNUMBER(L239),COUNTIF([3]Songs!$J:$J,L239)&gt;0),"YES","")</f>
        <v>YES</v>
      </c>
      <c r="W239" t="str">
        <f>IF(AND(ISNUMBER(L239),COUNTIF([1]Songs!$H:$H,L239)&gt;0),"YES","")</f>
        <v/>
      </c>
      <c r="X239" t="s">
        <v>640</v>
      </c>
      <c r="Y239">
        <v>6</v>
      </c>
      <c r="AA239" t="str">
        <f>I239
&amp;IF(H239=I239,""," "&amp;H239)
&amp;IF(OR(R239=I239,R239=H239),""," "&amp;R239)
&amp;IF(R239=S239,""," "&amp;S239)</f>
        <v xml:space="preserve"> C </v>
      </c>
    </row>
    <row r="240" spans="1:27" x14ac:dyDescent="0.25">
      <c r="A240">
        <v>2</v>
      </c>
      <c r="B240">
        <v>2018</v>
      </c>
      <c r="C240" t="s">
        <v>15</v>
      </c>
      <c r="D240">
        <v>7</v>
      </c>
      <c r="E240" t="s">
        <v>486</v>
      </c>
      <c r="F240" t="s">
        <v>23</v>
      </c>
      <c r="L240" s="10">
        <v>7016161</v>
      </c>
      <c r="P240" s="24" t="s">
        <v>895</v>
      </c>
      <c r="Q240">
        <v>58</v>
      </c>
      <c r="R240" t="s">
        <v>47</v>
      </c>
      <c r="S240" t="s">
        <v>23</v>
      </c>
      <c r="U240" t="str">
        <f>IF(AND(ISNUMBER(L240),COUNTIF([2]Songs!$L:$L,L240)&gt;0),"YES","")</f>
        <v/>
      </c>
      <c r="V240" t="str">
        <f>IF(AND(ISNUMBER(L240),COUNTIF([3]Songs!$J:$J,L240)&gt;0),"YES","")</f>
        <v>YES</v>
      </c>
      <c r="W240" t="str">
        <f>IF(AND(ISNUMBER(L240),COUNTIF([1]Songs!$H:$H,L240)&gt;0),"YES","")</f>
        <v/>
      </c>
      <c r="X240" t="s">
        <v>640</v>
      </c>
      <c r="Y240">
        <v>7</v>
      </c>
      <c r="AA240" t="str">
        <f>I240
&amp;IF(H240=I240,""," "&amp;H240)
&amp;IF(OR(R240=I240,R240=H240),""," "&amp;R240)
&amp;IF(R240=S240,""," "&amp;S240)</f>
        <v xml:space="preserve"> C </v>
      </c>
    </row>
    <row r="241" spans="1:28" x14ac:dyDescent="0.25">
      <c r="A241">
        <v>2</v>
      </c>
      <c r="B241">
        <v>2018</v>
      </c>
      <c r="C241" t="s">
        <v>15</v>
      </c>
      <c r="D241">
        <v>8</v>
      </c>
      <c r="E241" t="s">
        <v>487</v>
      </c>
      <c r="F241" t="s">
        <v>23</v>
      </c>
      <c r="L241" s="10">
        <v>7024758</v>
      </c>
      <c r="P241" s="24" t="s">
        <v>895</v>
      </c>
      <c r="Q241">
        <v>62</v>
      </c>
      <c r="R241" t="s">
        <v>36</v>
      </c>
      <c r="S241" t="s">
        <v>23</v>
      </c>
      <c r="U241" t="str">
        <f>IF(AND(ISNUMBER(L241),COUNTIF([2]Songs!$L:$L,L241)&gt;0),"YES","")</f>
        <v/>
      </c>
      <c r="V241" t="str">
        <f>IF(AND(ISNUMBER(L241),COUNTIF([3]Songs!$J:$J,L241)&gt;0),"YES","")</f>
        <v>YES</v>
      </c>
      <c r="W241" t="str">
        <f>IF(AND(ISNUMBER(L241),COUNTIF([1]Songs!$H:$H,L241)&gt;0),"YES","")</f>
        <v/>
      </c>
      <c r="X241" t="s">
        <v>640</v>
      </c>
      <c r="Y241">
        <v>8</v>
      </c>
      <c r="AA241" t="str">
        <f>I241
&amp;IF(H241=I241,""," "&amp;H241)
&amp;IF(OR(R241=I241,R241=H241),""," "&amp;R241)
&amp;IF(R241=S241,""," "&amp;S241)</f>
        <v xml:space="preserve"> E </v>
      </c>
    </row>
    <row r="242" spans="1:28" x14ac:dyDescent="0.25">
      <c r="A242">
        <v>2</v>
      </c>
      <c r="B242">
        <v>2018</v>
      </c>
      <c r="C242" t="s">
        <v>15</v>
      </c>
      <c r="D242">
        <v>9</v>
      </c>
      <c r="E242" t="s">
        <v>488</v>
      </c>
      <c r="F242" t="s">
        <v>23</v>
      </c>
      <c r="G242" t="s">
        <v>379</v>
      </c>
      <c r="H242" s="3" t="s">
        <v>39</v>
      </c>
      <c r="I242" s="3" t="s">
        <v>39</v>
      </c>
      <c r="J242" s="4">
        <v>60</v>
      </c>
      <c r="K242" s="5" t="s">
        <v>380</v>
      </c>
      <c r="L242" s="10">
        <v>3350395</v>
      </c>
      <c r="M242" s="4">
        <v>2001</v>
      </c>
      <c r="N242" s="4" t="s">
        <v>381</v>
      </c>
      <c r="P242" s="24" t="s">
        <v>896</v>
      </c>
      <c r="Q242">
        <v>61</v>
      </c>
      <c r="R242" t="s">
        <v>36</v>
      </c>
      <c r="S242" t="s">
        <v>23</v>
      </c>
      <c r="U242" t="str">
        <f>IF(AND(ISNUMBER(L242),COUNTIF([2]Songs!$L:$L,L242)&gt;0),"YES","")</f>
        <v>YES</v>
      </c>
      <c r="V242" t="str">
        <f>IF(AND(ISNUMBER(L242),COUNTIF([3]Songs!$J:$J,L242)&gt;0),"YES","")</f>
        <v>YES</v>
      </c>
      <c r="W242" t="str">
        <f>IF(AND(ISNUMBER(L242),COUNTIF([1]Songs!$H:$H,L242)&gt;0),"YES","")</f>
        <v/>
      </c>
      <c r="X242" t="s">
        <v>640</v>
      </c>
      <c r="Y242">
        <v>9</v>
      </c>
      <c r="AA242" t="str">
        <f>I242
&amp;IF(H242=I242,""," "&amp;H242)
&amp;IF(OR(R242=I242,R242=H242),""," "&amp;R242)
&amp;IF(R242=S242,""," "&amp;S242)</f>
        <v xml:space="preserve">D E </v>
      </c>
    </row>
    <row r="243" spans="1:28" x14ac:dyDescent="0.25">
      <c r="A243">
        <v>2</v>
      </c>
      <c r="B243">
        <v>2018</v>
      </c>
      <c r="C243" t="s">
        <v>15</v>
      </c>
      <c r="D243">
        <v>10</v>
      </c>
      <c r="E243" t="s">
        <v>807</v>
      </c>
      <c r="F243" t="s">
        <v>927</v>
      </c>
      <c r="L243" s="10">
        <v>7125088</v>
      </c>
      <c r="P243" s="24" t="s">
        <v>70</v>
      </c>
      <c r="Q243">
        <v>63</v>
      </c>
      <c r="R243" t="s">
        <v>31</v>
      </c>
      <c r="S243" t="s">
        <v>23</v>
      </c>
      <c r="U243" t="str">
        <f>IF(AND(ISNUMBER(L243),COUNTIF([2]Songs!$L:$L,L243)&gt;0),"YES","")</f>
        <v/>
      </c>
      <c r="V243" t="str">
        <f>IF(AND(ISNUMBER(L243),COUNTIF([3]Songs!$J:$J,L243)&gt;0),"YES","")</f>
        <v>YES</v>
      </c>
      <c r="W243" t="str">
        <f>IF(AND(ISNUMBER(L243),COUNTIF([1]Songs!$H:$H,L243)&gt;0),"YES","")</f>
        <v/>
      </c>
      <c r="X243" t="s">
        <v>640</v>
      </c>
      <c r="Y243">
        <v>10</v>
      </c>
      <c r="AA243" t="str">
        <f>I243
&amp;IF(H243=I243,""," "&amp;H243)
&amp;IF(OR(R243=I243,R243=H243),""," "&amp;R243)
&amp;IF(R243=S243,""," "&amp;S243)</f>
        <v xml:space="preserve"> B </v>
      </c>
    </row>
    <row r="244" spans="1:28" x14ac:dyDescent="0.25">
      <c r="A244">
        <v>2</v>
      </c>
      <c r="B244">
        <v>2018</v>
      </c>
      <c r="C244" t="s">
        <v>16</v>
      </c>
      <c r="D244">
        <v>1</v>
      </c>
      <c r="E244" t="s">
        <v>664</v>
      </c>
      <c r="F244" t="s">
        <v>928</v>
      </c>
      <c r="L244" s="10">
        <v>7056332</v>
      </c>
      <c r="P244" s="24" t="s">
        <v>70</v>
      </c>
      <c r="Q244">
        <v>71</v>
      </c>
      <c r="R244" t="s">
        <v>78</v>
      </c>
      <c r="S244" t="s">
        <v>23</v>
      </c>
      <c r="U244" t="str">
        <f>IF(AND(ISNUMBER(L244),COUNTIF([2]Songs!$L:$L,L244)&gt;0),"YES","")</f>
        <v/>
      </c>
      <c r="V244" t="str">
        <f>IF(AND(ISNUMBER(L244),COUNTIF([3]Songs!$J:$J,L244)&gt;0),"YES","")</f>
        <v>YES</v>
      </c>
      <c r="W244" t="str">
        <f>IF(AND(ISNUMBER(L244),COUNTIF([1]Songs!$H:$H,L244)&gt;0),"YES","")</f>
        <v/>
      </c>
      <c r="X244" t="s">
        <v>640</v>
      </c>
      <c r="Y244">
        <v>11</v>
      </c>
      <c r="AA244" t="str">
        <f>I244
&amp;IF(H244=I244,""," "&amp;H244)
&amp;IF(OR(R244=I244,R244=H244),""," "&amp;R244)
&amp;IF(R244=S244,""," "&amp;S244)</f>
        <v xml:space="preserve"> Eb </v>
      </c>
    </row>
    <row r="245" spans="1:28" x14ac:dyDescent="0.25">
      <c r="A245">
        <v>2</v>
      </c>
      <c r="B245">
        <v>2018</v>
      </c>
      <c r="C245" t="s">
        <v>16</v>
      </c>
      <c r="D245">
        <v>2</v>
      </c>
      <c r="E245" t="s">
        <v>929</v>
      </c>
      <c r="F245" t="s">
        <v>144</v>
      </c>
      <c r="L245" s="10">
        <v>15960</v>
      </c>
      <c r="P245" s="24" t="s">
        <v>23</v>
      </c>
      <c r="Q245">
        <v>74</v>
      </c>
      <c r="R245" t="s">
        <v>28</v>
      </c>
      <c r="S245" t="s">
        <v>23</v>
      </c>
      <c r="U245" t="str">
        <f>IF(AND(ISNUMBER(L245),COUNTIF([2]Songs!$L:$L,L245)&gt;0),"YES","")</f>
        <v/>
      </c>
      <c r="V245" t="str">
        <f>IF(AND(ISNUMBER(L245),COUNTIF([3]Songs!$J:$J,L245)&gt;0),"YES","")</f>
        <v>YES</v>
      </c>
      <c r="W245" t="str">
        <f>IF(AND(ISNUMBER(L245),COUNTIF([1]Songs!$H:$H,L245)&gt;0),"YES","")</f>
        <v>YES</v>
      </c>
      <c r="X245" t="s">
        <v>640</v>
      </c>
      <c r="Y245">
        <v>12</v>
      </c>
      <c r="AA245" t="str">
        <f>I245
&amp;IF(H245=I245,""," "&amp;H245)
&amp;IF(OR(R245=I245,R245=H245),""," "&amp;R245)
&amp;IF(R245=S245,""," "&amp;S245)</f>
        <v xml:space="preserve"> Bb </v>
      </c>
    </row>
    <row r="246" spans="1:28" x14ac:dyDescent="0.25">
      <c r="A246">
        <v>2</v>
      </c>
      <c r="B246">
        <v>2018</v>
      </c>
      <c r="C246" t="s">
        <v>16</v>
      </c>
      <c r="D246">
        <v>3</v>
      </c>
      <c r="E246" t="s">
        <v>489</v>
      </c>
      <c r="F246" t="s">
        <v>23</v>
      </c>
      <c r="L246" s="10">
        <v>27817</v>
      </c>
      <c r="P246" s="24" t="s">
        <v>23</v>
      </c>
      <c r="Q246">
        <v>68</v>
      </c>
      <c r="R246" t="s">
        <v>28</v>
      </c>
      <c r="S246" t="s">
        <v>23</v>
      </c>
      <c r="U246" t="str">
        <f>IF(AND(ISNUMBER(L246),COUNTIF([2]Songs!$L:$L,L246)&gt;0),"YES","")</f>
        <v/>
      </c>
      <c r="V246" t="str">
        <f>IF(AND(ISNUMBER(L246),COUNTIF([3]Songs!$J:$J,L246)&gt;0),"YES","")</f>
        <v>YES</v>
      </c>
      <c r="W246" t="str">
        <f>IF(AND(ISNUMBER(L246),COUNTIF([1]Songs!$H:$H,L246)&gt;0),"YES","")</f>
        <v/>
      </c>
      <c r="X246" t="s">
        <v>640</v>
      </c>
      <c r="Y246">
        <v>13</v>
      </c>
      <c r="AA246" t="str">
        <f>I246
&amp;IF(H246=I246,""," "&amp;H246)
&amp;IF(OR(R246=I246,R246=H246),""," "&amp;R246)
&amp;IF(R246=S246,""," "&amp;S246)</f>
        <v xml:space="preserve"> Bb </v>
      </c>
    </row>
    <row r="247" spans="1:28" x14ac:dyDescent="0.25">
      <c r="A247">
        <v>2</v>
      </c>
      <c r="B247">
        <v>2018</v>
      </c>
      <c r="C247" t="s">
        <v>16</v>
      </c>
      <c r="D247">
        <v>4</v>
      </c>
      <c r="E247" t="s">
        <v>930</v>
      </c>
      <c r="F247" t="s">
        <v>902</v>
      </c>
      <c r="L247" s="10">
        <v>43073</v>
      </c>
      <c r="P247" s="24" t="s">
        <v>23</v>
      </c>
      <c r="Q247">
        <v>68</v>
      </c>
      <c r="R247" t="s">
        <v>28</v>
      </c>
      <c r="S247" t="s">
        <v>23</v>
      </c>
      <c r="U247" t="str">
        <f>IF(AND(ISNUMBER(L247),COUNTIF([2]Songs!$L:$L,L247)&gt;0),"YES","")</f>
        <v/>
      </c>
      <c r="V247" t="str">
        <f>IF(AND(ISNUMBER(L247),COUNTIF([3]Songs!$J:$J,L247)&gt;0),"YES","")</f>
        <v>YES</v>
      </c>
      <c r="W247" t="str">
        <f>IF(AND(ISNUMBER(L247),COUNTIF([1]Songs!$H:$H,L247)&gt;0),"YES","")</f>
        <v/>
      </c>
      <c r="X247" t="s">
        <v>640</v>
      </c>
      <c r="Y247">
        <v>14</v>
      </c>
      <c r="AA247" t="str">
        <f>I247
&amp;IF(H247=I247,""," "&amp;H247)
&amp;IF(OR(R247=I247,R247=H247),""," "&amp;R247)
&amp;IF(R247=S247,""," "&amp;S247)</f>
        <v xml:space="preserve"> Bb </v>
      </c>
    </row>
    <row r="248" spans="1:28" x14ac:dyDescent="0.25">
      <c r="A248">
        <v>2</v>
      </c>
      <c r="B248">
        <v>2018</v>
      </c>
      <c r="C248" t="s">
        <v>16</v>
      </c>
      <c r="D248">
        <v>5</v>
      </c>
      <c r="E248" t="s">
        <v>490</v>
      </c>
      <c r="F248" t="s">
        <v>23</v>
      </c>
      <c r="L248" s="10">
        <v>7128814</v>
      </c>
      <c r="P248" s="24" t="s">
        <v>70</v>
      </c>
      <c r="Q248">
        <v>71</v>
      </c>
      <c r="R248" t="s">
        <v>47</v>
      </c>
      <c r="S248" t="s">
        <v>23</v>
      </c>
      <c r="U248" t="str">
        <f>IF(AND(ISNUMBER(L248),COUNTIF([2]Songs!$L:$L,L248)&gt;0),"YES","")</f>
        <v/>
      </c>
      <c r="V248" t="str">
        <f>IF(AND(ISNUMBER(L248),COUNTIF([3]Songs!$J:$J,L248)&gt;0),"YES","")</f>
        <v>YES</v>
      </c>
      <c r="W248" t="str">
        <f>IF(AND(ISNUMBER(L248),COUNTIF([1]Songs!$H:$H,L248)&gt;0),"YES","")</f>
        <v/>
      </c>
      <c r="X248" t="s">
        <v>640</v>
      </c>
      <c r="Y248">
        <v>15</v>
      </c>
      <c r="AA248" t="str">
        <f>I248
&amp;IF(H248=I248,""," "&amp;H248)
&amp;IF(OR(R248=I248,R248=H248),""," "&amp;R248)
&amp;IF(R248=S248,""," "&amp;S248)</f>
        <v xml:space="preserve"> C </v>
      </c>
    </row>
    <row r="249" spans="1:28" x14ac:dyDescent="0.25">
      <c r="A249">
        <v>2</v>
      </c>
      <c r="B249">
        <v>2018</v>
      </c>
      <c r="C249" t="s">
        <v>16</v>
      </c>
      <c r="D249">
        <v>6</v>
      </c>
      <c r="E249" t="s">
        <v>491</v>
      </c>
      <c r="F249" t="s">
        <v>23</v>
      </c>
      <c r="G249" t="s">
        <v>379</v>
      </c>
      <c r="H249" s="3" t="s">
        <v>52</v>
      </c>
      <c r="I249" s="3" t="s">
        <v>52</v>
      </c>
      <c r="J249" s="4">
        <v>68</v>
      </c>
      <c r="K249" s="5" t="s">
        <v>371</v>
      </c>
      <c r="L249" s="9">
        <v>4490766</v>
      </c>
      <c r="M249" s="4">
        <v>2005</v>
      </c>
      <c r="N249" s="6" t="s">
        <v>381</v>
      </c>
      <c r="O249" t="s">
        <v>944</v>
      </c>
      <c r="P249" s="24" t="s">
        <v>897</v>
      </c>
      <c r="Q249">
        <v>57</v>
      </c>
      <c r="R249" t="s">
        <v>176</v>
      </c>
      <c r="S249" t="s">
        <v>23</v>
      </c>
      <c r="U249" t="str">
        <f>IF(AND(ISNUMBER(L249),COUNTIF([2]Songs!$L:$L,L249)&gt;0),"YES","")</f>
        <v>YES</v>
      </c>
      <c r="V249" t="str">
        <f>IF(AND(ISNUMBER(L249),COUNTIF([3]Songs!$J:$J,L249)&gt;0),"YES","")</f>
        <v>YES</v>
      </c>
      <c r="W249" t="str">
        <f>IF(AND(ISNUMBER(L249),COUNTIF([1]Songs!$H:$H,L249)&gt;0),"YES","")</f>
        <v/>
      </c>
      <c r="X249" t="s">
        <v>640</v>
      </c>
      <c r="Y249">
        <v>16</v>
      </c>
      <c r="AA249" t="str">
        <f>I249
&amp;IF(H249=I249,""," "&amp;H249)
&amp;IF(OR(R249=I249,R249=H249),""," "&amp;R249)
&amp;IF(R249=S249,""," "&amp;S249)</f>
        <v xml:space="preserve">A F </v>
      </c>
    </row>
    <row r="250" spans="1:28" x14ac:dyDescent="0.25">
      <c r="A250">
        <v>2</v>
      </c>
      <c r="B250">
        <v>2018</v>
      </c>
      <c r="C250" t="s">
        <v>16</v>
      </c>
      <c r="D250">
        <v>7</v>
      </c>
      <c r="E250" t="s">
        <v>492</v>
      </c>
      <c r="F250" t="s">
        <v>23</v>
      </c>
      <c r="L250" s="10" t="s">
        <v>327</v>
      </c>
      <c r="P250" s="24" t="s">
        <v>898</v>
      </c>
      <c r="Q250">
        <v>68</v>
      </c>
      <c r="R250" t="s">
        <v>31</v>
      </c>
      <c r="S250" t="s">
        <v>23</v>
      </c>
      <c r="U250" t="str">
        <f>IF(AND(ISNUMBER(L250),COUNTIF([2]Songs!$L:$L,L250)&gt;0),"YES","")</f>
        <v/>
      </c>
      <c r="V250" t="str">
        <f>IF(AND(ISNUMBER(L250),COUNTIF([3]Songs!$J:$J,L250)&gt;0),"YES","")</f>
        <v/>
      </c>
      <c r="W250" t="str">
        <f>IF(AND(ISNUMBER(L250),COUNTIF([1]Songs!$H:$H,L250)&gt;0),"YES","")</f>
        <v/>
      </c>
      <c r="X250" t="s">
        <v>640</v>
      </c>
      <c r="Y250">
        <v>17</v>
      </c>
      <c r="AA250" t="str">
        <f>I250
&amp;IF(H250=I250,""," "&amp;H250)
&amp;IF(OR(R250=I250,R250=H250),""," "&amp;R250)
&amp;IF(R250=S250,""," "&amp;S250)</f>
        <v xml:space="preserve"> B </v>
      </c>
    </row>
    <row r="251" spans="1:28" x14ac:dyDescent="0.25">
      <c r="A251">
        <v>2</v>
      </c>
      <c r="B251">
        <v>2018</v>
      </c>
      <c r="C251" t="s">
        <v>16</v>
      </c>
      <c r="D251">
        <v>8</v>
      </c>
      <c r="E251" t="s">
        <v>931</v>
      </c>
      <c r="F251" t="s">
        <v>932</v>
      </c>
      <c r="L251" s="10">
        <v>7063743</v>
      </c>
      <c r="P251" s="24" t="s">
        <v>897</v>
      </c>
      <c r="Q251">
        <v>84</v>
      </c>
      <c r="R251" t="s">
        <v>67</v>
      </c>
      <c r="S251" t="s">
        <v>23</v>
      </c>
      <c r="U251" t="str">
        <f>IF(AND(ISNUMBER(L251),COUNTIF([2]Songs!$L:$L,L251)&gt;0),"YES","")</f>
        <v/>
      </c>
      <c r="V251" t="str">
        <f>IF(AND(ISNUMBER(L251),COUNTIF([3]Songs!$J:$J,L251)&gt;0),"YES","")</f>
        <v>YES</v>
      </c>
      <c r="W251" t="str">
        <f>IF(AND(ISNUMBER(L251),COUNTIF([1]Songs!$H:$H,L251)&gt;0),"YES","")</f>
        <v/>
      </c>
      <c r="X251" t="s">
        <v>640</v>
      </c>
      <c r="Y251">
        <v>18</v>
      </c>
      <c r="AA251" t="str">
        <f>I251
&amp;IF(H251=I251,""," "&amp;H251)
&amp;IF(OR(R251=I251,R251=H251),""," "&amp;R251)
&amp;IF(R251=S251,""," "&amp;S251)</f>
        <v xml:space="preserve"> Ab </v>
      </c>
    </row>
    <row r="252" spans="1:28" x14ac:dyDescent="0.25">
      <c r="A252">
        <v>2</v>
      </c>
      <c r="B252">
        <v>2018</v>
      </c>
      <c r="C252" t="s">
        <v>16</v>
      </c>
      <c r="D252">
        <v>9</v>
      </c>
      <c r="E252" t="s">
        <v>493</v>
      </c>
      <c r="F252" t="s">
        <v>23</v>
      </c>
      <c r="L252" s="10">
        <v>25400</v>
      </c>
      <c r="P252" s="24" t="s">
        <v>23</v>
      </c>
      <c r="Q252">
        <v>77</v>
      </c>
      <c r="R252" t="s">
        <v>67</v>
      </c>
      <c r="S252" t="s">
        <v>23</v>
      </c>
      <c r="U252" t="str">
        <f>IF(AND(ISNUMBER(L252),COUNTIF([2]Songs!$L:$L,L252)&gt;0),"YES","")</f>
        <v/>
      </c>
      <c r="V252" t="str">
        <f>IF(AND(ISNUMBER(L252),COUNTIF([3]Songs!$J:$J,L252)&gt;0),"YES","")</f>
        <v>YES</v>
      </c>
      <c r="W252" t="str">
        <f>IF(AND(ISNUMBER(L252),COUNTIF([1]Songs!$H:$H,L252)&gt;0),"YES","")</f>
        <v/>
      </c>
      <c r="X252" t="s">
        <v>640</v>
      </c>
      <c r="Y252">
        <v>19</v>
      </c>
      <c r="AA252" t="str">
        <f>I252
&amp;IF(H252=I252,""," "&amp;H252)
&amp;IF(OR(R252=I252,R252=H252),""," "&amp;R252)
&amp;IF(R252=S252,""," "&amp;S252)</f>
        <v xml:space="preserve"> Ab </v>
      </c>
    </row>
    <row r="253" spans="1:28" x14ac:dyDescent="0.25">
      <c r="A253">
        <v>2</v>
      </c>
      <c r="B253">
        <v>2018</v>
      </c>
      <c r="C253" t="s">
        <v>16</v>
      </c>
      <c r="D253">
        <v>10</v>
      </c>
      <c r="E253" t="s">
        <v>494</v>
      </c>
      <c r="F253" t="s">
        <v>23</v>
      </c>
      <c r="G253" t="s">
        <v>689</v>
      </c>
      <c r="H253" s="3" t="s">
        <v>39</v>
      </c>
      <c r="I253" s="3" t="s">
        <v>39</v>
      </c>
      <c r="J253" s="4">
        <v>92</v>
      </c>
      <c r="K253" s="5" t="s">
        <v>371</v>
      </c>
      <c r="L253" s="10">
        <v>23938</v>
      </c>
      <c r="M253" s="4">
        <v>1851</v>
      </c>
      <c r="N253" s="6" t="s">
        <v>401</v>
      </c>
      <c r="O253" t="s">
        <v>92</v>
      </c>
      <c r="P253" s="24" t="s">
        <v>23</v>
      </c>
      <c r="Q253">
        <v>77</v>
      </c>
      <c r="R253" t="s">
        <v>67</v>
      </c>
      <c r="S253" t="s">
        <v>23</v>
      </c>
      <c r="U253" t="str">
        <f>IF(AND(ISNUMBER(L253),COUNTIF([2]Songs!$L:$L,L253)&gt;0),"YES","")</f>
        <v>YES</v>
      </c>
      <c r="V253" t="str">
        <f>IF(AND(ISNUMBER(L253),COUNTIF([3]Songs!$J:$J,L253)&gt;0),"YES","")</f>
        <v>YES</v>
      </c>
      <c r="W253" t="str">
        <f>IF(AND(ISNUMBER(L253),COUNTIF([1]Songs!$H:$H,L253)&gt;0),"YES","")</f>
        <v/>
      </c>
      <c r="X253" t="s">
        <v>640</v>
      </c>
      <c r="Y253">
        <v>20</v>
      </c>
      <c r="AA253" t="str">
        <f>I253
&amp;IF(H253=I253,""," "&amp;H253)
&amp;IF(OR(R253=I253,R253=H253),""," "&amp;R253)
&amp;IF(R253=S253,""," "&amp;S253)</f>
        <v xml:space="preserve">D Ab </v>
      </c>
    </row>
    <row r="254" spans="1:28" x14ac:dyDescent="0.25">
      <c r="A254">
        <v>3</v>
      </c>
      <c r="B254">
        <v>2017</v>
      </c>
      <c r="C254" t="s">
        <v>978</v>
      </c>
      <c r="D254">
        <v>1</v>
      </c>
      <c r="E254" t="s">
        <v>495</v>
      </c>
      <c r="F254" t="s">
        <v>23</v>
      </c>
      <c r="G254" t="s">
        <v>869</v>
      </c>
      <c r="H254" t="s">
        <v>176</v>
      </c>
      <c r="I254" t="s">
        <v>176</v>
      </c>
      <c r="J254">
        <v>100</v>
      </c>
      <c r="K254" t="s">
        <v>371</v>
      </c>
      <c r="L254" s="4">
        <v>27721</v>
      </c>
      <c r="M254" s="10">
        <v>1862</v>
      </c>
      <c r="N254" t="s">
        <v>401</v>
      </c>
      <c r="O254" t="s">
        <v>943</v>
      </c>
      <c r="P254" s="24" t="s">
        <v>23</v>
      </c>
      <c r="Q254">
        <v>100</v>
      </c>
      <c r="R254" t="s">
        <v>25</v>
      </c>
      <c r="S254" t="s">
        <v>23</v>
      </c>
      <c r="U254" t="str">
        <f>IF(AND(ISNUMBER(L254),COUNTIF([2]Songs!$L:$L,L254)&gt;0),"YES","")</f>
        <v>YES</v>
      </c>
      <c r="V254" t="str">
        <f>IF(AND(ISNUMBER(L254),COUNTIF([3]Songs!$J:$J,L254)&gt;0),"YES","")</f>
        <v>YES</v>
      </c>
      <c r="W254" t="str">
        <f>IF(AND(ISNUMBER(L254),COUNTIF([1]Songs!$H:$H,L254)&gt;0),"YES","")</f>
        <v/>
      </c>
      <c r="X254" t="s">
        <v>640</v>
      </c>
      <c r="Y254">
        <v>21</v>
      </c>
      <c r="AA254" t="str">
        <f>I254
&amp;IF(H254=I254,""," "&amp;H254)
&amp;IF(OR(R254=I254,R254=H254),""," "&amp;R254)
&amp;IF(R254=S254,""," "&amp;S254)</f>
        <v xml:space="preserve">F G </v>
      </c>
      <c r="AB254" s="10">
        <v>7036005</v>
      </c>
    </row>
    <row r="255" spans="1:28" x14ac:dyDescent="0.25">
      <c r="A255">
        <v>3</v>
      </c>
      <c r="B255">
        <v>2017</v>
      </c>
      <c r="C255" t="s">
        <v>978</v>
      </c>
      <c r="D255">
        <v>2</v>
      </c>
      <c r="E255" t="s">
        <v>496</v>
      </c>
      <c r="F255" t="s">
        <v>23</v>
      </c>
      <c r="G255" t="s">
        <v>879</v>
      </c>
      <c r="H255" t="s">
        <v>25</v>
      </c>
      <c r="I255" t="s">
        <v>25</v>
      </c>
      <c r="J255">
        <v>110</v>
      </c>
      <c r="K255" t="s">
        <v>371</v>
      </c>
      <c r="L255" s="4">
        <v>31054</v>
      </c>
      <c r="M255" s="10">
        <v>1841</v>
      </c>
      <c r="N255" t="s">
        <v>401</v>
      </c>
      <c r="O255" t="s">
        <v>943</v>
      </c>
      <c r="P255" s="24" t="s">
        <v>23</v>
      </c>
      <c r="Q255">
        <v>82</v>
      </c>
      <c r="R255" t="s">
        <v>25</v>
      </c>
      <c r="S255" t="s">
        <v>23</v>
      </c>
      <c r="U255" t="str">
        <f>IF(AND(ISNUMBER(L255),COUNTIF([2]Songs!$L:$L,L255)&gt;0),"YES","")</f>
        <v>YES</v>
      </c>
      <c r="V255" t="str">
        <f>IF(AND(ISNUMBER(L255),COUNTIF([3]Songs!$J:$J,L255)&gt;0),"YES","")</f>
        <v>YES</v>
      </c>
      <c r="W255" t="str">
        <f>IF(AND(ISNUMBER(L255),COUNTIF([1]Songs!$H:$H,L255)&gt;0),"YES","")</f>
        <v>YES</v>
      </c>
      <c r="X255" t="s">
        <v>640</v>
      </c>
      <c r="Y255">
        <v>22</v>
      </c>
      <c r="AA255" t="str">
        <f>I255
&amp;IF(H255=I255,""," "&amp;H255)
&amp;IF(OR(R255=I255,R255=H255),""," "&amp;R255)
&amp;IF(R255=S255,""," "&amp;S255)</f>
        <v xml:space="preserve">G </v>
      </c>
      <c r="AB255" s="10" t="s">
        <v>894</v>
      </c>
    </row>
    <row r="256" spans="1:28" x14ac:dyDescent="0.25">
      <c r="A256">
        <v>3</v>
      </c>
      <c r="B256">
        <v>2017</v>
      </c>
      <c r="C256" t="s">
        <v>978</v>
      </c>
      <c r="D256">
        <v>3</v>
      </c>
      <c r="E256" t="s">
        <v>497</v>
      </c>
      <c r="F256" t="s">
        <v>23</v>
      </c>
      <c r="G256" t="s">
        <v>871</v>
      </c>
      <c r="H256" t="s">
        <v>176</v>
      </c>
      <c r="I256" t="s">
        <v>176</v>
      </c>
      <c r="K256" t="s">
        <v>371</v>
      </c>
      <c r="L256" s="4">
        <v>29080</v>
      </c>
      <c r="M256" s="10">
        <v>1909</v>
      </c>
      <c r="N256" t="s">
        <v>401</v>
      </c>
      <c r="O256" t="s">
        <v>943</v>
      </c>
      <c r="P256" s="24" t="s">
        <v>23</v>
      </c>
      <c r="Q256">
        <v>60</v>
      </c>
      <c r="R256" t="s">
        <v>31</v>
      </c>
      <c r="S256" t="s">
        <v>23</v>
      </c>
      <c r="U256" t="str">
        <f>IF(AND(ISNUMBER(L256),COUNTIF([2]Songs!$L:$L,L256)&gt;0),"YES","")</f>
        <v>YES</v>
      </c>
      <c r="V256" t="str">
        <f>IF(AND(ISNUMBER(L256),COUNTIF([3]Songs!$J:$J,L256)&gt;0),"YES","")</f>
        <v>YES</v>
      </c>
      <c r="W256" t="str">
        <f>IF(AND(ISNUMBER(L256),COUNTIF([1]Songs!$H:$H,L256)&gt;0),"YES","")</f>
        <v/>
      </c>
      <c r="X256" t="s">
        <v>640</v>
      </c>
      <c r="Y256">
        <v>23</v>
      </c>
      <c r="AA256" t="str">
        <f>I256
&amp;IF(H256=I256,""," "&amp;H256)
&amp;IF(OR(R256=I256,R256=H256),""," "&amp;R256)
&amp;IF(R256=S256,""," "&amp;S256)</f>
        <v xml:space="preserve">F B </v>
      </c>
      <c r="AB256" s="10"/>
    </row>
    <row r="257" spans="1:28" x14ac:dyDescent="0.25">
      <c r="A257">
        <v>3</v>
      </c>
      <c r="B257">
        <v>2017</v>
      </c>
      <c r="C257" t="s">
        <v>978</v>
      </c>
      <c r="D257">
        <v>4</v>
      </c>
      <c r="E257" t="s">
        <v>521</v>
      </c>
      <c r="F257" t="s">
        <v>41</v>
      </c>
      <c r="G257" t="s">
        <v>881</v>
      </c>
      <c r="H257" t="s">
        <v>47</v>
      </c>
      <c r="I257" t="s">
        <v>47</v>
      </c>
      <c r="J257">
        <v>90</v>
      </c>
      <c r="K257" t="s">
        <v>425</v>
      </c>
      <c r="L257" s="4">
        <v>32015</v>
      </c>
      <c r="M257" s="10">
        <v>1847</v>
      </c>
      <c r="N257" t="s">
        <v>401</v>
      </c>
      <c r="O257" t="s">
        <v>943</v>
      </c>
      <c r="P257" s="24" t="s">
        <v>70</v>
      </c>
      <c r="Q257">
        <v>102</v>
      </c>
      <c r="R257" t="s">
        <v>47</v>
      </c>
      <c r="S257" t="s">
        <v>23</v>
      </c>
      <c r="U257" t="str">
        <f>IF(AND(ISNUMBER(L257),COUNTIF([2]Songs!$L:$L,L257)&gt;0),"YES","")</f>
        <v>YES</v>
      </c>
      <c r="V257" t="str">
        <f>IF(AND(ISNUMBER(L257),COUNTIF([3]Songs!$J:$J,L257)&gt;0),"YES","")</f>
        <v>YES</v>
      </c>
      <c r="W257" t="str">
        <f>IF(AND(ISNUMBER(L257),COUNTIF([1]Songs!$H:$H,L257)&gt;0),"YES","")</f>
        <v>YES</v>
      </c>
      <c r="X257" t="s">
        <v>640</v>
      </c>
      <c r="Y257">
        <v>24</v>
      </c>
      <c r="AA257" t="str">
        <f>I257
&amp;IF(H257=I257,""," "&amp;H257)
&amp;IF(OR(R257=I257,R257=H257),""," "&amp;R257)
&amp;IF(R257=S257,""," "&amp;S257)</f>
        <v xml:space="preserve">C </v>
      </c>
      <c r="AB257" s="10"/>
    </row>
    <row r="258" spans="1:28" x14ac:dyDescent="0.25">
      <c r="A258">
        <v>3</v>
      </c>
      <c r="B258">
        <v>2017</v>
      </c>
      <c r="C258" t="s">
        <v>978</v>
      </c>
      <c r="D258">
        <v>5</v>
      </c>
      <c r="E258" t="s">
        <v>498</v>
      </c>
      <c r="F258" t="s">
        <v>23</v>
      </c>
      <c r="G258" t="s">
        <v>835</v>
      </c>
      <c r="H258" t="s">
        <v>39</v>
      </c>
      <c r="I258" t="s">
        <v>39</v>
      </c>
      <c r="J258">
        <v>96</v>
      </c>
      <c r="K258" t="s">
        <v>875</v>
      </c>
      <c r="L258" s="4">
        <v>24016</v>
      </c>
      <c r="M258" s="10">
        <v>1719</v>
      </c>
      <c r="N258" t="s">
        <v>401</v>
      </c>
      <c r="O258" t="s">
        <v>943</v>
      </c>
      <c r="P258" s="24" t="s">
        <v>23</v>
      </c>
      <c r="Q258">
        <v>110</v>
      </c>
      <c r="R258" t="s">
        <v>47</v>
      </c>
      <c r="S258" t="s">
        <v>23</v>
      </c>
      <c r="U258" t="str">
        <f>IF(AND(ISNUMBER(L258),COUNTIF([2]Songs!$L:$L,L258)&gt;0),"YES","")</f>
        <v>YES</v>
      </c>
      <c r="V258" t="str">
        <f>IF(AND(ISNUMBER(L258),COUNTIF([3]Songs!$J:$J,L258)&gt;0),"YES","")</f>
        <v>YES</v>
      </c>
      <c r="W258" t="str">
        <f>IF(AND(ISNUMBER(L258),COUNTIF([1]Songs!$H:$H,L258)&gt;0),"YES","")</f>
        <v/>
      </c>
      <c r="X258" t="s">
        <v>640</v>
      </c>
      <c r="Y258">
        <v>25</v>
      </c>
      <c r="AA258" t="str">
        <f>I258
&amp;IF(H258=I258,""," "&amp;H258)
&amp;IF(OR(R258=I258,R258=H258),""," "&amp;R258)
&amp;IF(R258=S258,""," "&amp;S258)</f>
        <v xml:space="preserve">D C </v>
      </c>
      <c r="AB258" s="10">
        <v>7036006</v>
      </c>
    </row>
    <row r="259" spans="1:28" x14ac:dyDescent="0.25">
      <c r="A259">
        <v>3</v>
      </c>
      <c r="B259">
        <v>2017</v>
      </c>
      <c r="C259" t="s">
        <v>978</v>
      </c>
      <c r="D259">
        <v>6</v>
      </c>
      <c r="E259" t="s">
        <v>499</v>
      </c>
      <c r="F259" t="s">
        <v>23</v>
      </c>
      <c r="G259" t="s">
        <v>883</v>
      </c>
      <c r="H259" t="s">
        <v>52</v>
      </c>
      <c r="I259" t="s">
        <v>28</v>
      </c>
      <c r="K259" t="s">
        <v>425</v>
      </c>
      <c r="L259" s="4">
        <v>27862</v>
      </c>
      <c r="M259" s="10">
        <v>1818</v>
      </c>
      <c r="N259" t="s">
        <v>401</v>
      </c>
      <c r="O259" t="s">
        <v>943</v>
      </c>
      <c r="P259" s="24" t="s">
        <v>23</v>
      </c>
      <c r="Q259">
        <v>86</v>
      </c>
      <c r="R259" t="s">
        <v>47</v>
      </c>
      <c r="S259" t="s">
        <v>23</v>
      </c>
      <c r="U259" t="str">
        <f>IF(AND(ISNUMBER(L259),COUNTIF([2]Songs!$L:$L,L259)&gt;0),"YES","")</f>
        <v>YES</v>
      </c>
      <c r="V259" t="str">
        <f>IF(AND(ISNUMBER(L259),COUNTIF([3]Songs!$J:$J,L259)&gt;0),"YES","")</f>
        <v>YES</v>
      </c>
      <c r="W259" t="str">
        <f>IF(AND(ISNUMBER(L259),COUNTIF([1]Songs!$H:$H,L259)&gt;0),"YES","")</f>
        <v/>
      </c>
      <c r="X259" t="s">
        <v>640</v>
      </c>
      <c r="Y259">
        <v>26</v>
      </c>
      <c r="AA259" t="str">
        <f>I259
&amp;IF(H259=I259,""," "&amp;H259)
&amp;IF(OR(R259=I259,R259=H259),""," "&amp;R259)
&amp;IF(R259=S259,""," "&amp;S259)</f>
        <v xml:space="preserve">Bb A C </v>
      </c>
      <c r="AB259" s="10">
        <v>7036000</v>
      </c>
    </row>
    <row r="260" spans="1:28" x14ac:dyDescent="0.25">
      <c r="A260">
        <v>3</v>
      </c>
      <c r="B260">
        <v>2017</v>
      </c>
      <c r="C260" t="s">
        <v>978</v>
      </c>
      <c r="D260">
        <v>7</v>
      </c>
      <c r="E260" t="s">
        <v>522</v>
      </c>
      <c r="F260" t="s">
        <v>41</v>
      </c>
      <c r="G260" t="s">
        <v>872</v>
      </c>
      <c r="H260" t="s">
        <v>39</v>
      </c>
      <c r="I260" t="s">
        <v>39</v>
      </c>
      <c r="J260">
        <v>80</v>
      </c>
      <c r="K260" t="s">
        <v>380</v>
      </c>
      <c r="L260" s="4">
        <v>31047</v>
      </c>
      <c r="M260" s="10">
        <v>1833</v>
      </c>
      <c r="N260" t="s">
        <v>401</v>
      </c>
      <c r="O260" t="s">
        <v>943</v>
      </c>
      <c r="P260" s="24" t="s">
        <v>70</v>
      </c>
      <c r="Q260">
        <v>79</v>
      </c>
      <c r="R260" t="s">
        <v>47</v>
      </c>
      <c r="S260" t="s">
        <v>23</v>
      </c>
      <c r="U260" t="str">
        <f>IF(AND(ISNUMBER(L260),COUNTIF([2]Songs!$L:$L,L260)&gt;0),"YES","")</f>
        <v>YES</v>
      </c>
      <c r="V260" t="str">
        <f>IF(AND(ISNUMBER(L260),COUNTIF([3]Songs!$J:$J,L260)&gt;0),"YES","")</f>
        <v>YES</v>
      </c>
      <c r="W260" t="str">
        <f>IF(AND(ISNUMBER(L260),COUNTIF([1]Songs!$H:$H,L260)&gt;0),"YES","")</f>
        <v/>
      </c>
      <c r="X260" t="s">
        <v>640</v>
      </c>
      <c r="Y260">
        <v>27</v>
      </c>
      <c r="AA260" t="str">
        <f>I260
&amp;IF(H260=I260,""," "&amp;H260)
&amp;IF(OR(R260=I260,R260=H260),""," "&amp;R260)
&amp;IF(R260=S260,""," "&amp;S260)</f>
        <v xml:space="preserve">D C </v>
      </c>
      <c r="AB260" s="10"/>
    </row>
    <row r="261" spans="1:28" x14ac:dyDescent="0.25">
      <c r="A261">
        <v>3</v>
      </c>
      <c r="B261">
        <v>2017</v>
      </c>
      <c r="C261" t="s">
        <v>978</v>
      </c>
      <c r="D261">
        <v>8</v>
      </c>
      <c r="E261" t="s">
        <v>523</v>
      </c>
      <c r="F261" t="s">
        <v>41</v>
      </c>
      <c r="G261" t="s">
        <v>880</v>
      </c>
      <c r="H261" t="s">
        <v>785</v>
      </c>
      <c r="I261" t="s">
        <v>785</v>
      </c>
      <c r="J261">
        <v>76</v>
      </c>
      <c r="K261" t="s">
        <v>371</v>
      </c>
      <c r="L261" s="4">
        <v>31982</v>
      </c>
      <c r="M261" s="10">
        <v>1861</v>
      </c>
      <c r="N261" t="s">
        <v>401</v>
      </c>
      <c r="O261" t="s">
        <v>943</v>
      </c>
      <c r="P261" s="24" t="s">
        <v>70</v>
      </c>
      <c r="Q261">
        <v>63</v>
      </c>
      <c r="R261" t="s">
        <v>25</v>
      </c>
      <c r="S261" t="s">
        <v>23</v>
      </c>
      <c r="U261" t="str">
        <f>IF(AND(ISNUMBER(L261),COUNTIF([2]Songs!$L:$L,L261)&gt;0),"YES","")</f>
        <v>YES</v>
      </c>
      <c r="V261" t="str">
        <f>IF(AND(ISNUMBER(L261),COUNTIF([3]Songs!$J:$J,L261)&gt;0),"YES","")</f>
        <v>YES</v>
      </c>
      <c r="W261" t="str">
        <f>IF(AND(ISNUMBER(L261),COUNTIF([1]Songs!$H:$H,L261)&gt;0),"YES","")</f>
        <v/>
      </c>
      <c r="X261" t="s">
        <v>640</v>
      </c>
      <c r="Y261">
        <v>28</v>
      </c>
      <c r="AA261" t="str">
        <f>I261
&amp;IF(H261=I261,""," "&amp;H261)
&amp;IF(OR(R261=I261,R261=H261),""," "&amp;R261)
&amp;IF(R261=S261,""," "&amp;S261)</f>
        <v xml:space="preserve">Em G </v>
      </c>
      <c r="AB261" s="10"/>
    </row>
    <row r="262" spans="1:28" x14ac:dyDescent="0.25">
      <c r="A262">
        <v>3</v>
      </c>
      <c r="B262">
        <v>2017</v>
      </c>
      <c r="C262" t="s">
        <v>978</v>
      </c>
      <c r="D262">
        <v>9</v>
      </c>
      <c r="E262" t="s">
        <v>524</v>
      </c>
      <c r="F262" t="s">
        <v>41</v>
      </c>
      <c r="O262" t="s">
        <v>943</v>
      </c>
      <c r="P262" s="24" t="s">
        <v>70</v>
      </c>
      <c r="Q262">
        <v>106</v>
      </c>
      <c r="R262" t="s">
        <v>36</v>
      </c>
      <c r="S262" t="s">
        <v>23</v>
      </c>
      <c r="U262" t="str">
        <f>IF(AND(ISNUMBER(L262),COUNTIF([2]Songs!$L:$L,L262)&gt;0),"YES","")</f>
        <v/>
      </c>
      <c r="V262" t="str">
        <f>IF(AND(ISNUMBER(L262),COUNTIF([3]Songs!$J:$J,L262)&gt;0),"YES","")</f>
        <v/>
      </c>
      <c r="W262" t="str">
        <f>IF(AND(ISNUMBER(L262),COUNTIF([1]Songs!$H:$H,L262)&gt;0),"YES","")</f>
        <v/>
      </c>
      <c r="X262" t="s">
        <v>640</v>
      </c>
      <c r="Y262">
        <v>29</v>
      </c>
      <c r="AA262" t="str">
        <f>I262
&amp;IF(H262=I262,""," "&amp;H262)
&amp;IF(OR(R262=I262,R262=H262),""," "&amp;R262)
&amp;IF(R262=S262,""," "&amp;S262)</f>
        <v xml:space="preserve"> E </v>
      </c>
      <c r="AB262" s="10"/>
    </row>
    <row r="263" spans="1:28" x14ac:dyDescent="0.25">
      <c r="A263">
        <v>3</v>
      </c>
      <c r="B263">
        <v>2017</v>
      </c>
      <c r="C263" t="s">
        <v>978</v>
      </c>
      <c r="D263">
        <v>10</v>
      </c>
      <c r="E263" t="s">
        <v>500</v>
      </c>
      <c r="F263" t="s">
        <v>23</v>
      </c>
      <c r="O263" t="s">
        <v>943</v>
      </c>
      <c r="P263" s="24" t="s">
        <v>899</v>
      </c>
      <c r="Q263">
        <v>73</v>
      </c>
      <c r="R263" t="s">
        <v>36</v>
      </c>
      <c r="S263" t="s">
        <v>23</v>
      </c>
      <c r="U263" t="str">
        <f>IF(AND(ISNUMBER(L263),COUNTIF([2]Songs!$L:$L,L263)&gt;0),"YES","")</f>
        <v/>
      </c>
      <c r="V263" t="str">
        <f>IF(AND(ISNUMBER(L263),COUNTIF([3]Songs!$J:$J,L263)&gt;0),"YES","")</f>
        <v/>
      </c>
      <c r="W263" t="str">
        <f>IF(AND(ISNUMBER(L263),COUNTIF([1]Songs!$H:$H,L263)&gt;0),"YES","")</f>
        <v/>
      </c>
      <c r="X263" t="s">
        <v>640</v>
      </c>
      <c r="Y263">
        <v>30</v>
      </c>
      <c r="AA263" t="str">
        <f>I263
&amp;IF(H263=I263,""," "&amp;H263)
&amp;IF(OR(R263=I263,R263=H263),""," "&amp;R263)
&amp;IF(R263=S263,""," "&amp;S263)</f>
        <v xml:space="preserve"> E </v>
      </c>
      <c r="AB263" s="10">
        <v>7009580</v>
      </c>
    </row>
    <row r="264" spans="1:28" x14ac:dyDescent="0.25">
      <c r="A264">
        <v>3</v>
      </c>
      <c r="B264">
        <v>2017</v>
      </c>
      <c r="C264" t="s">
        <v>976</v>
      </c>
      <c r="D264">
        <v>1</v>
      </c>
      <c r="E264" t="s">
        <v>501</v>
      </c>
      <c r="F264" t="s">
        <v>23</v>
      </c>
      <c r="G264" t="s">
        <v>657</v>
      </c>
      <c r="H264" t="s">
        <v>176</v>
      </c>
      <c r="I264" t="s">
        <v>176</v>
      </c>
      <c r="J264">
        <v>90</v>
      </c>
      <c r="K264" t="s">
        <v>380</v>
      </c>
      <c r="L264" s="4">
        <v>31999</v>
      </c>
      <c r="M264" s="10">
        <v>1744</v>
      </c>
      <c r="N264" t="s">
        <v>401</v>
      </c>
      <c r="O264" t="s">
        <v>943</v>
      </c>
      <c r="P264" s="24" t="s">
        <v>23</v>
      </c>
      <c r="Q264">
        <v>68</v>
      </c>
      <c r="R264" t="s">
        <v>47</v>
      </c>
      <c r="S264" t="s">
        <v>23</v>
      </c>
      <c r="U264" t="str">
        <f>IF(AND(ISNUMBER(L264),COUNTIF([2]Songs!$L:$L,L264)&gt;0),"YES","")</f>
        <v>YES</v>
      </c>
      <c r="V264" t="str">
        <f>IF(AND(ISNUMBER(L264),COUNTIF([3]Songs!$J:$J,L264)&gt;0),"YES","")</f>
        <v>YES</v>
      </c>
      <c r="W264" t="str">
        <f>IF(AND(ISNUMBER(L264),COUNTIF([1]Songs!$H:$H,L264)&gt;0),"YES","")</f>
        <v/>
      </c>
      <c r="X264" t="s">
        <v>640</v>
      </c>
      <c r="Y264">
        <v>31</v>
      </c>
      <c r="AA264" t="str">
        <f>I264
&amp;IF(H264=I264,""," "&amp;H264)
&amp;IF(OR(R264=I264,R264=H264),""," "&amp;R264)
&amp;IF(R264=S264,""," "&amp;S264)</f>
        <v xml:space="preserve">F C </v>
      </c>
    </row>
    <row r="265" spans="1:28" x14ac:dyDescent="0.25">
      <c r="A265">
        <v>3</v>
      </c>
      <c r="B265">
        <v>2017</v>
      </c>
      <c r="C265" t="s">
        <v>976</v>
      </c>
      <c r="D265">
        <v>2</v>
      </c>
      <c r="E265" t="s">
        <v>901</v>
      </c>
      <c r="F265" t="s">
        <v>902</v>
      </c>
      <c r="L265" s="10">
        <v>7036006</v>
      </c>
      <c r="O265" t="s">
        <v>943</v>
      </c>
      <c r="P265" s="24" t="s">
        <v>27</v>
      </c>
      <c r="Q265">
        <v>145</v>
      </c>
      <c r="R265" t="s">
        <v>47</v>
      </c>
      <c r="S265" t="s">
        <v>23</v>
      </c>
      <c r="U265" t="str">
        <f>IF(AND(ISNUMBER(L265),COUNTIF([2]Songs!$L:$L,L265)&gt;0),"YES","")</f>
        <v/>
      </c>
      <c r="V265" t="str">
        <f>IF(AND(ISNUMBER(L265),COUNTIF([3]Songs!$J:$J,L265)&gt;0),"YES","")</f>
        <v>YES</v>
      </c>
      <c r="W265" t="str">
        <f>IF(AND(ISNUMBER(L265),COUNTIF([1]Songs!$H:$H,L265)&gt;0),"YES","")</f>
        <v/>
      </c>
      <c r="X265" t="s">
        <v>640</v>
      </c>
      <c r="Y265">
        <v>32</v>
      </c>
      <c r="AA265" t="str">
        <f>I265
&amp;IF(H265=I265,""," "&amp;H265)
&amp;IF(OR(R265=I265,R265=H265),""," "&amp;R265)
&amp;IF(R265=S265,""," "&amp;S265)</f>
        <v xml:space="preserve"> C </v>
      </c>
    </row>
    <row r="266" spans="1:28" x14ac:dyDescent="0.25">
      <c r="A266">
        <v>3</v>
      </c>
      <c r="B266">
        <v>2017</v>
      </c>
      <c r="C266" t="s">
        <v>976</v>
      </c>
      <c r="D266">
        <v>3</v>
      </c>
      <c r="E266" t="s">
        <v>502</v>
      </c>
      <c r="F266" t="s">
        <v>23</v>
      </c>
      <c r="G266" t="s">
        <v>657</v>
      </c>
      <c r="H266" t="s">
        <v>176</v>
      </c>
      <c r="I266" t="s">
        <v>176</v>
      </c>
      <c r="K266" t="s">
        <v>371</v>
      </c>
      <c r="L266" s="4">
        <v>27738</v>
      </c>
      <c r="M266" s="10">
        <v>1739</v>
      </c>
      <c r="N266" t="s">
        <v>401</v>
      </c>
      <c r="O266" t="s">
        <v>943</v>
      </c>
      <c r="P266" s="24" t="s">
        <v>23</v>
      </c>
      <c r="Q266">
        <v>78</v>
      </c>
      <c r="R266" t="s">
        <v>176</v>
      </c>
      <c r="S266" t="s">
        <v>23</v>
      </c>
      <c r="U266" t="str">
        <f>IF(AND(ISNUMBER(L266),COUNTIF([2]Songs!$L:$L,L266)&gt;0),"YES","")</f>
        <v>YES</v>
      </c>
      <c r="V266" t="str">
        <f>IF(AND(ISNUMBER(L266),COUNTIF([3]Songs!$J:$J,L266)&gt;0),"YES","")</f>
        <v>YES</v>
      </c>
      <c r="W266" t="str">
        <f>IF(AND(ISNUMBER(L266),COUNTIF([1]Songs!$H:$H,L266)&gt;0),"YES","")</f>
        <v/>
      </c>
      <c r="X266" t="s">
        <v>640</v>
      </c>
      <c r="Y266">
        <v>33</v>
      </c>
      <c r="AA266" t="str">
        <f>I266
&amp;IF(H266=I266,""," "&amp;H266)
&amp;IF(OR(R266=I266,R266=H266),""," "&amp;R266)
&amp;IF(R266=S266,""," "&amp;S266)</f>
        <v xml:space="preserve">F </v>
      </c>
      <c r="AB266" s="10">
        <v>7104229</v>
      </c>
    </row>
    <row r="267" spans="1:28" x14ac:dyDescent="0.25">
      <c r="A267">
        <v>3</v>
      </c>
      <c r="B267">
        <v>2017</v>
      </c>
      <c r="C267" t="s">
        <v>976</v>
      </c>
      <c r="D267">
        <v>4</v>
      </c>
      <c r="E267" t="s">
        <v>503</v>
      </c>
      <c r="F267" t="s">
        <v>23</v>
      </c>
      <c r="G267" t="s">
        <v>882</v>
      </c>
      <c r="H267" t="s">
        <v>176</v>
      </c>
      <c r="I267" t="s">
        <v>176</v>
      </c>
      <c r="J267">
        <v>90</v>
      </c>
      <c r="K267" t="s">
        <v>371</v>
      </c>
      <c r="L267" s="4">
        <v>27879</v>
      </c>
      <c r="M267" s="10">
        <v>1868</v>
      </c>
      <c r="N267" t="s">
        <v>401</v>
      </c>
      <c r="O267" t="s">
        <v>943</v>
      </c>
      <c r="P267" s="24" t="s">
        <v>23</v>
      </c>
      <c r="Q267">
        <v>65</v>
      </c>
      <c r="R267" t="s">
        <v>176</v>
      </c>
      <c r="S267" t="s">
        <v>23</v>
      </c>
      <c r="U267" t="str">
        <f>IF(AND(ISNUMBER(L267),COUNTIF([2]Songs!$L:$L,L267)&gt;0),"YES","")</f>
        <v>YES</v>
      </c>
      <c r="V267" t="str">
        <f>IF(AND(ISNUMBER(L267),COUNTIF([3]Songs!$J:$J,L267)&gt;0),"YES","")</f>
        <v>YES</v>
      </c>
      <c r="W267" t="str">
        <f>IF(AND(ISNUMBER(L267),COUNTIF([1]Songs!$H:$H,L267)&gt;0),"YES","")</f>
        <v/>
      </c>
      <c r="X267" t="s">
        <v>640</v>
      </c>
      <c r="Y267">
        <v>34</v>
      </c>
      <c r="AA267" t="str">
        <f>I267
&amp;IF(H267=I267,""," "&amp;H267)
&amp;IF(OR(R267=I267,R267=H267),""," "&amp;R267)
&amp;IF(R267=S267,""," "&amp;S267)</f>
        <v xml:space="preserve">F </v>
      </c>
      <c r="AB267" s="10">
        <v>7104272</v>
      </c>
    </row>
    <row r="268" spans="1:28" x14ac:dyDescent="0.25">
      <c r="A268">
        <v>3</v>
      </c>
      <c r="B268">
        <v>2017</v>
      </c>
      <c r="C268" t="s">
        <v>976</v>
      </c>
      <c r="D268">
        <v>5</v>
      </c>
      <c r="E268" t="s">
        <v>504</v>
      </c>
      <c r="F268" t="s">
        <v>23</v>
      </c>
      <c r="O268" t="s">
        <v>943</v>
      </c>
      <c r="P268" s="24" t="s">
        <v>900</v>
      </c>
      <c r="Q268">
        <v>57</v>
      </c>
      <c r="R268" t="s">
        <v>47</v>
      </c>
      <c r="S268" t="s">
        <v>23</v>
      </c>
      <c r="U268" t="str">
        <f>IF(AND(ISNUMBER(L268),COUNTIF([2]Songs!$L:$L,L268)&gt;0),"YES","")</f>
        <v/>
      </c>
      <c r="V268" t="str">
        <f>IF(AND(ISNUMBER(L268),COUNTIF([3]Songs!$J:$J,L268)&gt;0),"YES","")</f>
        <v/>
      </c>
      <c r="W268" t="str">
        <f>IF(AND(ISNUMBER(L268),COUNTIF([1]Songs!$H:$H,L268)&gt;0),"YES","")</f>
        <v/>
      </c>
      <c r="X268" t="s">
        <v>640</v>
      </c>
      <c r="Y268">
        <v>35</v>
      </c>
      <c r="AA268" t="str">
        <f>I268
&amp;IF(H268=I268,""," "&amp;H268)
&amp;IF(OR(R268=I268,R268=H268),""," "&amp;R268)
&amp;IF(R268=S268,""," "&amp;S268)</f>
        <v xml:space="preserve"> C </v>
      </c>
      <c r="AB268" s="10">
        <v>1128784</v>
      </c>
    </row>
    <row r="269" spans="1:28" x14ac:dyDescent="0.25">
      <c r="A269">
        <v>3</v>
      </c>
      <c r="B269">
        <v>2017</v>
      </c>
      <c r="C269" t="s">
        <v>976</v>
      </c>
      <c r="D269">
        <v>6</v>
      </c>
      <c r="E269" t="s">
        <v>505</v>
      </c>
      <c r="F269" t="s">
        <v>23</v>
      </c>
      <c r="O269" t="s">
        <v>943</v>
      </c>
      <c r="P269" s="24" t="s">
        <v>23</v>
      </c>
      <c r="Q269">
        <v>70</v>
      </c>
      <c r="R269" t="s">
        <v>52</v>
      </c>
      <c r="S269" t="s">
        <v>23</v>
      </c>
      <c r="U269" t="str">
        <f>IF(AND(ISNUMBER(L269),COUNTIF([2]Songs!$L:$L,L269)&gt;0),"YES","")</f>
        <v/>
      </c>
      <c r="V269" t="str">
        <f>IF(AND(ISNUMBER(L269),COUNTIF([3]Songs!$J:$J,L269)&gt;0),"YES","")</f>
        <v/>
      </c>
      <c r="W269" t="str">
        <f>IF(AND(ISNUMBER(L269),COUNTIF([1]Songs!$H:$H,L269)&gt;0),"YES","")</f>
        <v/>
      </c>
      <c r="X269" t="s">
        <v>640</v>
      </c>
      <c r="Y269">
        <v>36</v>
      </c>
      <c r="AA269" t="str">
        <f>I269
&amp;IF(H269=I269,""," "&amp;H269)
&amp;IF(OR(R269=I269,R269=H269),""," "&amp;R269)
&amp;IF(R269=S269,""," "&amp;S269)</f>
        <v xml:space="preserve"> A </v>
      </c>
      <c r="AB269" s="10">
        <v>7121311</v>
      </c>
    </row>
    <row r="270" spans="1:28" x14ac:dyDescent="0.25">
      <c r="A270">
        <v>3</v>
      </c>
      <c r="B270">
        <v>2017</v>
      </c>
      <c r="C270" t="s">
        <v>976</v>
      </c>
      <c r="D270">
        <v>7</v>
      </c>
      <c r="E270" t="s">
        <v>506</v>
      </c>
      <c r="F270" t="s">
        <v>23</v>
      </c>
      <c r="G270" t="s">
        <v>885</v>
      </c>
      <c r="H270" t="s">
        <v>25</v>
      </c>
      <c r="I270" t="s">
        <v>25</v>
      </c>
      <c r="K270" t="s">
        <v>425</v>
      </c>
      <c r="L270" s="4">
        <v>30983</v>
      </c>
      <c r="M270" s="10">
        <v>1865</v>
      </c>
      <c r="N270" t="s">
        <v>401</v>
      </c>
      <c r="O270" t="s">
        <v>943</v>
      </c>
      <c r="P270" s="24" t="s">
        <v>23</v>
      </c>
      <c r="Q270">
        <v>110</v>
      </c>
      <c r="R270" t="s">
        <v>84</v>
      </c>
      <c r="S270" t="s">
        <v>23</v>
      </c>
      <c r="U270" t="str">
        <f>IF(AND(ISNUMBER(L270),COUNTIF([2]Songs!$L:$L,L270)&gt;0),"YES","")</f>
        <v>YES</v>
      </c>
      <c r="V270" t="str">
        <f>IF(AND(ISNUMBER(L270),COUNTIF([3]Songs!$J:$J,L270)&gt;0),"YES","")</f>
        <v>YES</v>
      </c>
      <c r="W270" t="str">
        <f>IF(AND(ISNUMBER(L270),COUNTIF([1]Songs!$H:$H,L270)&gt;0),"YES","")</f>
        <v/>
      </c>
      <c r="X270" t="s">
        <v>640</v>
      </c>
      <c r="Y270">
        <v>37</v>
      </c>
      <c r="AA270" t="str">
        <f>I270
&amp;IF(H270=I270,""," "&amp;H270)
&amp;IF(OR(R270=I270,R270=H270),""," "&amp;R270)
&amp;IF(R270=S270,""," "&amp;S270)</f>
        <v xml:space="preserve">G F# </v>
      </c>
      <c r="AB270" s="10">
        <v>7104268</v>
      </c>
    </row>
    <row r="271" spans="1:28" x14ac:dyDescent="0.25">
      <c r="A271">
        <v>3</v>
      </c>
      <c r="B271">
        <v>2017</v>
      </c>
      <c r="C271" t="s">
        <v>976</v>
      </c>
      <c r="D271">
        <v>8</v>
      </c>
      <c r="E271" t="s">
        <v>507</v>
      </c>
      <c r="F271" t="s">
        <v>23</v>
      </c>
      <c r="G271" t="s">
        <v>870</v>
      </c>
      <c r="H271" t="s">
        <v>176</v>
      </c>
      <c r="I271" t="s">
        <v>176</v>
      </c>
      <c r="J271">
        <v>100</v>
      </c>
      <c r="K271" t="s">
        <v>380</v>
      </c>
      <c r="L271" s="4">
        <v>38583</v>
      </c>
      <c r="M271" s="10">
        <v>1882</v>
      </c>
      <c r="N271" t="s">
        <v>401</v>
      </c>
      <c r="O271" t="s">
        <v>943</v>
      </c>
      <c r="P271" s="24" t="s">
        <v>23</v>
      </c>
      <c r="Q271">
        <v>73</v>
      </c>
      <c r="R271" t="s">
        <v>84</v>
      </c>
      <c r="S271" t="s">
        <v>23</v>
      </c>
      <c r="U271" t="str">
        <f>IF(AND(ISNUMBER(L271),COUNTIF([2]Songs!$L:$L,L271)&gt;0),"YES","")</f>
        <v>YES</v>
      </c>
      <c r="V271" t="str">
        <f>IF(AND(ISNUMBER(L271),COUNTIF([3]Songs!$J:$J,L271)&gt;0),"YES","")</f>
        <v>YES</v>
      </c>
      <c r="W271" t="str">
        <f>IF(AND(ISNUMBER(L271),COUNTIF([1]Songs!$H:$H,L271)&gt;0),"YES","")</f>
        <v/>
      </c>
      <c r="X271" t="s">
        <v>640</v>
      </c>
      <c r="Y271">
        <v>38</v>
      </c>
      <c r="AA271" t="str">
        <f>I271
&amp;IF(H271=I271,""," "&amp;H271)
&amp;IF(OR(R271=I271,R271=H271),""," "&amp;R271)
&amp;IF(R271=S271,""," "&amp;S271)</f>
        <v xml:space="preserve">F F# </v>
      </c>
    </row>
    <row r="272" spans="1:28" x14ac:dyDescent="0.25">
      <c r="A272">
        <v>3</v>
      </c>
      <c r="B272">
        <v>2017</v>
      </c>
      <c r="C272" t="s">
        <v>976</v>
      </c>
      <c r="D272">
        <v>9</v>
      </c>
      <c r="E272" t="s">
        <v>508</v>
      </c>
      <c r="F272" t="s">
        <v>23</v>
      </c>
      <c r="O272" t="s">
        <v>943</v>
      </c>
      <c r="P272" s="24" t="s">
        <v>277</v>
      </c>
      <c r="Q272">
        <v>71</v>
      </c>
      <c r="R272" t="s">
        <v>39</v>
      </c>
      <c r="S272" t="s">
        <v>23</v>
      </c>
      <c r="U272" t="str">
        <f>IF(AND(ISNUMBER(L272),COUNTIF([2]Songs!$L:$L,L272)&gt;0),"YES","")</f>
        <v/>
      </c>
      <c r="V272" t="str">
        <f>IF(AND(ISNUMBER(L272),COUNTIF([3]Songs!$J:$J,L272)&gt;0),"YES","")</f>
        <v/>
      </c>
      <c r="W272" t="str">
        <f>IF(AND(ISNUMBER(L272),COUNTIF([1]Songs!$H:$H,L272)&gt;0),"YES","")</f>
        <v/>
      </c>
      <c r="X272" t="s">
        <v>640</v>
      </c>
      <c r="Y272">
        <v>39</v>
      </c>
      <c r="AA272" t="str">
        <f>I272
&amp;IF(H272=I272,""," "&amp;H272)
&amp;IF(OR(R272=I272,R272=H272),""," "&amp;R272)
&amp;IF(R272=S272,""," "&amp;S272)</f>
        <v xml:space="preserve"> D </v>
      </c>
      <c r="AB272" s="10">
        <v>5492031</v>
      </c>
    </row>
    <row r="273" spans="1:28" x14ac:dyDescent="0.25">
      <c r="A273">
        <v>3</v>
      </c>
      <c r="B273">
        <v>2017</v>
      </c>
      <c r="C273" t="s">
        <v>976</v>
      </c>
      <c r="D273">
        <v>10</v>
      </c>
      <c r="E273" t="s">
        <v>509</v>
      </c>
      <c r="F273" t="s">
        <v>23</v>
      </c>
      <c r="G273" t="s">
        <v>874</v>
      </c>
      <c r="H273" t="s">
        <v>25</v>
      </c>
      <c r="I273" t="s">
        <v>67</v>
      </c>
      <c r="J273">
        <v>120</v>
      </c>
      <c r="K273" t="s">
        <v>425</v>
      </c>
      <c r="L273" s="4">
        <v>31078</v>
      </c>
      <c r="M273" s="10">
        <v>1849</v>
      </c>
      <c r="N273" t="s">
        <v>401</v>
      </c>
      <c r="O273" t="s">
        <v>943</v>
      </c>
      <c r="P273" s="24" t="s">
        <v>23</v>
      </c>
      <c r="Q273">
        <v>67</v>
      </c>
      <c r="R273" t="s">
        <v>28</v>
      </c>
      <c r="S273" t="s">
        <v>23</v>
      </c>
      <c r="U273" t="str">
        <f>IF(AND(ISNUMBER(L273),COUNTIF([2]Songs!$L:$L,L273)&gt;0),"YES","")</f>
        <v>YES</v>
      </c>
      <c r="V273" t="str">
        <f>IF(AND(ISNUMBER(L273),COUNTIF([3]Songs!$J:$J,L273)&gt;0),"YES","")</f>
        <v>YES</v>
      </c>
      <c r="W273" t="str">
        <f>IF(AND(ISNUMBER(L273),COUNTIF([1]Songs!$H:$H,L273)&gt;0),"YES","")</f>
        <v/>
      </c>
      <c r="X273" t="s">
        <v>640</v>
      </c>
      <c r="Y273">
        <v>40</v>
      </c>
      <c r="AA273" t="str">
        <f>I273
&amp;IF(H273=I273,""," "&amp;H273)
&amp;IF(OR(R273=I273,R273=H273),""," "&amp;R273)
&amp;IF(R273=S273,""," "&amp;S273)</f>
        <v xml:space="preserve">Ab G Bb </v>
      </c>
      <c r="AB273" s="10">
        <v>7104270</v>
      </c>
    </row>
    <row r="274" spans="1:28" x14ac:dyDescent="0.25">
      <c r="A274">
        <v>4</v>
      </c>
      <c r="B274">
        <v>2015</v>
      </c>
      <c r="C274" t="s">
        <v>998</v>
      </c>
      <c r="D274">
        <v>1</v>
      </c>
      <c r="E274" t="s">
        <v>903</v>
      </c>
      <c r="F274" t="s">
        <v>904</v>
      </c>
      <c r="L274" s="10">
        <v>7053138</v>
      </c>
      <c r="P274" s="24" t="s">
        <v>70</v>
      </c>
      <c r="Q274">
        <v>69</v>
      </c>
      <c r="R274" t="s">
        <v>36</v>
      </c>
      <c r="S274" t="s">
        <v>23</v>
      </c>
      <c r="U274" t="str">
        <f>IF(AND(ISNUMBER(L274),COUNTIF([2]Songs!$L:$L,L274)&gt;0),"YES","")</f>
        <v/>
      </c>
      <c r="V274" t="str">
        <f>IF(AND(ISNUMBER(L274),COUNTIF([3]Songs!$J:$J,L274)&gt;0),"YES","")</f>
        <v>YES</v>
      </c>
      <c r="W274" t="str">
        <f>IF(AND(ISNUMBER(L274),COUNTIF([1]Songs!$H:$H,L274)&gt;0),"YES","")</f>
        <v/>
      </c>
      <c r="X274" t="s">
        <v>640</v>
      </c>
      <c r="Y274">
        <v>41</v>
      </c>
      <c r="AA274" t="str">
        <f>I274
&amp;IF(H274=I274,""," "&amp;H274)
&amp;IF(OR(R274=I274,R274=H274),""," "&amp;R274)
&amp;IF(R274=S274,""," "&amp;S274)</f>
        <v xml:space="preserve"> E </v>
      </c>
    </row>
    <row r="275" spans="1:28" x14ac:dyDescent="0.25">
      <c r="A275">
        <v>4</v>
      </c>
      <c r="B275">
        <v>2015</v>
      </c>
      <c r="C275" t="s">
        <v>998</v>
      </c>
      <c r="D275">
        <v>2</v>
      </c>
      <c r="E275" t="s">
        <v>905</v>
      </c>
      <c r="F275" t="s">
        <v>906</v>
      </c>
      <c r="L275" s="10">
        <v>7054933</v>
      </c>
      <c r="P275" s="24" t="s">
        <v>70</v>
      </c>
      <c r="Q275">
        <v>106</v>
      </c>
      <c r="R275" t="s">
        <v>36</v>
      </c>
      <c r="S275" t="s">
        <v>23</v>
      </c>
      <c r="U275" t="str">
        <f>IF(AND(ISNUMBER(L275),COUNTIF([2]Songs!$L:$L,L275)&gt;0),"YES","")</f>
        <v/>
      </c>
      <c r="V275" t="str">
        <f>IF(AND(ISNUMBER(L275),COUNTIF([3]Songs!$J:$J,L275)&gt;0),"YES","")</f>
        <v>YES</v>
      </c>
      <c r="W275" t="str">
        <f>IF(AND(ISNUMBER(L275),COUNTIF([1]Songs!$H:$H,L275)&gt;0),"YES","")</f>
        <v/>
      </c>
      <c r="X275" t="s">
        <v>640</v>
      </c>
      <c r="Y275">
        <v>42</v>
      </c>
      <c r="AA275" t="str">
        <f>I275
&amp;IF(H275=I275,""," "&amp;H275)
&amp;IF(OR(R275=I275,R275=H275),""," "&amp;R275)
&amp;IF(R275=S275,""," "&amp;S275)</f>
        <v xml:space="preserve"> E </v>
      </c>
    </row>
    <row r="276" spans="1:28" x14ac:dyDescent="0.25">
      <c r="A276">
        <v>4</v>
      </c>
      <c r="B276">
        <v>2015</v>
      </c>
      <c r="C276" t="s">
        <v>998</v>
      </c>
      <c r="D276">
        <v>3</v>
      </c>
      <c r="E276" t="s">
        <v>907</v>
      </c>
      <c r="F276" t="s">
        <v>908</v>
      </c>
      <c r="L276" s="10">
        <v>7054932</v>
      </c>
      <c r="P276" s="24" t="s">
        <v>70</v>
      </c>
      <c r="Q276">
        <v>57</v>
      </c>
      <c r="R276" t="s">
        <v>39</v>
      </c>
      <c r="S276" t="s">
        <v>23</v>
      </c>
      <c r="U276" t="str">
        <f>IF(AND(ISNUMBER(L276),COUNTIF([2]Songs!$L:$L,L276)&gt;0),"YES","")</f>
        <v/>
      </c>
      <c r="V276" t="str">
        <f>IF(AND(ISNUMBER(L276),COUNTIF([3]Songs!$J:$J,L276)&gt;0),"YES","")</f>
        <v>YES</v>
      </c>
      <c r="W276" t="str">
        <f>IF(AND(ISNUMBER(L276),COUNTIF([1]Songs!$H:$H,L276)&gt;0),"YES","")</f>
        <v/>
      </c>
      <c r="X276" t="s">
        <v>640</v>
      </c>
      <c r="Y276">
        <v>43</v>
      </c>
      <c r="AA276" t="str">
        <f>I276
&amp;IF(H276=I276,""," "&amp;H276)
&amp;IF(OR(R276=I276,R276=H276),""," "&amp;R276)
&amp;IF(R276=S276,""," "&amp;S276)</f>
        <v xml:space="preserve"> D </v>
      </c>
    </row>
    <row r="277" spans="1:28" x14ac:dyDescent="0.25">
      <c r="A277">
        <v>4</v>
      </c>
      <c r="B277">
        <v>2015</v>
      </c>
      <c r="C277" t="s">
        <v>998</v>
      </c>
      <c r="D277">
        <v>4</v>
      </c>
      <c r="E277" t="s">
        <v>909</v>
      </c>
      <c r="F277" t="s">
        <v>910</v>
      </c>
      <c r="L277" s="10">
        <v>7054928</v>
      </c>
      <c r="P277" s="24" t="s">
        <v>70</v>
      </c>
      <c r="Q277">
        <v>97</v>
      </c>
      <c r="R277" t="s">
        <v>39</v>
      </c>
      <c r="S277" t="s">
        <v>23</v>
      </c>
      <c r="U277" t="str">
        <f>IF(AND(ISNUMBER(L277),COUNTIF([2]Songs!$L:$L,L277)&gt;0),"YES","")</f>
        <v/>
      </c>
      <c r="V277" t="str">
        <f>IF(AND(ISNUMBER(L277),COUNTIF([3]Songs!$J:$J,L277)&gt;0),"YES","")</f>
        <v>YES</v>
      </c>
      <c r="W277" t="str">
        <f>IF(AND(ISNUMBER(L277),COUNTIF([1]Songs!$H:$H,L277)&gt;0),"YES","")</f>
        <v/>
      </c>
      <c r="X277" t="s">
        <v>640</v>
      </c>
      <c r="Y277">
        <v>44</v>
      </c>
      <c r="AA277" t="str">
        <f>I277
&amp;IF(H277=I277,""," "&amp;H277)
&amp;IF(OR(R277=I277,R277=H277),""," "&amp;R277)
&amp;IF(R277=S277,""," "&amp;S277)</f>
        <v xml:space="preserve"> D </v>
      </c>
    </row>
    <row r="278" spans="1:28" x14ac:dyDescent="0.25">
      <c r="A278">
        <v>4</v>
      </c>
      <c r="B278">
        <v>2015</v>
      </c>
      <c r="C278" t="s">
        <v>998</v>
      </c>
      <c r="D278">
        <v>5</v>
      </c>
      <c r="E278" t="s">
        <v>911</v>
      </c>
      <c r="F278" t="s">
        <v>912</v>
      </c>
      <c r="L278" s="10">
        <v>7054936</v>
      </c>
      <c r="P278" s="24" t="s">
        <v>70</v>
      </c>
      <c r="Q278">
        <v>107</v>
      </c>
      <c r="R278" t="s">
        <v>39</v>
      </c>
      <c r="S278" t="s">
        <v>23</v>
      </c>
      <c r="U278" t="str">
        <f>IF(AND(ISNUMBER(L278),COUNTIF([2]Songs!$L:$L,L278)&gt;0),"YES","")</f>
        <v/>
      </c>
      <c r="V278" t="str">
        <f>IF(AND(ISNUMBER(L278),COUNTIF([3]Songs!$J:$J,L278)&gt;0),"YES","")</f>
        <v>YES</v>
      </c>
      <c r="W278" t="str">
        <f>IF(AND(ISNUMBER(L278),COUNTIF([1]Songs!$H:$H,L278)&gt;0),"YES","")</f>
        <v/>
      </c>
      <c r="X278" t="s">
        <v>640</v>
      </c>
      <c r="Y278">
        <v>45</v>
      </c>
      <c r="AA278" t="str">
        <f>I278
&amp;IF(H278=I278,""," "&amp;H278)
&amp;IF(OR(R278=I278,R278=H278),""," "&amp;R278)
&amp;IF(R278=S278,""," "&amp;S278)</f>
        <v xml:space="preserve"> D </v>
      </c>
    </row>
    <row r="279" spans="1:28" x14ac:dyDescent="0.25">
      <c r="A279">
        <v>4</v>
      </c>
      <c r="B279">
        <v>2015</v>
      </c>
      <c r="C279" t="s">
        <v>998</v>
      </c>
      <c r="D279">
        <v>6</v>
      </c>
      <c r="E279" t="s">
        <v>913</v>
      </c>
      <c r="F279" t="s">
        <v>914</v>
      </c>
      <c r="L279" s="10">
        <v>7054935</v>
      </c>
      <c r="P279" s="24" t="s">
        <v>70</v>
      </c>
      <c r="Q279">
        <v>123</v>
      </c>
      <c r="R279" t="s">
        <v>39</v>
      </c>
      <c r="S279" t="s">
        <v>23</v>
      </c>
      <c r="U279" t="str">
        <f>IF(AND(ISNUMBER(L279),COUNTIF([2]Songs!$L:$L,L279)&gt;0),"YES","")</f>
        <v/>
      </c>
      <c r="V279" t="str">
        <f>IF(AND(ISNUMBER(L279),COUNTIF([3]Songs!$J:$J,L279)&gt;0),"YES","")</f>
        <v>YES</v>
      </c>
      <c r="W279" t="str">
        <f>IF(AND(ISNUMBER(L279),COUNTIF([1]Songs!$H:$H,L279)&gt;0),"YES","")</f>
        <v/>
      </c>
      <c r="X279" t="s">
        <v>640</v>
      </c>
      <c r="Y279">
        <v>46</v>
      </c>
      <c r="AA279" t="str">
        <f>I279
&amp;IF(H279=I279,""," "&amp;H279)
&amp;IF(OR(R279=I279,R279=H279),""," "&amp;R279)
&amp;IF(R279=S279,""," "&amp;S279)</f>
        <v xml:space="preserve"> D </v>
      </c>
    </row>
    <row r="280" spans="1:28" x14ac:dyDescent="0.25">
      <c r="A280">
        <v>4</v>
      </c>
      <c r="B280">
        <v>2015</v>
      </c>
      <c r="C280" t="s">
        <v>998</v>
      </c>
      <c r="D280">
        <v>7</v>
      </c>
      <c r="E280" t="s">
        <v>915</v>
      </c>
      <c r="F280" t="s">
        <v>916</v>
      </c>
      <c r="L280" s="10" t="s">
        <v>327</v>
      </c>
      <c r="P280" s="24" t="s">
        <v>70</v>
      </c>
      <c r="Q280">
        <v>62</v>
      </c>
      <c r="R280" t="s">
        <v>52</v>
      </c>
      <c r="S280" t="s">
        <v>23</v>
      </c>
      <c r="U280" t="str">
        <f>IF(AND(ISNUMBER(L280),COUNTIF([2]Songs!$L:$L,L280)&gt;0),"YES","")</f>
        <v/>
      </c>
      <c r="V280" t="str">
        <f>IF(AND(ISNUMBER(L280),COUNTIF([3]Songs!$J:$J,L280)&gt;0),"YES","")</f>
        <v/>
      </c>
      <c r="W280" t="str">
        <f>IF(AND(ISNUMBER(L280),COUNTIF([1]Songs!$H:$H,L280)&gt;0),"YES","")</f>
        <v/>
      </c>
      <c r="X280" t="s">
        <v>640</v>
      </c>
      <c r="Y280">
        <v>47</v>
      </c>
      <c r="AA280" t="str">
        <f>I280
&amp;IF(H280=I280,""," "&amp;H280)
&amp;IF(OR(R280=I280,R280=H280),""," "&amp;R280)
&amp;IF(R280=S280,""," "&amp;S280)</f>
        <v xml:space="preserve"> A </v>
      </c>
    </row>
    <row r="281" spans="1:28" x14ac:dyDescent="0.25">
      <c r="A281">
        <v>4</v>
      </c>
      <c r="B281">
        <v>2015</v>
      </c>
      <c r="C281" t="s">
        <v>998</v>
      </c>
      <c r="D281">
        <v>8</v>
      </c>
      <c r="E281" t="s">
        <v>917</v>
      </c>
      <c r="F281" t="s">
        <v>918</v>
      </c>
      <c r="L281" s="10">
        <v>7054927</v>
      </c>
      <c r="P281" s="24" t="s">
        <v>70</v>
      </c>
      <c r="Q281">
        <v>73</v>
      </c>
      <c r="R281" t="s">
        <v>31</v>
      </c>
      <c r="S281" t="s">
        <v>23</v>
      </c>
      <c r="U281" t="str">
        <f>IF(AND(ISNUMBER(L281),COUNTIF([2]Songs!$L:$L,L281)&gt;0),"YES","")</f>
        <v/>
      </c>
      <c r="V281" t="str">
        <f>IF(AND(ISNUMBER(L281),COUNTIF([3]Songs!$J:$J,L281)&gt;0),"YES","")</f>
        <v>YES</v>
      </c>
      <c r="W281" t="str">
        <f>IF(AND(ISNUMBER(L281),COUNTIF([1]Songs!$H:$H,L281)&gt;0),"YES","")</f>
        <v/>
      </c>
      <c r="X281" t="s">
        <v>640</v>
      </c>
      <c r="Y281">
        <v>48</v>
      </c>
      <c r="AA281" t="str">
        <f>I281
&amp;IF(H281=I281,""," "&amp;H281)
&amp;IF(OR(R281=I281,R281=H281),""," "&amp;R281)
&amp;IF(R281=S281,""," "&amp;S281)</f>
        <v xml:space="preserve"> B </v>
      </c>
    </row>
    <row r="282" spans="1:28" x14ac:dyDescent="0.25">
      <c r="A282">
        <v>4</v>
      </c>
      <c r="B282">
        <v>2015</v>
      </c>
      <c r="C282" t="s">
        <v>998</v>
      </c>
      <c r="D282">
        <v>9</v>
      </c>
      <c r="E282" t="s">
        <v>919</v>
      </c>
      <c r="F282" t="s">
        <v>920</v>
      </c>
      <c r="L282" s="10">
        <v>7054929</v>
      </c>
      <c r="P282" s="24" t="s">
        <v>70</v>
      </c>
      <c r="Q282">
        <v>123</v>
      </c>
      <c r="R282" t="s">
        <v>31</v>
      </c>
      <c r="S282" t="s">
        <v>23</v>
      </c>
      <c r="U282" t="str">
        <f>IF(AND(ISNUMBER(L282),COUNTIF([2]Songs!$L:$L,L282)&gt;0),"YES","")</f>
        <v/>
      </c>
      <c r="V282" t="str">
        <f>IF(AND(ISNUMBER(L282),COUNTIF([3]Songs!$J:$J,L282)&gt;0),"YES","")</f>
        <v>YES</v>
      </c>
      <c r="W282" t="str">
        <f>IF(AND(ISNUMBER(L282),COUNTIF([1]Songs!$H:$H,L282)&gt;0),"YES","")</f>
        <v/>
      </c>
      <c r="X282" t="s">
        <v>640</v>
      </c>
      <c r="Y282">
        <v>49</v>
      </c>
      <c r="AA282" t="str">
        <f>I282
&amp;IF(H282=I282,""," "&amp;H282)
&amp;IF(OR(R282=I282,R282=H282),""," "&amp;R282)
&amp;IF(R282=S282,""," "&amp;S282)</f>
        <v xml:space="preserve"> B </v>
      </c>
    </row>
    <row r="283" spans="1:28" x14ac:dyDescent="0.25">
      <c r="A283">
        <v>4</v>
      </c>
      <c r="B283">
        <v>2015</v>
      </c>
      <c r="C283" t="s">
        <v>998</v>
      </c>
      <c r="D283">
        <v>10</v>
      </c>
      <c r="E283" t="s">
        <v>510</v>
      </c>
      <c r="F283" t="s">
        <v>23</v>
      </c>
      <c r="L283" s="10">
        <v>7057211</v>
      </c>
      <c r="P283" s="24" t="s">
        <v>70</v>
      </c>
      <c r="Q283">
        <v>60</v>
      </c>
      <c r="R283" t="s">
        <v>31</v>
      </c>
      <c r="S283" t="s">
        <v>23</v>
      </c>
      <c r="U283" t="str">
        <f>IF(AND(ISNUMBER(L283),COUNTIF([2]Songs!$L:$L,L283)&gt;0),"YES","")</f>
        <v/>
      </c>
      <c r="V283" t="str">
        <f>IF(AND(ISNUMBER(L283),COUNTIF([3]Songs!$J:$J,L283)&gt;0),"YES","")</f>
        <v>YES</v>
      </c>
      <c r="W283" t="str">
        <f>IF(AND(ISNUMBER(L283),COUNTIF([1]Songs!$H:$H,L283)&gt;0),"YES","")</f>
        <v/>
      </c>
      <c r="X283" t="s">
        <v>640</v>
      </c>
      <c r="Y283">
        <v>50</v>
      </c>
      <c r="AA283" t="str">
        <f>I283
&amp;IF(H283=I283,""," "&amp;H283)
&amp;IF(OR(R283=I283,R283=H283),""," "&amp;R283)
&amp;IF(R283=S283,""," "&amp;S283)</f>
        <v xml:space="preserve"> B </v>
      </c>
    </row>
    <row r="284" spans="1:28" x14ac:dyDescent="0.25">
      <c r="A284">
        <v>4</v>
      </c>
      <c r="B284">
        <v>2015</v>
      </c>
      <c r="C284" t="s">
        <v>998</v>
      </c>
      <c r="D284">
        <v>11</v>
      </c>
      <c r="E284" t="s">
        <v>921</v>
      </c>
      <c r="F284" t="s">
        <v>922</v>
      </c>
      <c r="L284" s="10">
        <v>7054931</v>
      </c>
      <c r="P284" s="24" t="s">
        <v>70</v>
      </c>
      <c r="Q284">
        <v>69</v>
      </c>
      <c r="R284" t="s">
        <v>47</v>
      </c>
      <c r="S284" t="s">
        <v>23</v>
      </c>
      <c r="U284" t="str">
        <f>IF(AND(ISNUMBER(L284),COUNTIF([2]Songs!$L:$L,L284)&gt;0),"YES","")</f>
        <v/>
      </c>
      <c r="V284" t="str">
        <f>IF(AND(ISNUMBER(L284),COUNTIF([3]Songs!$J:$J,L284)&gt;0),"YES","")</f>
        <v>YES</v>
      </c>
      <c r="W284" t="str">
        <f>IF(AND(ISNUMBER(L284),COUNTIF([1]Songs!$H:$H,L284)&gt;0),"YES","")</f>
        <v/>
      </c>
      <c r="X284" t="s">
        <v>640</v>
      </c>
      <c r="Y284">
        <v>51</v>
      </c>
      <c r="AA284" t="str">
        <f>I284
&amp;IF(H284=I284,""," "&amp;H284)
&amp;IF(OR(R284=I284,R284=H284),""," "&amp;R284)
&amp;IF(R284=S284,""," "&amp;S284)</f>
        <v xml:space="preserve"> C </v>
      </c>
    </row>
    <row r="285" spans="1:28" x14ac:dyDescent="0.25">
      <c r="A285">
        <v>4</v>
      </c>
      <c r="B285">
        <v>2015</v>
      </c>
      <c r="C285" t="s">
        <v>998</v>
      </c>
      <c r="D285">
        <v>12</v>
      </c>
      <c r="E285" t="s">
        <v>598</v>
      </c>
      <c r="F285" t="s">
        <v>923</v>
      </c>
      <c r="L285" s="10">
        <v>7054930</v>
      </c>
      <c r="P285" s="24" t="s">
        <v>70</v>
      </c>
      <c r="Q285">
        <v>55</v>
      </c>
      <c r="R285" t="s">
        <v>47</v>
      </c>
      <c r="S285" t="s">
        <v>23</v>
      </c>
      <c r="U285" t="str">
        <f>IF(AND(ISNUMBER(L285),COUNTIF([2]Songs!$L:$L,L285)&gt;0),"YES","")</f>
        <v/>
      </c>
      <c r="V285" t="str">
        <f>IF(AND(ISNUMBER(L285),COUNTIF([3]Songs!$J:$J,L285)&gt;0),"YES","")</f>
        <v>YES</v>
      </c>
      <c r="W285" t="str">
        <f>IF(AND(ISNUMBER(L285),COUNTIF([1]Songs!$H:$H,L285)&gt;0),"YES","")</f>
        <v/>
      </c>
      <c r="X285" t="s">
        <v>640</v>
      </c>
      <c r="Y285">
        <v>52</v>
      </c>
      <c r="AA285" t="str">
        <f>I285
&amp;IF(H285=I285,""," "&amp;H285)
&amp;IF(OR(R285=I285,R285=H285),""," "&amp;R285)
&amp;IF(R285=S285,""," "&amp;S285)</f>
        <v xml:space="preserve"> C </v>
      </c>
    </row>
    <row r="286" spans="1:28" x14ac:dyDescent="0.25">
      <c r="A286">
        <v>5</v>
      </c>
      <c r="C286" t="s">
        <v>18</v>
      </c>
      <c r="D286">
        <v>1</v>
      </c>
      <c r="E286" t="s">
        <v>511</v>
      </c>
      <c r="F286" t="s">
        <v>23</v>
      </c>
      <c r="L286" s="10">
        <v>7148126</v>
      </c>
      <c r="P286" s="24" t="s">
        <v>27</v>
      </c>
      <c r="Q286">
        <v>81</v>
      </c>
      <c r="R286" t="s">
        <v>93</v>
      </c>
      <c r="S286" t="s">
        <v>23</v>
      </c>
      <c r="U286" t="str">
        <f>IF(AND(ISNUMBER(L286),COUNTIF([2]Songs!$L:$L,L286)&gt;0),"YES","")</f>
        <v/>
      </c>
      <c r="V286" t="str">
        <f>IF(AND(ISNUMBER(L286),COUNTIF([3]Songs!$J:$J,L286)&gt;0),"YES","")</f>
        <v>YES</v>
      </c>
      <c r="W286" t="str">
        <f>IF(AND(ISNUMBER(L286),COUNTIF([1]Songs!$H:$H,L286)&gt;0),"YES","")</f>
        <v/>
      </c>
      <c r="X286" t="s">
        <v>640</v>
      </c>
      <c r="Y286">
        <v>53</v>
      </c>
      <c r="AA286" t="str">
        <f>I286
&amp;IF(H286=I286,""," "&amp;H286)
&amp;IF(OR(R286=I286,R286=H286),""," "&amp;R286)
&amp;IF(R286=S286,""," "&amp;S286)</f>
        <v xml:space="preserve"> Db </v>
      </c>
    </row>
    <row r="287" spans="1:28" x14ac:dyDescent="0.25">
      <c r="A287">
        <v>5</v>
      </c>
      <c r="C287" t="s">
        <v>18</v>
      </c>
      <c r="D287">
        <v>2</v>
      </c>
      <c r="E287" t="s">
        <v>512</v>
      </c>
      <c r="F287" t="s">
        <v>17</v>
      </c>
      <c r="L287" s="10">
        <v>5942543</v>
      </c>
      <c r="P287" s="24" t="s">
        <v>27</v>
      </c>
      <c r="Q287">
        <v>84</v>
      </c>
      <c r="R287" t="s">
        <v>52</v>
      </c>
      <c r="S287" t="s">
        <v>23</v>
      </c>
      <c r="U287" t="str">
        <f>IF(AND(ISNUMBER(L287),COUNTIF([2]Songs!$L:$L,L287)&gt;0),"YES","")</f>
        <v/>
      </c>
      <c r="V287" t="str">
        <f>IF(AND(ISNUMBER(L287),COUNTIF([3]Songs!$J:$J,L287)&gt;0),"YES","")</f>
        <v>YES</v>
      </c>
      <c r="W287" t="str">
        <f>IF(AND(ISNUMBER(L287),COUNTIF([1]Songs!$H:$H,L287)&gt;0),"YES","")</f>
        <v/>
      </c>
      <c r="X287" t="s">
        <v>640</v>
      </c>
      <c r="Y287">
        <v>54</v>
      </c>
      <c r="AA287" t="str">
        <f>I287
&amp;IF(H287=I287,""," "&amp;H287)
&amp;IF(OR(R287=I287,R287=H287),""," "&amp;R287)
&amp;IF(R287=S287,""," "&amp;S287)</f>
        <v xml:space="preserve"> A </v>
      </c>
    </row>
    <row r="288" spans="1:28" x14ac:dyDescent="0.25">
      <c r="A288">
        <v>5</v>
      </c>
      <c r="C288" t="s">
        <v>18</v>
      </c>
      <c r="D288">
        <v>3</v>
      </c>
      <c r="E288" t="s">
        <v>513</v>
      </c>
      <c r="F288" t="s">
        <v>17</v>
      </c>
      <c r="L288" s="10">
        <v>7119315</v>
      </c>
      <c r="P288" s="24" t="s">
        <v>201</v>
      </c>
      <c r="Q288">
        <v>82</v>
      </c>
      <c r="R288" t="s">
        <v>47</v>
      </c>
      <c r="S288" t="s">
        <v>23</v>
      </c>
      <c r="U288" t="str">
        <f>IF(AND(ISNUMBER(L288),COUNTIF([2]Songs!$L:$L,L288)&gt;0),"YES","")</f>
        <v/>
      </c>
      <c r="V288" t="str">
        <f>IF(AND(ISNUMBER(L288),COUNTIF([3]Songs!$J:$J,L288)&gt;0),"YES","")</f>
        <v>YES</v>
      </c>
      <c r="W288" t="str">
        <f>IF(AND(ISNUMBER(L288),COUNTIF([1]Songs!$H:$H,L288)&gt;0),"YES","")</f>
        <v/>
      </c>
      <c r="X288" t="s">
        <v>640</v>
      </c>
      <c r="Y288">
        <v>55</v>
      </c>
      <c r="AA288" t="str">
        <f>I288
&amp;IF(H288=I288,""," "&amp;H288)
&amp;IF(OR(R288=I288,R288=H288),""," "&amp;R288)
&amp;IF(R288=S288,""," "&amp;S288)</f>
        <v xml:space="preserve"> C </v>
      </c>
    </row>
    <row r="289" spans="1:27" x14ac:dyDescent="0.25">
      <c r="A289">
        <v>5</v>
      </c>
      <c r="C289" t="s">
        <v>18</v>
      </c>
      <c r="D289">
        <v>4</v>
      </c>
      <c r="E289" t="s">
        <v>514</v>
      </c>
      <c r="F289" t="s">
        <v>17</v>
      </c>
      <c r="L289" s="10">
        <v>7104628</v>
      </c>
      <c r="P289" s="24" t="s">
        <v>215</v>
      </c>
      <c r="Q289">
        <v>64</v>
      </c>
      <c r="R289" t="s">
        <v>39</v>
      </c>
      <c r="S289" t="s">
        <v>23</v>
      </c>
      <c r="U289" t="str">
        <f>IF(AND(ISNUMBER(L289),COUNTIF([2]Songs!$L:$L,L289)&gt;0),"YES","")</f>
        <v/>
      </c>
      <c r="V289" t="str">
        <f>IF(AND(ISNUMBER(L289),COUNTIF([3]Songs!$J:$J,L289)&gt;0),"YES","")</f>
        <v>YES</v>
      </c>
      <c r="W289" t="str">
        <f>IF(AND(ISNUMBER(L289),COUNTIF([1]Songs!$H:$H,L289)&gt;0),"YES","")</f>
        <v/>
      </c>
      <c r="X289" t="s">
        <v>640</v>
      </c>
      <c r="Y289">
        <v>56</v>
      </c>
      <c r="AA289" t="str">
        <f>I289
&amp;IF(H289=I289,""," "&amp;H289)
&amp;IF(OR(R289=I289,R289=H289),""," "&amp;R289)
&amp;IF(R289=S289,""," "&amp;S289)</f>
        <v xml:space="preserve"> D </v>
      </c>
    </row>
    <row r="290" spans="1:27" x14ac:dyDescent="0.25">
      <c r="A290">
        <v>5</v>
      </c>
      <c r="C290" t="s">
        <v>18</v>
      </c>
      <c r="D290">
        <v>5</v>
      </c>
      <c r="E290" t="s">
        <v>515</v>
      </c>
      <c r="F290" t="s">
        <v>17</v>
      </c>
      <c r="L290" s="10">
        <v>7123203</v>
      </c>
      <c r="P290" s="24" t="s">
        <v>35</v>
      </c>
      <c r="Q290">
        <v>63</v>
      </c>
      <c r="R290" t="s">
        <v>28</v>
      </c>
      <c r="S290" t="s">
        <v>23</v>
      </c>
      <c r="U290" t="str">
        <f>IF(AND(ISNUMBER(L290),COUNTIF([2]Songs!$L:$L,L290)&gt;0),"YES","")</f>
        <v/>
      </c>
      <c r="V290" t="str">
        <f>IF(AND(ISNUMBER(L290),COUNTIF([3]Songs!$J:$J,L290)&gt;0),"YES","")</f>
        <v>YES</v>
      </c>
      <c r="W290" t="str">
        <f>IF(AND(ISNUMBER(L290),COUNTIF([1]Songs!$H:$H,L290)&gt;0),"YES","")</f>
        <v/>
      </c>
      <c r="X290" t="s">
        <v>640</v>
      </c>
      <c r="Y290">
        <v>57</v>
      </c>
      <c r="AA290" t="str">
        <f>I290
&amp;IF(H290=I290,""," "&amp;H290)
&amp;IF(OR(R290=I290,R290=H290),""," "&amp;R290)
&amp;IF(R290=S290,""," "&amp;S290)</f>
        <v xml:space="preserve"> Bb </v>
      </c>
    </row>
    <row r="291" spans="1:27" x14ac:dyDescent="0.25">
      <c r="A291">
        <v>5</v>
      </c>
      <c r="C291" t="s">
        <v>18</v>
      </c>
      <c r="D291">
        <v>6</v>
      </c>
      <c r="E291" t="s">
        <v>516</v>
      </c>
      <c r="F291" t="s">
        <v>17</v>
      </c>
      <c r="L291" s="10">
        <v>6605236</v>
      </c>
      <c r="P291" s="24" t="s">
        <v>215</v>
      </c>
      <c r="Q291">
        <v>70</v>
      </c>
      <c r="R291" t="s">
        <v>52</v>
      </c>
      <c r="S291" t="s">
        <v>23</v>
      </c>
      <c r="U291" t="str">
        <f>IF(AND(ISNUMBER(L291),COUNTIF([2]Songs!$L:$L,L291)&gt;0),"YES","")</f>
        <v/>
      </c>
      <c r="V291" t="str">
        <f>IF(AND(ISNUMBER(L291),COUNTIF([3]Songs!$J:$J,L291)&gt;0),"YES","")</f>
        <v>YES</v>
      </c>
      <c r="W291" t="str">
        <f>IF(AND(ISNUMBER(L291),COUNTIF([1]Songs!$H:$H,L291)&gt;0),"YES","")</f>
        <v/>
      </c>
      <c r="X291" t="s">
        <v>640</v>
      </c>
      <c r="Y291">
        <v>58</v>
      </c>
      <c r="AA291" t="str">
        <f>I291
&amp;IF(H291=I291,""," "&amp;H291)
&amp;IF(OR(R291=I291,R291=H291),""," "&amp;R291)
&amp;IF(R291=S291,""," "&amp;S291)</f>
        <v xml:space="preserve"> A </v>
      </c>
    </row>
    <row r="292" spans="1:27" x14ac:dyDescent="0.25">
      <c r="A292">
        <v>5</v>
      </c>
      <c r="C292" t="s">
        <v>18</v>
      </c>
      <c r="D292">
        <v>7</v>
      </c>
      <c r="E292" t="s">
        <v>517</v>
      </c>
      <c r="F292" t="s">
        <v>17</v>
      </c>
      <c r="L292" s="10">
        <v>3407011</v>
      </c>
      <c r="P292" s="24" t="s">
        <v>70</v>
      </c>
      <c r="Q292">
        <v>80</v>
      </c>
      <c r="R292" t="s">
        <v>25</v>
      </c>
      <c r="S292" t="s">
        <v>23</v>
      </c>
      <c r="U292" t="str">
        <f>IF(AND(ISNUMBER(L292),COUNTIF([2]Songs!$L:$L,L292)&gt;0),"YES","")</f>
        <v/>
      </c>
      <c r="V292" t="str">
        <f>IF(AND(ISNUMBER(L292),COUNTIF([3]Songs!$J:$J,L292)&gt;0),"YES","")</f>
        <v>YES</v>
      </c>
      <c r="W292" t="str">
        <f>IF(AND(ISNUMBER(L292),COUNTIF([1]Songs!$H:$H,L292)&gt;0),"YES","")</f>
        <v/>
      </c>
      <c r="X292" t="s">
        <v>640</v>
      </c>
      <c r="Y292">
        <v>59</v>
      </c>
      <c r="AA292" t="str">
        <f>I292
&amp;IF(H292=I292,""," "&amp;H292)
&amp;IF(OR(R292=I292,R292=H292),""," "&amp;R292)
&amp;IF(R292=S292,""," "&amp;S292)</f>
        <v xml:space="preserve"> G </v>
      </c>
    </row>
    <row r="293" spans="1:27" x14ac:dyDescent="0.25">
      <c r="A293">
        <v>5</v>
      </c>
      <c r="C293" t="s">
        <v>18</v>
      </c>
      <c r="D293">
        <v>8</v>
      </c>
      <c r="E293" t="s">
        <v>518</v>
      </c>
      <c r="F293" t="s">
        <v>17</v>
      </c>
      <c r="L293" s="10">
        <v>3406988</v>
      </c>
      <c r="P293" s="24" t="s">
        <v>70</v>
      </c>
      <c r="Q293">
        <v>80</v>
      </c>
      <c r="R293" t="s">
        <v>39</v>
      </c>
      <c r="S293" t="s">
        <v>23</v>
      </c>
      <c r="U293" t="str">
        <f>IF(AND(ISNUMBER(L293),COUNTIF([2]Songs!$L:$L,L293)&gt;0),"YES","")</f>
        <v/>
      </c>
      <c r="V293" t="str">
        <f>IF(AND(ISNUMBER(L293),COUNTIF([3]Songs!$J:$J,L293)&gt;0),"YES","")</f>
        <v>YES</v>
      </c>
      <c r="W293" t="str">
        <f>IF(AND(ISNUMBER(L293),COUNTIF([1]Songs!$H:$H,L293)&gt;0),"YES","")</f>
        <v/>
      </c>
      <c r="X293" t="s">
        <v>640</v>
      </c>
      <c r="Y293">
        <v>60</v>
      </c>
      <c r="AA293" t="str">
        <f>I293
&amp;IF(H293=I293,""," "&amp;H293)
&amp;IF(OR(R293=I293,R293=H293),""," "&amp;R293)
&amp;IF(R293=S293,""," "&amp;S293)</f>
        <v xml:space="preserve"> D </v>
      </c>
    </row>
    <row r="294" spans="1:27" x14ac:dyDescent="0.25">
      <c r="A294">
        <v>5</v>
      </c>
      <c r="C294" t="s">
        <v>18</v>
      </c>
      <c r="D294">
        <v>9</v>
      </c>
      <c r="E294" t="s">
        <v>519</v>
      </c>
      <c r="F294" t="s">
        <v>17</v>
      </c>
      <c r="L294" s="10">
        <v>6590815</v>
      </c>
      <c r="P294" s="24" t="s">
        <v>70</v>
      </c>
      <c r="Q294">
        <v>118</v>
      </c>
      <c r="R294" t="s">
        <v>39</v>
      </c>
      <c r="S294" t="s">
        <v>23</v>
      </c>
      <c r="U294" t="str">
        <f>IF(AND(ISNUMBER(L294),COUNTIF([2]Songs!$L:$L,L294)&gt;0),"YES","")</f>
        <v/>
      </c>
      <c r="V294" t="str">
        <f>IF(AND(ISNUMBER(L294),COUNTIF([3]Songs!$J:$J,L294)&gt;0),"YES","")</f>
        <v>YES</v>
      </c>
      <c r="W294" t="str">
        <f>IF(AND(ISNUMBER(L294),COUNTIF([1]Songs!$H:$H,L294)&gt;0),"YES","")</f>
        <v/>
      </c>
      <c r="X294" t="s">
        <v>640</v>
      </c>
      <c r="Y294">
        <v>61</v>
      </c>
      <c r="AA294" t="str">
        <f>I294
&amp;IF(H294=I294,""," "&amp;H294)
&amp;IF(OR(R294=I294,R294=H294),""," "&amp;R294)
&amp;IF(R294=S294,""," "&amp;S294)</f>
        <v xml:space="preserve"> D </v>
      </c>
    </row>
    <row r="295" spans="1:27" x14ac:dyDescent="0.25">
      <c r="A295">
        <v>5</v>
      </c>
      <c r="C295" t="s">
        <v>18</v>
      </c>
      <c r="D295">
        <v>10</v>
      </c>
      <c r="E295" t="s">
        <v>520</v>
      </c>
      <c r="F295" t="s">
        <v>17</v>
      </c>
      <c r="L295" s="10">
        <v>5627789</v>
      </c>
      <c r="P295" s="24" t="s">
        <v>70</v>
      </c>
      <c r="Q295">
        <v>72</v>
      </c>
      <c r="R295" t="s">
        <v>31</v>
      </c>
      <c r="S295" t="s">
        <v>23</v>
      </c>
      <c r="U295" t="str">
        <f>IF(AND(ISNUMBER(L295),COUNTIF([2]Songs!$L:$L,L295)&gt;0),"YES","")</f>
        <v/>
      </c>
      <c r="V295" t="str">
        <f>IF(AND(ISNUMBER(L295),COUNTIF([3]Songs!$J:$J,L295)&gt;0),"YES","")</f>
        <v>YES</v>
      </c>
      <c r="W295" t="str">
        <f>IF(AND(ISNUMBER(L295),COUNTIF([1]Songs!$H:$H,L295)&gt;0),"YES","")</f>
        <v/>
      </c>
      <c r="X295" t="s">
        <v>640</v>
      </c>
      <c r="Y295">
        <v>62</v>
      </c>
      <c r="AA295" t="str">
        <f>I295
&amp;IF(H295=I295,""," "&amp;H295)
&amp;IF(OR(R295=I295,R295=H295),""," "&amp;R295)
&amp;IF(R295=S295,""," "&amp;S295)</f>
        <v xml:space="preserve"> B </v>
      </c>
    </row>
    <row r="296" spans="1:27" x14ac:dyDescent="0.25">
      <c r="A296">
        <v>5</v>
      </c>
      <c r="C296" t="s">
        <v>933</v>
      </c>
      <c r="D296">
        <v>1</v>
      </c>
      <c r="E296" t="s">
        <v>934</v>
      </c>
      <c r="F296" t="s">
        <v>23</v>
      </c>
      <c r="L296" s="4">
        <v>7087777</v>
      </c>
      <c r="P296" s="24" t="s">
        <v>935</v>
      </c>
      <c r="Q296">
        <v>85</v>
      </c>
      <c r="R296" t="s">
        <v>31</v>
      </c>
      <c r="U296" t="str">
        <f>IF(AND(ISNUMBER(L296),COUNTIF([2]Songs!$L:$L,L296)&gt;0),"YES","")</f>
        <v/>
      </c>
      <c r="V296" t="str">
        <f>IF(AND(ISNUMBER(L296),COUNTIF([3]Songs!$J:$J,L296)&gt;0),"YES","")</f>
        <v>YES</v>
      </c>
      <c r="W296" t="str">
        <f>IF(AND(ISNUMBER(L296),COUNTIF([1]Songs!$H:$H,L296)&gt;0),"YES","")</f>
        <v/>
      </c>
      <c r="X296" t="s">
        <v>640</v>
      </c>
      <c r="Y296">
        <v>62</v>
      </c>
      <c r="AA296" t="str">
        <f>I296
&amp;IF(H296=I296,""," "&amp;H296)
&amp;IF(OR(R296=I296,R296=H296),""," "&amp;R296)
&amp;IF(R296=S296,""," "&amp;S296)</f>
        <v xml:space="preserve"> B </v>
      </c>
    </row>
    <row r="297" spans="1:27" x14ac:dyDescent="0.25">
      <c r="A297">
        <v>6</v>
      </c>
      <c r="C297" t="s">
        <v>851</v>
      </c>
      <c r="E297" t="s">
        <v>643</v>
      </c>
      <c r="G297" t="s">
        <v>647</v>
      </c>
      <c r="H297" s="3" t="s">
        <v>47</v>
      </c>
      <c r="I297" s="3" t="s">
        <v>47</v>
      </c>
      <c r="J297" s="4">
        <v>120</v>
      </c>
      <c r="K297" s="5" t="s">
        <v>371</v>
      </c>
      <c r="L297" s="9">
        <v>42964</v>
      </c>
      <c r="M297" s="4">
        <v>1529</v>
      </c>
      <c r="N297" s="6" t="s">
        <v>401</v>
      </c>
      <c r="O297" t="s">
        <v>92</v>
      </c>
      <c r="S297" t="s">
        <v>23</v>
      </c>
      <c r="U297" t="str">
        <f>IF(AND(ISNUMBER(L297),COUNTIF([2]Songs!$L:$L,L297)&gt;0),"YES","")</f>
        <v>YES</v>
      </c>
      <c r="V297" t="str">
        <f>IF(AND(ISNUMBER(L297),COUNTIF([3]Songs!$J:$J,L297)&gt;0),"YES","")</f>
        <v/>
      </c>
      <c r="W297" t="str">
        <f>IF(AND(ISNUMBER(L297),COUNTIF([1]Songs!$H:$H,L297)&gt;0),"YES","")</f>
        <v/>
      </c>
      <c r="X297" t="s">
        <v>851</v>
      </c>
      <c r="Y297">
        <v>2</v>
      </c>
      <c r="Z297" s="4"/>
      <c r="AA297" t="str">
        <f>I297
&amp;IF(H297=I297,""," "&amp;H297)
&amp;IF(OR(R297=I297,R297=H297),""," "&amp;R297)
&amp;IF(R297=S297,""," "&amp;S297)</f>
        <v xml:space="preserve">C </v>
      </c>
    </row>
    <row r="298" spans="1:27" x14ac:dyDescent="0.25">
      <c r="A298">
        <v>6</v>
      </c>
      <c r="C298" t="s">
        <v>851</v>
      </c>
      <c r="E298" t="s">
        <v>644</v>
      </c>
      <c r="G298" t="s">
        <v>648</v>
      </c>
      <c r="H298" s="3" t="s">
        <v>52</v>
      </c>
      <c r="I298" s="3" t="s">
        <v>52</v>
      </c>
      <c r="J298" s="4">
        <v>62</v>
      </c>
      <c r="K298" s="5" t="s">
        <v>371</v>
      </c>
      <c r="L298" s="9">
        <v>2672885</v>
      </c>
      <c r="M298" s="4">
        <v>1999</v>
      </c>
      <c r="N298" s="6" t="s">
        <v>390</v>
      </c>
      <c r="O298" t="s">
        <v>945</v>
      </c>
      <c r="S298" t="s">
        <v>23</v>
      </c>
      <c r="U298" t="str">
        <f>IF(AND(ISNUMBER(L298),COUNTIF([2]Songs!$L:$L,L298)&gt;0),"YES","")</f>
        <v>YES</v>
      </c>
      <c r="V298" t="str">
        <f>IF(AND(ISNUMBER(L298),COUNTIF([3]Songs!$J:$J,L298)&gt;0),"YES","")</f>
        <v/>
      </c>
      <c r="W298" t="str">
        <f>IF(AND(ISNUMBER(L298),COUNTIF([1]Songs!$H:$H,L298)&gt;0),"YES","")</f>
        <v/>
      </c>
      <c r="X298" t="s">
        <v>851</v>
      </c>
      <c r="Y298">
        <v>3</v>
      </c>
      <c r="Z298" s="4"/>
      <c r="AA298" t="str">
        <f>I298
&amp;IF(H298=I298,""," "&amp;H298)
&amp;IF(OR(R298=I298,R298=H298),""," "&amp;R298)
&amp;IF(R298=S298,""," "&amp;S298)</f>
        <v xml:space="preserve">A </v>
      </c>
    </row>
    <row r="299" spans="1:27" x14ac:dyDescent="0.25">
      <c r="A299">
        <v>6</v>
      </c>
      <c r="C299" t="s">
        <v>851</v>
      </c>
      <c r="E299" t="s">
        <v>645</v>
      </c>
      <c r="G299" t="s">
        <v>649</v>
      </c>
      <c r="H299" s="3" t="s">
        <v>36</v>
      </c>
      <c r="I299" s="3" t="s">
        <v>36</v>
      </c>
      <c r="J299" s="4">
        <v>94</v>
      </c>
      <c r="K299" s="4" t="s">
        <v>371</v>
      </c>
      <c r="L299" s="9">
        <v>7008232</v>
      </c>
      <c r="M299" s="4">
        <v>2012</v>
      </c>
      <c r="N299" s="6" t="s">
        <v>650</v>
      </c>
      <c r="O299" t="s">
        <v>944</v>
      </c>
      <c r="S299" t="s">
        <v>23</v>
      </c>
      <c r="U299" t="str">
        <f>IF(AND(ISNUMBER(L299),COUNTIF([2]Songs!$L:$L,L299)&gt;0),"YES","")</f>
        <v>YES</v>
      </c>
      <c r="V299" t="str">
        <f>IF(AND(ISNUMBER(L299),COUNTIF([3]Songs!$J:$J,L299)&gt;0),"YES","")</f>
        <v/>
      </c>
      <c r="W299" t="str">
        <f>IF(AND(ISNUMBER(L299),COUNTIF([1]Songs!$H:$H,L299)&gt;0),"YES","")</f>
        <v/>
      </c>
      <c r="X299" t="s">
        <v>851</v>
      </c>
      <c r="Y299">
        <v>4</v>
      </c>
      <c r="Z299" s="4"/>
      <c r="AA299" t="str">
        <f>I299
&amp;IF(H299=I299,""," "&amp;H299)
&amp;IF(OR(R299=I299,R299=H299),""," "&amp;R299)
&amp;IF(R299=S299,""," "&amp;S299)</f>
        <v xml:space="preserve">E </v>
      </c>
    </row>
    <row r="300" spans="1:27" x14ac:dyDescent="0.25">
      <c r="A300">
        <v>6</v>
      </c>
      <c r="C300" t="s">
        <v>851</v>
      </c>
      <c r="E300" t="s">
        <v>646</v>
      </c>
      <c r="G300" t="s">
        <v>651</v>
      </c>
      <c r="H300" s="3" t="s">
        <v>52</v>
      </c>
      <c r="I300" s="3" t="s">
        <v>52</v>
      </c>
      <c r="J300" s="4">
        <v>120</v>
      </c>
      <c r="K300" s="4" t="s">
        <v>371</v>
      </c>
      <c r="L300" s="10">
        <v>120556</v>
      </c>
      <c r="M300" s="4">
        <v>1987</v>
      </c>
      <c r="N300" s="4" t="s">
        <v>381</v>
      </c>
      <c r="O300" t="s">
        <v>945</v>
      </c>
      <c r="S300" t="s">
        <v>23</v>
      </c>
      <c r="U300" t="str">
        <f>IF(AND(ISNUMBER(L300),COUNTIF([2]Songs!$L:$L,L300)&gt;0),"YES","")</f>
        <v>YES</v>
      </c>
      <c r="V300" t="str">
        <f>IF(AND(ISNUMBER(L300),COUNTIF([3]Songs!$J:$J,L300)&gt;0),"YES","")</f>
        <v/>
      </c>
      <c r="W300" t="str">
        <f>IF(AND(ISNUMBER(L300),COUNTIF([1]Songs!$H:$H,L300)&gt;0),"YES","")</f>
        <v/>
      </c>
      <c r="X300" t="s">
        <v>851</v>
      </c>
      <c r="Y300">
        <v>5</v>
      </c>
      <c r="Z300" s="4"/>
      <c r="AA300" t="str">
        <f>I300
&amp;IF(H300=I300,""," "&amp;H300)
&amp;IF(OR(R300=I300,R300=H300),""," "&amp;R300)
&amp;IF(R300=S300,""," "&amp;S300)</f>
        <v xml:space="preserve">A </v>
      </c>
    </row>
    <row r="301" spans="1:27" x14ac:dyDescent="0.25">
      <c r="A301">
        <v>6</v>
      </c>
      <c r="C301" t="s">
        <v>851</v>
      </c>
      <c r="E301" t="s">
        <v>652</v>
      </c>
      <c r="G301" t="s">
        <v>389</v>
      </c>
      <c r="H301" s="3" t="s">
        <v>25</v>
      </c>
      <c r="I301" s="3" t="s">
        <v>67</v>
      </c>
      <c r="J301" s="4">
        <v>62</v>
      </c>
      <c r="K301" s="4" t="s">
        <v>371</v>
      </c>
      <c r="L301" s="10">
        <v>5869860</v>
      </c>
      <c r="M301" s="4">
        <v>2010</v>
      </c>
      <c r="N301" s="4" t="s">
        <v>378</v>
      </c>
      <c r="O301" t="s">
        <v>944</v>
      </c>
      <c r="S301" t="s">
        <v>23</v>
      </c>
      <c r="U301" t="str">
        <f>IF(AND(ISNUMBER(L301),COUNTIF([2]Songs!$L:$L,L301)&gt;0),"YES","")</f>
        <v>YES</v>
      </c>
      <c r="V301" t="str">
        <f>IF(AND(ISNUMBER(L301),COUNTIF([3]Songs!$J:$J,L301)&gt;0),"YES","")</f>
        <v/>
      </c>
      <c r="W301" t="str">
        <f>IF(AND(ISNUMBER(L301),COUNTIF([1]Songs!$H:$H,L301)&gt;0),"YES","")</f>
        <v/>
      </c>
      <c r="X301" t="s">
        <v>851</v>
      </c>
      <c r="Y301">
        <v>7</v>
      </c>
      <c r="Z301" s="4"/>
      <c r="AA301" t="str">
        <f>I301
&amp;IF(H301=I301,""," "&amp;H301)
&amp;IF(OR(R301=I301,R301=H301),""," "&amp;R301)
&amp;IF(R301=S301,""," "&amp;S301)</f>
        <v xml:space="preserve">Ab G </v>
      </c>
    </row>
    <row r="302" spans="1:27" x14ac:dyDescent="0.25">
      <c r="A302">
        <v>6</v>
      </c>
      <c r="C302" t="s">
        <v>851</v>
      </c>
      <c r="E302" t="s">
        <v>144</v>
      </c>
      <c r="G302" t="s">
        <v>653</v>
      </c>
      <c r="H302" s="3" t="s">
        <v>25</v>
      </c>
      <c r="I302" s="3" t="s">
        <v>25</v>
      </c>
      <c r="J302" s="4">
        <v>90</v>
      </c>
      <c r="K302" s="5" t="s">
        <v>380</v>
      </c>
      <c r="L302" s="10">
        <v>22025</v>
      </c>
      <c r="M302" s="4">
        <v>1779</v>
      </c>
      <c r="N302" s="6" t="s">
        <v>401</v>
      </c>
      <c r="O302" t="s">
        <v>92</v>
      </c>
      <c r="S302" t="s">
        <v>23</v>
      </c>
      <c r="U302" t="str">
        <f>IF(AND(ISNUMBER(L302),COUNTIF([2]Songs!$L:$L,L302)&gt;0),"YES","")</f>
        <v>YES</v>
      </c>
      <c r="V302" t="str">
        <f>IF(AND(ISNUMBER(L302),COUNTIF([3]Songs!$J:$J,L302)&gt;0),"YES","")</f>
        <v/>
      </c>
      <c r="W302" t="str">
        <f>IF(AND(ISNUMBER(L302),COUNTIF([1]Songs!$H:$H,L302)&gt;0),"YES","")</f>
        <v/>
      </c>
      <c r="X302" t="s">
        <v>851</v>
      </c>
      <c r="Y302">
        <v>8</v>
      </c>
      <c r="Z302" s="4"/>
      <c r="AA302" t="str">
        <f>I302
&amp;IF(H302=I302,""," "&amp;H302)
&amp;IF(OR(R302=I302,R302=H302),""," "&amp;R302)
&amp;IF(R302=S302,""," "&amp;S302)</f>
        <v xml:space="preserve">G </v>
      </c>
    </row>
    <row r="303" spans="1:27" x14ac:dyDescent="0.25">
      <c r="A303">
        <v>6</v>
      </c>
      <c r="C303" t="s">
        <v>851</v>
      </c>
      <c r="E303" t="s">
        <v>654</v>
      </c>
      <c r="G303" t="s">
        <v>656</v>
      </c>
      <c r="H303" s="3" t="s">
        <v>36</v>
      </c>
      <c r="I303" s="3" t="s">
        <v>36</v>
      </c>
      <c r="J303" s="4">
        <v>63</v>
      </c>
      <c r="K303" s="5" t="s">
        <v>380</v>
      </c>
      <c r="L303" s="10">
        <v>2986399</v>
      </c>
      <c r="M303" s="4">
        <v>2001</v>
      </c>
      <c r="N303" s="4" t="s">
        <v>390</v>
      </c>
      <c r="O303" t="s">
        <v>944</v>
      </c>
      <c r="S303" t="s">
        <v>23</v>
      </c>
      <c r="U303" t="str">
        <f>IF(AND(ISNUMBER(L303),COUNTIF([2]Songs!$L:$L,L303)&gt;0),"YES","")</f>
        <v>YES</v>
      </c>
      <c r="V303" t="str">
        <f>IF(AND(ISNUMBER(L303),COUNTIF([3]Songs!$J:$J,L303)&gt;0),"YES","")</f>
        <v/>
      </c>
      <c r="W303" t="str">
        <f>IF(AND(ISNUMBER(L303),COUNTIF([1]Songs!$H:$H,L303)&gt;0),"YES","")</f>
        <v/>
      </c>
      <c r="X303" t="s">
        <v>851</v>
      </c>
      <c r="Y303">
        <v>10</v>
      </c>
      <c r="Z303" s="4"/>
      <c r="AA303" t="str">
        <f>I303
&amp;IF(H303=I303,""," "&amp;H303)
&amp;IF(OR(R303=I303,R303=H303),""," "&amp;R303)
&amp;IF(R303=S303,""," "&amp;S303)</f>
        <v xml:space="preserve">E </v>
      </c>
    </row>
    <row r="304" spans="1:27" x14ac:dyDescent="0.25">
      <c r="A304">
        <v>6</v>
      </c>
      <c r="C304" t="s">
        <v>851</v>
      </c>
      <c r="E304" t="s">
        <v>655</v>
      </c>
      <c r="F304" t="s">
        <v>173</v>
      </c>
      <c r="G304" t="s">
        <v>657</v>
      </c>
      <c r="H304" s="3" t="s">
        <v>25</v>
      </c>
      <c r="I304" s="3" t="s">
        <v>25</v>
      </c>
      <c r="J304" s="4">
        <v>110</v>
      </c>
      <c r="K304" s="5" t="s">
        <v>371</v>
      </c>
      <c r="L304" s="10">
        <v>25280</v>
      </c>
      <c r="M304" s="4">
        <v>1738</v>
      </c>
      <c r="N304" s="6" t="s">
        <v>401</v>
      </c>
      <c r="O304" t="s">
        <v>92</v>
      </c>
      <c r="S304" t="s">
        <v>23</v>
      </c>
      <c r="U304" t="str">
        <f>IF(AND(ISNUMBER(L304),COUNTIF([2]Songs!$L:$L,L304)&gt;0),"YES","")</f>
        <v>YES</v>
      </c>
      <c r="V304" t="str">
        <f>IF(AND(ISNUMBER(L304),COUNTIF([3]Songs!$J:$J,L304)&gt;0),"YES","")</f>
        <v/>
      </c>
      <c r="W304" t="str">
        <f>IF(AND(ISNUMBER(L304),COUNTIF([1]Songs!$H:$H,L304)&gt;0),"YES","")</f>
        <v/>
      </c>
      <c r="X304" t="s">
        <v>851</v>
      </c>
      <c r="Y304">
        <v>11</v>
      </c>
      <c r="Z304" s="4"/>
      <c r="AA304" t="str">
        <f>I304
&amp;IF(H304=I304,""," "&amp;H304)
&amp;IF(OR(R304=I304,R304=H304),""," "&amp;R304)
&amp;IF(R304=S304,""," "&amp;S304)</f>
        <v xml:space="preserve">G </v>
      </c>
    </row>
    <row r="305" spans="1:27" x14ac:dyDescent="0.25">
      <c r="A305">
        <v>6</v>
      </c>
      <c r="C305" t="s">
        <v>851</v>
      </c>
      <c r="E305" t="s">
        <v>658</v>
      </c>
      <c r="G305" t="s">
        <v>660</v>
      </c>
      <c r="H305" s="3" t="s">
        <v>25</v>
      </c>
      <c r="I305" s="3" t="s">
        <v>67</v>
      </c>
      <c r="J305" s="4">
        <v>96</v>
      </c>
      <c r="K305" s="5" t="s">
        <v>371</v>
      </c>
      <c r="L305" s="10">
        <v>21105</v>
      </c>
      <c r="M305" s="4">
        <v>1878</v>
      </c>
      <c r="N305" s="6" t="s">
        <v>401</v>
      </c>
      <c r="O305" t="s">
        <v>92</v>
      </c>
      <c r="S305" t="s">
        <v>23</v>
      </c>
      <c r="U305" t="str">
        <f>IF(AND(ISNUMBER(L305),COUNTIF([2]Songs!$L:$L,L305)&gt;0),"YES","")</f>
        <v>YES</v>
      </c>
      <c r="V305" t="str">
        <f>IF(AND(ISNUMBER(L305),COUNTIF([3]Songs!$J:$J,L305)&gt;0),"YES","")</f>
        <v/>
      </c>
      <c r="W305" t="str">
        <f>IF(AND(ISNUMBER(L305),COUNTIF([1]Songs!$H:$H,L305)&gt;0),"YES","")</f>
        <v/>
      </c>
      <c r="X305" t="s">
        <v>851</v>
      </c>
      <c r="Y305">
        <v>13</v>
      </c>
      <c r="Z305" s="4"/>
      <c r="AA305" t="str">
        <f>I305
&amp;IF(H305=I305,""," "&amp;H305)
&amp;IF(OR(R305=I305,R305=H305),""," "&amp;R305)
&amp;IF(R305=S305,""," "&amp;S305)</f>
        <v xml:space="preserve">Ab G </v>
      </c>
    </row>
    <row r="306" spans="1:27" x14ac:dyDescent="0.25">
      <c r="A306">
        <v>6</v>
      </c>
      <c r="C306" t="s">
        <v>851</v>
      </c>
      <c r="E306" t="s">
        <v>659</v>
      </c>
      <c r="G306" t="s">
        <v>661</v>
      </c>
      <c r="H306" s="3" t="s">
        <v>39</v>
      </c>
      <c r="I306" s="3" t="s">
        <v>39</v>
      </c>
      <c r="J306" s="4">
        <v>74</v>
      </c>
      <c r="K306" s="5" t="s">
        <v>371</v>
      </c>
      <c r="L306" s="10">
        <v>1431</v>
      </c>
      <c r="M306" s="4">
        <v>1984</v>
      </c>
      <c r="N306" s="6" t="s">
        <v>662</v>
      </c>
      <c r="O306" t="s">
        <v>945</v>
      </c>
      <c r="S306" t="s">
        <v>23</v>
      </c>
      <c r="U306" t="str">
        <f>IF(AND(ISNUMBER(L306),COUNTIF([2]Songs!$L:$L,L306)&gt;0),"YES","")</f>
        <v>YES</v>
      </c>
      <c r="V306" t="str">
        <f>IF(AND(ISNUMBER(L306),COUNTIF([3]Songs!$J:$J,L306)&gt;0),"YES","")</f>
        <v/>
      </c>
      <c r="W306" t="str">
        <f>IF(AND(ISNUMBER(L306),COUNTIF([1]Songs!$H:$H,L306)&gt;0),"YES","")</f>
        <v/>
      </c>
      <c r="X306" t="s">
        <v>851</v>
      </c>
      <c r="Y306">
        <v>14</v>
      </c>
      <c r="Z306" s="4"/>
      <c r="AA306" t="str">
        <f>I306
&amp;IF(H306=I306,""," "&amp;H306)
&amp;IF(OR(R306=I306,R306=H306),""," "&amp;R306)
&amp;IF(R306=S306,""," "&amp;S306)</f>
        <v xml:space="preserve">D </v>
      </c>
    </row>
    <row r="307" spans="1:27" x14ac:dyDescent="0.25">
      <c r="A307">
        <v>6</v>
      </c>
      <c r="C307" t="s">
        <v>851</v>
      </c>
      <c r="E307" t="s">
        <v>202</v>
      </c>
      <c r="G307" t="s">
        <v>663</v>
      </c>
      <c r="H307" s="3" t="s">
        <v>39</v>
      </c>
      <c r="I307" s="3" t="s">
        <v>78</v>
      </c>
      <c r="J307" s="4">
        <v>82</v>
      </c>
      <c r="K307" s="5" t="s">
        <v>371</v>
      </c>
      <c r="L307" s="10">
        <v>29499</v>
      </c>
      <c r="M307" s="4">
        <v>1707</v>
      </c>
      <c r="N307" s="6" t="s">
        <v>401</v>
      </c>
      <c r="O307" t="s">
        <v>92</v>
      </c>
      <c r="S307" t="s">
        <v>23</v>
      </c>
      <c r="U307" t="str">
        <f>IF(AND(ISNUMBER(L307),COUNTIF([2]Songs!$L:$L,L307)&gt;0),"YES","")</f>
        <v>YES</v>
      </c>
      <c r="V307" t="str">
        <f>IF(AND(ISNUMBER(L307),COUNTIF([3]Songs!$J:$J,L307)&gt;0),"YES","")</f>
        <v/>
      </c>
      <c r="W307" t="str">
        <f>IF(AND(ISNUMBER(L307),COUNTIF([1]Songs!$H:$H,L307)&gt;0),"YES","")</f>
        <v/>
      </c>
      <c r="X307" t="s">
        <v>851</v>
      </c>
      <c r="Y307">
        <v>15</v>
      </c>
      <c r="Z307" s="4"/>
      <c r="AA307" t="str">
        <f>I307
&amp;IF(H307=I307,""," "&amp;H307)
&amp;IF(OR(R307=I307,R307=H307),""," "&amp;R307)
&amp;IF(R307=S307,""," "&amp;S307)</f>
        <v xml:space="preserve">Eb D </v>
      </c>
    </row>
    <row r="308" spans="1:27" x14ac:dyDescent="0.25">
      <c r="A308">
        <v>6</v>
      </c>
      <c r="C308" t="s">
        <v>851</v>
      </c>
      <c r="E308" t="s">
        <v>664</v>
      </c>
      <c r="G308" t="s">
        <v>665</v>
      </c>
      <c r="H308" s="3" t="s">
        <v>39</v>
      </c>
      <c r="I308" s="3" t="s">
        <v>78</v>
      </c>
      <c r="J308" s="4"/>
      <c r="K308" s="5" t="s">
        <v>380</v>
      </c>
      <c r="L308" s="10">
        <v>30639</v>
      </c>
      <c r="M308" s="4">
        <v>1912</v>
      </c>
      <c r="N308" s="6" t="s">
        <v>401</v>
      </c>
      <c r="O308" t="s">
        <v>92</v>
      </c>
      <c r="S308" t="s">
        <v>23</v>
      </c>
      <c r="U308" t="str">
        <f>IF(AND(ISNUMBER(L308),COUNTIF([2]Songs!$L:$L,L308)&gt;0),"YES","")</f>
        <v>YES</v>
      </c>
      <c r="V308" t="str">
        <f>IF(AND(ISNUMBER(L308),COUNTIF([3]Songs!$J:$J,L308)&gt;0),"YES","")</f>
        <v/>
      </c>
      <c r="W308" t="str">
        <f>IF(AND(ISNUMBER(L308),COUNTIF([1]Songs!$H:$H,L308)&gt;0),"YES","")</f>
        <v/>
      </c>
      <c r="X308" t="s">
        <v>851</v>
      </c>
      <c r="Y308">
        <v>18</v>
      </c>
      <c r="Z308" s="4"/>
      <c r="AA308" t="str">
        <f>I308
&amp;IF(H308=I308,""," "&amp;H308)
&amp;IF(OR(R308=I308,R308=H308),""," "&amp;R308)
&amp;IF(R308=S308,""," "&amp;S308)</f>
        <v xml:space="preserve">Eb D </v>
      </c>
    </row>
    <row r="309" spans="1:27" x14ac:dyDescent="0.25">
      <c r="A309">
        <v>6</v>
      </c>
      <c r="C309" t="s">
        <v>851</v>
      </c>
      <c r="E309" t="s">
        <v>666</v>
      </c>
      <c r="G309" t="s">
        <v>668</v>
      </c>
      <c r="H309" s="3" t="s">
        <v>47</v>
      </c>
      <c r="I309" s="3" t="s">
        <v>47</v>
      </c>
      <c r="J309" s="4">
        <v>73</v>
      </c>
      <c r="K309" s="4" t="s">
        <v>371</v>
      </c>
      <c r="L309" s="10">
        <v>5937510</v>
      </c>
      <c r="M309" s="4">
        <v>2011</v>
      </c>
      <c r="N309" s="4" t="s">
        <v>669</v>
      </c>
      <c r="O309" t="s">
        <v>944</v>
      </c>
      <c r="S309" t="s">
        <v>23</v>
      </c>
      <c r="U309" t="str">
        <f>IF(AND(ISNUMBER(L309),COUNTIF([2]Songs!$L:$L,L309)&gt;0),"YES","")</f>
        <v>YES</v>
      </c>
      <c r="V309" t="str">
        <f>IF(AND(ISNUMBER(L309),COUNTIF([3]Songs!$J:$J,L309)&gt;0),"YES","")</f>
        <v/>
      </c>
      <c r="W309" t="str">
        <f>IF(AND(ISNUMBER(L309),COUNTIF([1]Songs!$H:$H,L309)&gt;0),"YES","")</f>
        <v/>
      </c>
      <c r="X309" t="s">
        <v>851</v>
      </c>
      <c r="Y309">
        <v>22</v>
      </c>
      <c r="Z309" s="4"/>
      <c r="AA309" t="str">
        <f>I309
&amp;IF(H309=I309,""," "&amp;H309)
&amp;IF(OR(R309=I309,R309=H309),""," "&amp;R309)
&amp;IF(R309=S309,""," "&amp;S309)</f>
        <v xml:space="preserve">C </v>
      </c>
    </row>
    <row r="310" spans="1:27" x14ac:dyDescent="0.25">
      <c r="A310">
        <v>6</v>
      </c>
      <c r="C310" t="s">
        <v>851</v>
      </c>
      <c r="E310" t="s">
        <v>667</v>
      </c>
      <c r="G310" t="s">
        <v>670</v>
      </c>
      <c r="H310" s="3" t="s">
        <v>25</v>
      </c>
      <c r="I310" s="3" t="s">
        <v>25</v>
      </c>
      <c r="J310" s="4">
        <v>49</v>
      </c>
      <c r="K310" s="4" t="s">
        <v>371</v>
      </c>
      <c r="L310" s="10">
        <v>1101763</v>
      </c>
      <c r="M310" s="4">
        <v>1991</v>
      </c>
      <c r="N310" s="4" t="s">
        <v>381</v>
      </c>
      <c r="O310" t="s">
        <v>945</v>
      </c>
      <c r="S310" t="s">
        <v>23</v>
      </c>
      <c r="U310" t="str">
        <f>IF(AND(ISNUMBER(L310),COUNTIF([2]Songs!$L:$L,L310)&gt;0),"YES","")</f>
        <v>YES</v>
      </c>
      <c r="V310" t="str">
        <f>IF(AND(ISNUMBER(L310),COUNTIF([3]Songs!$J:$J,L310)&gt;0),"YES","")</f>
        <v/>
      </c>
      <c r="W310" t="str">
        <f>IF(AND(ISNUMBER(L310),COUNTIF([1]Songs!$H:$H,L310)&gt;0),"YES","")</f>
        <v/>
      </c>
      <c r="X310" t="s">
        <v>851</v>
      </c>
      <c r="Y310">
        <v>23</v>
      </c>
      <c r="Z310" s="4"/>
      <c r="AA310" t="str">
        <f>I310
&amp;IF(H310=I310,""," "&amp;H310)
&amp;IF(OR(R310=I310,R310=H310),""," "&amp;R310)
&amp;IF(R310=S310,""," "&amp;S310)</f>
        <v xml:space="preserve">G </v>
      </c>
    </row>
    <row r="311" spans="1:27" x14ac:dyDescent="0.25">
      <c r="A311">
        <v>6</v>
      </c>
      <c r="C311" t="s">
        <v>851</v>
      </c>
      <c r="E311" t="s">
        <v>309</v>
      </c>
      <c r="G311" t="s">
        <v>671</v>
      </c>
      <c r="H311" s="3" t="s">
        <v>39</v>
      </c>
      <c r="I311" s="3" t="s">
        <v>39</v>
      </c>
      <c r="J311" s="4">
        <v>66</v>
      </c>
      <c r="K311" s="5" t="s">
        <v>672</v>
      </c>
      <c r="L311" s="10">
        <v>22324</v>
      </c>
      <c r="M311" s="4">
        <v>1873</v>
      </c>
      <c r="N311" s="6" t="s">
        <v>401</v>
      </c>
      <c r="O311" t="s">
        <v>92</v>
      </c>
      <c r="S311" t="s">
        <v>23</v>
      </c>
      <c r="U311" t="str">
        <f>IF(AND(ISNUMBER(L311),COUNTIF([2]Songs!$L:$L,L311)&gt;0),"YES","")</f>
        <v>YES</v>
      </c>
      <c r="V311" t="str">
        <f>IF(AND(ISNUMBER(L311),COUNTIF([3]Songs!$J:$J,L311)&gt;0),"YES","")</f>
        <v/>
      </c>
      <c r="W311" t="str">
        <f>IF(AND(ISNUMBER(L311),COUNTIF([1]Songs!$H:$H,L311)&gt;0),"YES","")</f>
        <v/>
      </c>
      <c r="X311" t="s">
        <v>851</v>
      </c>
      <c r="Y311">
        <v>25</v>
      </c>
      <c r="Z311" s="4"/>
      <c r="AA311" t="str">
        <f>I311
&amp;IF(H311=I311,""," "&amp;H311)
&amp;IF(OR(R311=I311,R311=H311),""," "&amp;R311)
&amp;IF(R311=S311,""," "&amp;S311)</f>
        <v xml:space="preserve">D </v>
      </c>
    </row>
    <row r="312" spans="1:27" x14ac:dyDescent="0.25">
      <c r="A312">
        <v>6</v>
      </c>
      <c r="C312" t="s">
        <v>851</v>
      </c>
      <c r="E312" t="s">
        <v>673</v>
      </c>
      <c r="G312" t="s">
        <v>674</v>
      </c>
      <c r="H312" s="3" t="s">
        <v>176</v>
      </c>
      <c r="I312" s="3" t="s">
        <v>84</v>
      </c>
      <c r="J312" s="4">
        <v>67</v>
      </c>
      <c r="K312" s="5" t="s">
        <v>371</v>
      </c>
      <c r="L312" s="9">
        <v>5910977</v>
      </c>
      <c r="M312" s="4">
        <v>2009</v>
      </c>
      <c r="N312" s="6" t="s">
        <v>675</v>
      </c>
      <c r="O312" t="s">
        <v>944</v>
      </c>
      <c r="S312" t="s">
        <v>23</v>
      </c>
      <c r="U312" t="str">
        <f>IF(AND(ISNUMBER(L312),COUNTIF([2]Songs!$L:$L,L312)&gt;0),"YES","")</f>
        <v>YES</v>
      </c>
      <c r="V312" t="str">
        <f>IF(AND(ISNUMBER(L312),COUNTIF([3]Songs!$J:$J,L312)&gt;0),"YES","")</f>
        <v/>
      </c>
      <c r="W312" t="str">
        <f>IF(AND(ISNUMBER(L312),COUNTIF([1]Songs!$H:$H,L312)&gt;0),"YES","")</f>
        <v/>
      </c>
      <c r="X312" t="s">
        <v>851</v>
      </c>
      <c r="Y312">
        <v>27</v>
      </c>
      <c r="Z312" s="4"/>
      <c r="AA312" t="str">
        <f>I312
&amp;IF(H312=I312,""," "&amp;H312)
&amp;IF(OR(R312=I312,R312=H312),""," "&amp;R312)
&amp;IF(R312=S312,""," "&amp;S312)</f>
        <v xml:space="preserve">F# F </v>
      </c>
    </row>
    <row r="313" spans="1:27" x14ac:dyDescent="0.25">
      <c r="A313">
        <v>6</v>
      </c>
      <c r="C313" t="s">
        <v>851</v>
      </c>
      <c r="E313" t="s">
        <v>676</v>
      </c>
      <c r="G313" t="s">
        <v>678</v>
      </c>
      <c r="H313" s="3" t="s">
        <v>39</v>
      </c>
      <c r="I313" s="3" t="s">
        <v>39</v>
      </c>
      <c r="J313" s="4">
        <v>137</v>
      </c>
      <c r="K313" s="5" t="s">
        <v>371</v>
      </c>
      <c r="L313" s="9">
        <v>6186078</v>
      </c>
      <c r="M313" s="4">
        <v>2011</v>
      </c>
      <c r="N313" s="6" t="s">
        <v>381</v>
      </c>
      <c r="O313" t="s">
        <v>944</v>
      </c>
      <c r="S313" t="s">
        <v>23</v>
      </c>
      <c r="U313" t="str">
        <f>IF(AND(ISNUMBER(L313),COUNTIF([2]Songs!$L:$L,L313)&gt;0),"YES","")</f>
        <v>YES</v>
      </c>
      <c r="V313" t="str">
        <f>IF(AND(ISNUMBER(L313),COUNTIF([3]Songs!$J:$J,L313)&gt;0),"YES","")</f>
        <v/>
      </c>
      <c r="W313" t="str">
        <f>IF(AND(ISNUMBER(L313),COUNTIF([1]Songs!$H:$H,L313)&gt;0),"YES","")</f>
        <v/>
      </c>
      <c r="X313" t="s">
        <v>851</v>
      </c>
      <c r="Y313">
        <v>30</v>
      </c>
      <c r="Z313" s="4"/>
      <c r="AA313" t="str">
        <f>I313
&amp;IF(H313=I313,""," "&amp;H313)
&amp;IF(OR(R313=I313,R313=H313),""," "&amp;R313)
&amp;IF(R313=S313,""," "&amp;S313)</f>
        <v xml:space="preserve">D </v>
      </c>
    </row>
    <row r="314" spans="1:27" x14ac:dyDescent="0.25">
      <c r="A314">
        <v>6</v>
      </c>
      <c r="C314" t="s">
        <v>851</v>
      </c>
      <c r="E314" t="s">
        <v>677</v>
      </c>
      <c r="G314" t="s">
        <v>679</v>
      </c>
      <c r="H314" s="3" t="s">
        <v>47</v>
      </c>
      <c r="I314" s="3" t="s">
        <v>47</v>
      </c>
      <c r="J314" s="4">
        <v>83</v>
      </c>
      <c r="K314" s="5" t="s">
        <v>371</v>
      </c>
      <c r="L314" s="10">
        <v>4705190</v>
      </c>
      <c r="M314" s="4">
        <v>2005</v>
      </c>
      <c r="N314" s="4" t="s">
        <v>372</v>
      </c>
      <c r="O314" t="s">
        <v>944</v>
      </c>
      <c r="S314" t="s">
        <v>23</v>
      </c>
      <c r="U314" t="str">
        <f>IF(AND(ISNUMBER(L314),COUNTIF([2]Songs!$L:$L,L314)&gt;0),"YES","")</f>
        <v>YES</v>
      </c>
      <c r="V314" t="str">
        <f>IF(AND(ISNUMBER(L314),COUNTIF([3]Songs!$J:$J,L314)&gt;0),"YES","")</f>
        <v/>
      </c>
      <c r="W314" t="str">
        <f>IF(AND(ISNUMBER(L314),COUNTIF([1]Songs!$H:$H,L314)&gt;0),"YES","")</f>
        <v>YES</v>
      </c>
      <c r="X314" t="s">
        <v>851</v>
      </c>
      <c r="Y314">
        <v>31</v>
      </c>
      <c r="Z314" s="4"/>
      <c r="AA314" t="str">
        <f>I314
&amp;IF(H314=I314,""," "&amp;H314)
&amp;IF(OR(R314=I314,R314=H314),""," "&amp;R314)
&amp;IF(R314=S314,""," "&amp;S314)</f>
        <v xml:space="preserve">C </v>
      </c>
    </row>
    <row r="315" spans="1:27" x14ac:dyDescent="0.25">
      <c r="A315">
        <v>6</v>
      </c>
      <c r="C315" t="s">
        <v>851</v>
      </c>
      <c r="E315" t="s">
        <v>680</v>
      </c>
      <c r="G315" t="s">
        <v>657</v>
      </c>
      <c r="H315" s="3" t="s">
        <v>47</v>
      </c>
      <c r="I315" s="3" t="s">
        <v>47</v>
      </c>
      <c r="J315" s="4">
        <v>90</v>
      </c>
      <c r="K315" s="4" t="s">
        <v>371</v>
      </c>
      <c r="L315" s="9">
        <v>27965</v>
      </c>
      <c r="M315" s="4">
        <v>1739</v>
      </c>
      <c r="N315" s="6" t="s">
        <v>401</v>
      </c>
      <c r="O315" t="s">
        <v>92</v>
      </c>
      <c r="S315" t="s">
        <v>23</v>
      </c>
      <c r="U315" t="str">
        <f>IF(AND(ISNUMBER(L315),COUNTIF([2]Songs!$L:$L,L315)&gt;0),"YES","")</f>
        <v>YES</v>
      </c>
      <c r="V315" t="str">
        <f>IF(AND(ISNUMBER(L315),COUNTIF([3]Songs!$J:$J,L315)&gt;0),"YES","")</f>
        <v/>
      </c>
      <c r="W315" t="str">
        <f>IF(AND(ISNUMBER(L315),COUNTIF([1]Songs!$H:$H,L315)&gt;0),"YES","")</f>
        <v/>
      </c>
      <c r="X315" t="s">
        <v>851</v>
      </c>
      <c r="Y315">
        <v>33</v>
      </c>
      <c r="Z315" s="4"/>
      <c r="AA315" t="str">
        <f>I315
&amp;IF(H315=I315,""," "&amp;H315)
&amp;IF(OR(R315=I315,R315=H315),""," "&amp;R315)
&amp;IF(R315=S315,""," "&amp;S315)</f>
        <v xml:space="preserve">C </v>
      </c>
    </row>
    <row r="316" spans="1:27" x14ac:dyDescent="0.25">
      <c r="A316">
        <v>6</v>
      </c>
      <c r="C316" t="s">
        <v>851</v>
      </c>
      <c r="E316" t="s">
        <v>680</v>
      </c>
      <c r="F316" t="s">
        <v>681</v>
      </c>
      <c r="G316" t="s">
        <v>683</v>
      </c>
      <c r="H316" s="3" t="s">
        <v>47</v>
      </c>
      <c r="I316" s="3" t="s">
        <v>47</v>
      </c>
      <c r="J316" s="4">
        <v>118</v>
      </c>
      <c r="K316" s="4" t="s">
        <v>371</v>
      </c>
      <c r="L316" s="9">
        <v>7019316</v>
      </c>
      <c r="M316" s="4">
        <v>2014</v>
      </c>
      <c r="N316" s="6" t="s">
        <v>403</v>
      </c>
      <c r="O316" t="s">
        <v>944</v>
      </c>
      <c r="S316" t="s">
        <v>23</v>
      </c>
      <c r="U316" t="str">
        <f>IF(AND(ISNUMBER(L316),COUNTIF([2]Songs!$L:$L,L316)&gt;0),"YES","")</f>
        <v>YES</v>
      </c>
      <c r="V316" t="str">
        <f>IF(AND(ISNUMBER(L316),COUNTIF([3]Songs!$J:$J,L316)&gt;0),"YES","")</f>
        <v/>
      </c>
      <c r="W316" t="str">
        <f>IF(AND(ISNUMBER(L316),COUNTIF([1]Songs!$H:$H,L316)&gt;0),"YES","")</f>
        <v/>
      </c>
      <c r="X316" t="s">
        <v>851</v>
      </c>
      <c r="Y316">
        <v>34</v>
      </c>
      <c r="Z316" s="4" t="s">
        <v>862</v>
      </c>
      <c r="AA316" t="str">
        <f>I316
&amp;IF(H316=I316,""," "&amp;H316)
&amp;IF(OR(R316=I316,R316=H316),""," "&amp;R316)
&amp;IF(R316=S316,""," "&amp;S316)</f>
        <v xml:space="preserve">C </v>
      </c>
    </row>
    <row r="317" spans="1:27" x14ac:dyDescent="0.25">
      <c r="A317">
        <v>6</v>
      </c>
      <c r="C317" t="s">
        <v>851</v>
      </c>
      <c r="E317" t="s">
        <v>682</v>
      </c>
      <c r="G317" t="s">
        <v>130</v>
      </c>
      <c r="H317" s="3" t="s">
        <v>39</v>
      </c>
      <c r="I317" s="3" t="s">
        <v>39</v>
      </c>
      <c r="J317" s="4">
        <v>98</v>
      </c>
      <c r="K317" s="5" t="s">
        <v>371</v>
      </c>
      <c r="L317" s="9">
        <v>2430948</v>
      </c>
      <c r="M317" s="4">
        <v>1998</v>
      </c>
      <c r="N317" s="6" t="s">
        <v>684</v>
      </c>
      <c r="O317" t="s">
        <v>945</v>
      </c>
      <c r="S317" t="s">
        <v>23</v>
      </c>
      <c r="U317" t="str">
        <f>IF(AND(ISNUMBER(L317),COUNTIF([2]Songs!$L:$L,L317)&gt;0),"YES","")</f>
        <v>YES</v>
      </c>
      <c r="V317" t="str">
        <f>IF(AND(ISNUMBER(L317),COUNTIF([3]Songs!$J:$J,L317)&gt;0),"YES","")</f>
        <v/>
      </c>
      <c r="W317" t="str">
        <f>IF(AND(ISNUMBER(L317),COUNTIF([1]Songs!$H:$H,L317)&gt;0),"YES","")</f>
        <v/>
      </c>
      <c r="X317" t="s">
        <v>851</v>
      </c>
      <c r="Y317">
        <v>35</v>
      </c>
      <c r="Z317" s="4"/>
      <c r="AA317" t="str">
        <f>I317
&amp;IF(H317=I317,""," "&amp;H317)
&amp;IF(OR(R317=I317,R317=H317),""," "&amp;R317)
&amp;IF(R317=S317,""," "&amp;S317)</f>
        <v xml:space="preserve">D </v>
      </c>
    </row>
    <row r="318" spans="1:27" x14ac:dyDescent="0.25">
      <c r="A318">
        <v>6</v>
      </c>
      <c r="C318" t="s">
        <v>851</v>
      </c>
      <c r="E318" t="s">
        <v>40</v>
      </c>
      <c r="G318" t="s">
        <v>685</v>
      </c>
      <c r="H318" s="3" t="s">
        <v>39</v>
      </c>
      <c r="I318" s="3" t="s">
        <v>39</v>
      </c>
      <c r="J318" s="4">
        <v>80</v>
      </c>
      <c r="K318" s="5" t="s">
        <v>380</v>
      </c>
      <c r="L318" s="10">
        <v>108389</v>
      </c>
      <c r="M318" s="4">
        <v>1758</v>
      </c>
      <c r="N318" s="6" t="s">
        <v>401</v>
      </c>
      <c r="O318" t="s">
        <v>92</v>
      </c>
      <c r="S318" t="s">
        <v>23</v>
      </c>
      <c r="U318" t="str">
        <f>IF(AND(ISNUMBER(L318),COUNTIF([2]Songs!$L:$L,L318)&gt;0),"YES","")</f>
        <v>YES</v>
      </c>
      <c r="V318" t="str">
        <f>IF(AND(ISNUMBER(L318),COUNTIF([3]Songs!$J:$J,L318)&gt;0),"YES","")</f>
        <v/>
      </c>
      <c r="W318" t="str">
        <f>IF(AND(ISNUMBER(L318),COUNTIF([1]Songs!$H:$H,L318)&gt;0),"YES","")</f>
        <v/>
      </c>
      <c r="X318" t="s">
        <v>851</v>
      </c>
      <c r="Y318">
        <v>36</v>
      </c>
      <c r="Z318" s="4"/>
      <c r="AA318" t="str">
        <f>I318
&amp;IF(H318=I318,""," "&amp;H318)
&amp;IF(OR(R318=I318,R318=H318),""," "&amp;R318)
&amp;IF(R318=S318,""," "&amp;S318)</f>
        <v xml:space="preserve">D </v>
      </c>
    </row>
    <row r="319" spans="1:27" x14ac:dyDescent="0.25">
      <c r="A319">
        <v>6</v>
      </c>
      <c r="C319" t="s">
        <v>851</v>
      </c>
      <c r="E319" t="s">
        <v>686</v>
      </c>
      <c r="F319" t="s">
        <v>166</v>
      </c>
      <c r="G319" t="s">
        <v>384</v>
      </c>
      <c r="H319" s="3" t="s">
        <v>39</v>
      </c>
      <c r="I319" s="3" t="s">
        <v>688</v>
      </c>
      <c r="J319" s="4">
        <v>76</v>
      </c>
      <c r="K319" s="5" t="s">
        <v>371</v>
      </c>
      <c r="L319" s="9">
        <v>6463818</v>
      </c>
      <c r="M319" s="4">
        <v>2013</v>
      </c>
      <c r="N319" s="6" t="s">
        <v>385</v>
      </c>
      <c r="O319" t="s">
        <v>944</v>
      </c>
      <c r="S319" t="s">
        <v>23</v>
      </c>
      <c r="U319" t="str">
        <f>IF(AND(ISNUMBER(L319),COUNTIF([2]Songs!$L:$L,L319)&gt;0),"YES","")</f>
        <v>YES</v>
      </c>
      <c r="V319" t="str">
        <f>IF(AND(ISNUMBER(L319),COUNTIF([3]Songs!$J:$J,L319)&gt;0),"YES","")</f>
        <v/>
      </c>
      <c r="W319" t="str">
        <f>IF(AND(ISNUMBER(L319),COUNTIF([1]Songs!$H:$H,L319)&gt;0),"YES","")</f>
        <v/>
      </c>
      <c r="X319" t="s">
        <v>851</v>
      </c>
      <c r="Y319">
        <v>38</v>
      </c>
      <c r="Z319" s="4"/>
      <c r="AA319" t="str">
        <f>I319
&amp;IF(H319=I319,""," "&amp;H319)
&amp;IF(OR(R319=I319,R319=H319),""," "&amp;R319)
&amp;IF(R319=S319,""," "&amp;S319)</f>
        <v xml:space="preserve">Db,Eb D </v>
      </c>
    </row>
    <row r="320" spans="1:27" x14ac:dyDescent="0.25">
      <c r="A320">
        <v>6</v>
      </c>
      <c r="C320" t="s">
        <v>851</v>
      </c>
      <c r="E320" t="s">
        <v>687</v>
      </c>
      <c r="G320" t="s">
        <v>690</v>
      </c>
      <c r="H320" s="3" t="s">
        <v>52</v>
      </c>
      <c r="I320" s="3" t="s">
        <v>28</v>
      </c>
      <c r="J320" s="4">
        <v>95</v>
      </c>
      <c r="K320" s="5" t="s">
        <v>371</v>
      </c>
      <c r="L320" s="9">
        <v>1537904</v>
      </c>
      <c r="M320" s="4">
        <v>1996</v>
      </c>
      <c r="N320" s="6" t="s">
        <v>691</v>
      </c>
      <c r="O320" t="s">
        <v>945</v>
      </c>
      <c r="S320" t="s">
        <v>23</v>
      </c>
      <c r="U320" t="str">
        <f>IF(AND(ISNUMBER(L320),COUNTIF([2]Songs!$L:$L,L320)&gt;0),"YES","")</f>
        <v>YES</v>
      </c>
      <c r="V320" t="str">
        <f>IF(AND(ISNUMBER(L320),COUNTIF([3]Songs!$J:$J,L320)&gt;0),"YES","")</f>
        <v/>
      </c>
      <c r="W320" t="str">
        <f>IF(AND(ISNUMBER(L320),COUNTIF([1]Songs!$H:$H,L320)&gt;0),"YES","")</f>
        <v/>
      </c>
      <c r="X320" t="s">
        <v>851</v>
      </c>
      <c r="Y320">
        <v>40</v>
      </c>
      <c r="Z320" s="4"/>
      <c r="AA320" t="str">
        <f>I320
&amp;IF(H320=I320,""," "&amp;H320)
&amp;IF(OR(R320=I320,R320=H320),""," "&amp;R320)
&amp;IF(R320=S320,""," "&amp;S320)</f>
        <v xml:space="preserve">Bb A </v>
      </c>
    </row>
    <row r="321" spans="1:27" x14ac:dyDescent="0.25">
      <c r="A321">
        <v>6</v>
      </c>
      <c r="C321" t="s">
        <v>851</v>
      </c>
      <c r="E321" t="s">
        <v>692</v>
      </c>
      <c r="G321" t="s">
        <v>693</v>
      </c>
      <c r="H321" s="3" t="s">
        <v>47</v>
      </c>
      <c r="I321" s="3" t="s">
        <v>47</v>
      </c>
      <c r="J321" s="4">
        <v>79</v>
      </c>
      <c r="K321" s="5" t="s">
        <v>371</v>
      </c>
      <c r="L321" s="9">
        <v>7102440</v>
      </c>
      <c r="M321" s="4">
        <v>2017</v>
      </c>
      <c r="N321" s="6" t="s">
        <v>453</v>
      </c>
      <c r="O321" t="s">
        <v>944</v>
      </c>
      <c r="S321" t="s">
        <v>23</v>
      </c>
      <c r="U321" t="str">
        <f>IF(AND(ISNUMBER(L321),COUNTIF([2]Songs!$L:$L,L321)&gt;0),"YES","")</f>
        <v>YES</v>
      </c>
      <c r="V321" t="str">
        <f>IF(AND(ISNUMBER(L321),COUNTIF([3]Songs!$J:$J,L321)&gt;0),"YES","")</f>
        <v/>
      </c>
      <c r="W321" t="str">
        <f>IF(AND(ISNUMBER(L321),COUNTIF([1]Songs!$H:$H,L321)&gt;0),"YES","")</f>
        <v/>
      </c>
      <c r="X321" t="s">
        <v>851</v>
      </c>
      <c r="Y321">
        <v>42</v>
      </c>
      <c r="Z321" s="4"/>
      <c r="AA321" t="str">
        <f>I321
&amp;IF(H321=I321,""," "&amp;H321)
&amp;IF(OR(R321=I321,R321=H321),""," "&amp;R321)
&amp;IF(R321=S321,""," "&amp;S321)</f>
        <v xml:space="preserve">C </v>
      </c>
    </row>
    <row r="322" spans="1:27" x14ac:dyDescent="0.25">
      <c r="A322">
        <v>6</v>
      </c>
      <c r="C322" t="s">
        <v>851</v>
      </c>
      <c r="E322" t="s">
        <v>307</v>
      </c>
      <c r="G322" t="s">
        <v>694</v>
      </c>
      <c r="H322" s="3" t="s">
        <v>176</v>
      </c>
      <c r="I322" s="3" t="s">
        <v>695</v>
      </c>
      <c r="J322" s="4">
        <v>66</v>
      </c>
      <c r="K322" s="4" t="s">
        <v>371</v>
      </c>
      <c r="L322" s="10">
        <v>5869877</v>
      </c>
      <c r="M322" s="4">
        <v>2010</v>
      </c>
      <c r="N322" s="4" t="s">
        <v>378</v>
      </c>
      <c r="O322" t="s">
        <v>944</v>
      </c>
      <c r="S322" t="s">
        <v>23</v>
      </c>
      <c r="U322" t="str">
        <f>IF(AND(ISNUMBER(L322),COUNTIF([2]Songs!$L:$L,L322)&gt;0),"YES","")</f>
        <v>YES</v>
      </c>
      <c r="V322" t="str">
        <f>IF(AND(ISNUMBER(L322),COUNTIF([3]Songs!$J:$J,L322)&gt;0),"YES","")</f>
        <v/>
      </c>
      <c r="W322" t="str">
        <f>IF(AND(ISNUMBER(L322),COUNTIF([1]Songs!$H:$H,L322)&gt;0),"YES","")</f>
        <v/>
      </c>
      <c r="X322" t="s">
        <v>851</v>
      </c>
      <c r="Y322">
        <v>47</v>
      </c>
      <c r="Z322" s="4"/>
      <c r="AA322" t="str">
        <f>I322
&amp;IF(H322=I322,""," "&amp;H322)
&amp;IF(OR(R322=I322,R322=H322),""," "&amp;R322)
&amp;IF(R322=S322,""," "&amp;S322)</f>
        <v xml:space="preserve">Gb F </v>
      </c>
    </row>
    <row r="323" spans="1:27" x14ac:dyDescent="0.25">
      <c r="A323">
        <v>6</v>
      </c>
      <c r="C323" t="s">
        <v>851</v>
      </c>
      <c r="E323" t="s">
        <v>696</v>
      </c>
      <c r="G323" t="s">
        <v>697</v>
      </c>
      <c r="H323" s="3" t="s">
        <v>31</v>
      </c>
      <c r="I323" s="3" t="s">
        <v>31</v>
      </c>
      <c r="J323" s="4">
        <v>76</v>
      </c>
      <c r="K323" s="5" t="s">
        <v>371</v>
      </c>
      <c r="L323" s="9">
        <v>7068806</v>
      </c>
      <c r="M323" s="4">
        <v>2016</v>
      </c>
      <c r="N323" s="6" t="s">
        <v>385</v>
      </c>
      <c r="O323" t="s">
        <v>944</v>
      </c>
      <c r="S323" t="s">
        <v>23</v>
      </c>
      <c r="U323" t="str">
        <f>IF(AND(ISNUMBER(L323),COUNTIF([2]Songs!$L:$L,L323)&gt;0),"YES","")</f>
        <v>YES</v>
      </c>
      <c r="V323" t="str">
        <f>IF(AND(ISNUMBER(L323),COUNTIF([3]Songs!$J:$J,L323)&gt;0),"YES","")</f>
        <v/>
      </c>
      <c r="W323" t="str">
        <f>IF(AND(ISNUMBER(L323),COUNTIF([1]Songs!$H:$H,L323)&gt;0),"YES","")</f>
        <v/>
      </c>
      <c r="X323" t="s">
        <v>851</v>
      </c>
      <c r="Y323">
        <v>50</v>
      </c>
      <c r="Z323" s="4"/>
      <c r="AA323" t="str">
        <f>I323
&amp;IF(H323=I323,""," "&amp;H323)
&amp;IF(OR(R323=I323,R323=H323),""," "&amp;R323)
&amp;IF(R323=S323,""," "&amp;S323)</f>
        <v xml:space="preserve">B </v>
      </c>
    </row>
    <row r="324" spans="1:27" x14ac:dyDescent="0.25">
      <c r="A324">
        <v>6</v>
      </c>
      <c r="C324" t="s">
        <v>851</v>
      </c>
      <c r="E324" t="s">
        <v>698</v>
      </c>
      <c r="G324" t="s">
        <v>699</v>
      </c>
      <c r="H324" s="3" t="s">
        <v>47</v>
      </c>
      <c r="I324" s="3" t="s">
        <v>47</v>
      </c>
      <c r="J324" s="4">
        <v>80</v>
      </c>
      <c r="K324" s="5" t="s">
        <v>371</v>
      </c>
      <c r="L324" s="9">
        <v>5037070</v>
      </c>
      <c r="M324" s="4">
        <v>2006</v>
      </c>
      <c r="N324" s="6" t="s">
        <v>378</v>
      </c>
      <c r="O324" t="s">
        <v>944</v>
      </c>
      <c r="S324" t="s">
        <v>23</v>
      </c>
      <c r="U324" t="str">
        <f>IF(AND(ISNUMBER(L324),COUNTIF([2]Songs!$L:$L,L324)&gt;0),"YES","")</f>
        <v>YES</v>
      </c>
      <c r="V324" t="str">
        <f>IF(AND(ISNUMBER(L324),COUNTIF([3]Songs!$J:$J,L324)&gt;0),"YES","")</f>
        <v/>
      </c>
      <c r="W324" t="str">
        <f>IF(AND(ISNUMBER(L324),COUNTIF([1]Songs!$H:$H,L324)&gt;0),"YES","")</f>
        <v/>
      </c>
      <c r="X324" t="s">
        <v>851</v>
      </c>
      <c r="Y324">
        <v>54</v>
      </c>
      <c r="Z324" s="4"/>
      <c r="AA324" t="str">
        <f>I324
&amp;IF(H324=I324,""," "&amp;H324)
&amp;IF(OR(R324=I324,R324=H324),""," "&amp;R324)
&amp;IF(R324=S324,""," "&amp;S324)</f>
        <v xml:space="preserve">C </v>
      </c>
    </row>
    <row r="325" spans="1:27" x14ac:dyDescent="0.25">
      <c r="A325">
        <v>6</v>
      </c>
      <c r="C325" t="s">
        <v>851</v>
      </c>
      <c r="E325" t="s">
        <v>700</v>
      </c>
      <c r="G325" t="s">
        <v>387</v>
      </c>
      <c r="H325" s="3" t="s">
        <v>52</v>
      </c>
      <c r="I325" s="3" t="s">
        <v>52</v>
      </c>
      <c r="J325" s="4">
        <v>88</v>
      </c>
      <c r="K325" s="5" t="s">
        <v>371</v>
      </c>
      <c r="L325" s="10">
        <v>7091509</v>
      </c>
      <c r="M325" s="4">
        <v>2017</v>
      </c>
      <c r="N325" s="4" t="s">
        <v>675</v>
      </c>
      <c r="O325" t="s">
        <v>944</v>
      </c>
      <c r="S325" t="s">
        <v>23</v>
      </c>
      <c r="U325" t="str">
        <f>IF(AND(ISNUMBER(L325),COUNTIF([2]Songs!$L:$L,L325)&gt;0),"YES","")</f>
        <v>YES</v>
      </c>
      <c r="V325" t="str">
        <f>IF(AND(ISNUMBER(L325),COUNTIF([3]Songs!$J:$J,L325)&gt;0),"YES","")</f>
        <v/>
      </c>
      <c r="W325" t="str">
        <f>IF(AND(ISNUMBER(L325),COUNTIF([1]Songs!$H:$H,L325)&gt;0),"YES","")</f>
        <v/>
      </c>
      <c r="X325" t="s">
        <v>851</v>
      </c>
      <c r="Y325">
        <v>57</v>
      </c>
      <c r="Z325" s="4" t="s">
        <v>862</v>
      </c>
      <c r="AA325" t="str">
        <f>I325
&amp;IF(H325=I325,""," "&amp;H325)
&amp;IF(OR(R325=I325,R325=H325),""," "&amp;R325)
&amp;IF(R325=S325,""," "&amp;S325)</f>
        <v xml:space="preserve">A </v>
      </c>
    </row>
    <row r="326" spans="1:27" x14ac:dyDescent="0.25">
      <c r="A326">
        <v>6</v>
      </c>
      <c r="C326" t="s">
        <v>851</v>
      </c>
      <c r="E326" t="s">
        <v>114</v>
      </c>
      <c r="F326" t="s">
        <v>701</v>
      </c>
      <c r="G326" t="s">
        <v>702</v>
      </c>
      <c r="H326" s="3" t="s">
        <v>47</v>
      </c>
      <c r="I326" s="3" t="s">
        <v>47</v>
      </c>
      <c r="J326" s="4">
        <v>100</v>
      </c>
      <c r="K326" s="5" t="s">
        <v>380</v>
      </c>
      <c r="L326" s="10">
        <v>7109317</v>
      </c>
      <c r="M326" s="4">
        <v>2018</v>
      </c>
      <c r="N326" s="6" t="s">
        <v>703</v>
      </c>
      <c r="O326" t="s">
        <v>944</v>
      </c>
      <c r="S326" t="s">
        <v>23</v>
      </c>
      <c r="U326" t="str">
        <f>IF(AND(ISNUMBER(L326),COUNTIF([2]Songs!$L:$L,L326)&gt;0),"YES","")</f>
        <v>YES</v>
      </c>
      <c r="V326" t="str">
        <f>IF(AND(ISNUMBER(L326),COUNTIF([3]Songs!$J:$J,L326)&gt;0),"YES","")</f>
        <v/>
      </c>
      <c r="W326" t="str">
        <f>IF(AND(ISNUMBER(L326),COUNTIF([1]Songs!$H:$H,L326)&gt;0),"YES","")</f>
        <v/>
      </c>
      <c r="X326" t="s">
        <v>851</v>
      </c>
      <c r="Y326">
        <v>61</v>
      </c>
      <c r="Z326" s="4"/>
      <c r="AA326" t="str">
        <f>I326
&amp;IF(H326=I326,""," "&amp;H326)
&amp;IF(OR(R326=I326,R326=H326),""," "&amp;R326)
&amp;IF(R326=S326,""," "&amp;S326)</f>
        <v xml:space="preserve">C </v>
      </c>
    </row>
    <row r="327" spans="1:27" x14ac:dyDescent="0.25">
      <c r="A327">
        <v>6</v>
      </c>
      <c r="C327" t="s">
        <v>851</v>
      </c>
      <c r="E327" t="s">
        <v>296</v>
      </c>
      <c r="F327" t="s">
        <v>704</v>
      </c>
      <c r="G327" t="s">
        <v>706</v>
      </c>
      <c r="H327" s="3" t="s">
        <v>52</v>
      </c>
      <c r="I327" s="3" t="s">
        <v>28</v>
      </c>
      <c r="J327" s="4">
        <v>115</v>
      </c>
      <c r="K327" s="4" t="s">
        <v>371</v>
      </c>
      <c r="L327" s="9">
        <v>6550556</v>
      </c>
      <c r="M327" s="4">
        <v>2012</v>
      </c>
      <c r="N327" s="6" t="s">
        <v>707</v>
      </c>
      <c r="O327" t="s">
        <v>944</v>
      </c>
      <c r="S327" t="s">
        <v>23</v>
      </c>
      <c r="U327" t="str">
        <f>IF(AND(ISNUMBER(L327),COUNTIF([2]Songs!$L:$L,L327)&gt;0),"YES","")</f>
        <v>YES</v>
      </c>
      <c r="V327" t="str">
        <f>IF(AND(ISNUMBER(L327),COUNTIF([3]Songs!$J:$J,L327)&gt;0),"YES","")</f>
        <v/>
      </c>
      <c r="W327" t="str">
        <f>IF(AND(ISNUMBER(L327),COUNTIF([1]Songs!$H:$H,L327)&gt;0),"YES","")</f>
        <v/>
      </c>
      <c r="X327" t="s">
        <v>851</v>
      </c>
      <c r="Y327">
        <v>63</v>
      </c>
      <c r="Z327" s="4" t="s">
        <v>862</v>
      </c>
      <c r="AA327" t="str">
        <f>I327
&amp;IF(H327=I327,""," "&amp;H327)
&amp;IF(OR(R327=I327,R327=H327),""," "&amp;R327)
&amp;IF(R327=S327,""," "&amp;S327)</f>
        <v xml:space="preserve">Bb A </v>
      </c>
    </row>
    <row r="328" spans="1:27" x14ac:dyDescent="0.25">
      <c r="A328">
        <v>6</v>
      </c>
      <c r="C328" t="s">
        <v>851</v>
      </c>
      <c r="E328" t="s">
        <v>705</v>
      </c>
      <c r="G328" t="s">
        <v>708</v>
      </c>
      <c r="H328" s="3" t="s">
        <v>25</v>
      </c>
      <c r="I328" s="3" t="s">
        <v>25</v>
      </c>
      <c r="J328" s="4">
        <v>94</v>
      </c>
      <c r="K328" s="4" t="s">
        <v>371</v>
      </c>
      <c r="L328" s="9">
        <v>4026635</v>
      </c>
      <c r="M328" s="4">
        <v>2003</v>
      </c>
      <c r="N328" s="6" t="s">
        <v>709</v>
      </c>
      <c r="O328" t="s">
        <v>944</v>
      </c>
      <c r="S328" t="s">
        <v>23</v>
      </c>
      <c r="U328" t="str">
        <f>IF(AND(ISNUMBER(L328),COUNTIF([2]Songs!$L:$L,L328)&gt;0),"YES","")</f>
        <v>YES</v>
      </c>
      <c r="V328" t="str">
        <f>IF(AND(ISNUMBER(L328),COUNTIF([3]Songs!$J:$J,L328)&gt;0),"YES","")</f>
        <v/>
      </c>
      <c r="W328" t="str">
        <f>IF(AND(ISNUMBER(L328),COUNTIF([1]Songs!$H:$H,L328)&gt;0),"YES","")</f>
        <v/>
      </c>
      <c r="X328" t="s">
        <v>851</v>
      </c>
      <c r="Y328">
        <v>64</v>
      </c>
      <c r="Z328" s="4"/>
      <c r="AA328" t="str">
        <f>I328
&amp;IF(H328=I328,""," "&amp;H328)
&amp;IF(OR(R328=I328,R328=H328),""," "&amp;R328)
&amp;IF(R328=S328,""," "&amp;S328)</f>
        <v xml:space="preserve">G </v>
      </c>
    </row>
    <row r="329" spans="1:27" x14ac:dyDescent="0.25">
      <c r="A329">
        <v>6</v>
      </c>
      <c r="C329" t="s">
        <v>851</v>
      </c>
      <c r="E329" t="s">
        <v>710</v>
      </c>
      <c r="G329" t="s">
        <v>711</v>
      </c>
      <c r="H329" s="3" t="s">
        <v>47</v>
      </c>
      <c r="I329" s="3" t="s">
        <v>47</v>
      </c>
      <c r="J329" s="4">
        <v>68</v>
      </c>
      <c r="K329" s="4" t="s">
        <v>371</v>
      </c>
      <c r="L329" s="9">
        <v>7111925</v>
      </c>
      <c r="M329" s="4">
        <v>2018</v>
      </c>
      <c r="N329" s="6" t="s">
        <v>432</v>
      </c>
      <c r="O329" t="s">
        <v>944</v>
      </c>
      <c r="S329" t="s">
        <v>23</v>
      </c>
      <c r="U329" t="str">
        <f>IF(AND(ISNUMBER(L329),COUNTIF([2]Songs!$L:$L,L329)&gt;0),"YES","")</f>
        <v>YES</v>
      </c>
      <c r="V329" t="str">
        <f>IF(AND(ISNUMBER(L329),COUNTIF([3]Songs!$J:$J,L329)&gt;0),"YES","")</f>
        <v/>
      </c>
      <c r="W329" t="str">
        <f>IF(AND(ISNUMBER(L329),COUNTIF([1]Songs!$H:$H,L329)&gt;0),"YES","")</f>
        <v/>
      </c>
      <c r="X329" t="s">
        <v>851</v>
      </c>
      <c r="Y329">
        <v>67</v>
      </c>
      <c r="Z329" s="4"/>
      <c r="AA329" t="str">
        <f>I329
&amp;IF(H329=I329,""," "&amp;H329)
&amp;IF(OR(R329=I329,R329=H329),""," "&amp;R329)
&amp;IF(R329=S329,""," "&amp;S329)</f>
        <v xml:space="preserve">C </v>
      </c>
    </row>
    <row r="330" spans="1:27" x14ac:dyDescent="0.25">
      <c r="A330">
        <v>6</v>
      </c>
      <c r="C330" t="s">
        <v>851</v>
      </c>
      <c r="E330" t="s">
        <v>712</v>
      </c>
      <c r="G330" t="s">
        <v>716</v>
      </c>
      <c r="H330" s="3" t="s">
        <v>25</v>
      </c>
      <c r="I330" s="3" t="s">
        <v>25</v>
      </c>
      <c r="J330" s="4">
        <v>80</v>
      </c>
      <c r="K330" s="5" t="s">
        <v>380</v>
      </c>
      <c r="L330" s="9">
        <v>3287884</v>
      </c>
      <c r="M330" s="4">
        <v>2004</v>
      </c>
      <c r="N330" s="6" t="s">
        <v>381</v>
      </c>
      <c r="O330" t="s">
        <v>944</v>
      </c>
      <c r="S330" t="s">
        <v>23</v>
      </c>
      <c r="U330" t="str">
        <f>IF(AND(ISNUMBER(L330),COUNTIF([2]Songs!$L:$L,L330)&gt;0),"YES","")</f>
        <v>YES</v>
      </c>
      <c r="V330" t="str">
        <f>IF(AND(ISNUMBER(L330),COUNTIF([3]Songs!$J:$J,L330)&gt;0),"YES","")</f>
        <v/>
      </c>
      <c r="W330" t="str">
        <f>IF(AND(ISNUMBER(L330),COUNTIF([1]Songs!$H:$H,L330)&gt;0),"YES","")</f>
        <v/>
      </c>
      <c r="X330" t="s">
        <v>851</v>
      </c>
      <c r="Y330">
        <v>70</v>
      </c>
      <c r="Z330" s="4"/>
      <c r="AA330" t="str">
        <f>I330
&amp;IF(H330=I330,""," "&amp;H330)
&amp;IF(OR(R330=I330,R330=H330),""," "&amp;R330)
&amp;IF(R330=S330,""," "&amp;S330)</f>
        <v xml:space="preserve">G </v>
      </c>
    </row>
    <row r="331" spans="1:27" x14ac:dyDescent="0.25">
      <c r="A331">
        <v>6</v>
      </c>
      <c r="C331" t="s">
        <v>851</v>
      </c>
      <c r="E331" t="s">
        <v>713</v>
      </c>
      <c r="F331" t="s">
        <v>714</v>
      </c>
      <c r="G331" t="s">
        <v>717</v>
      </c>
      <c r="H331" s="3" t="s">
        <v>52</v>
      </c>
      <c r="I331" s="3" t="s">
        <v>28</v>
      </c>
      <c r="J331" s="4">
        <v>57</v>
      </c>
      <c r="K331" s="5" t="s">
        <v>371</v>
      </c>
      <c r="L331" s="10">
        <v>6129798</v>
      </c>
      <c r="M331" s="4">
        <v>2011</v>
      </c>
      <c r="N331" s="4" t="s">
        <v>381</v>
      </c>
      <c r="O331" t="s">
        <v>944</v>
      </c>
      <c r="S331" t="s">
        <v>23</v>
      </c>
      <c r="U331" t="str">
        <f>IF(AND(ISNUMBER(L331),COUNTIF([2]Songs!$L:$L,L331)&gt;0),"YES","")</f>
        <v>YES</v>
      </c>
      <c r="V331" t="str">
        <f>IF(AND(ISNUMBER(L331),COUNTIF([3]Songs!$J:$J,L331)&gt;0),"YES","")</f>
        <v/>
      </c>
      <c r="W331" t="str">
        <f>IF(AND(ISNUMBER(L331),COUNTIF([1]Songs!$H:$H,L331)&gt;0),"YES","")</f>
        <v/>
      </c>
      <c r="X331" t="s">
        <v>851</v>
      </c>
      <c r="Y331">
        <v>71</v>
      </c>
      <c r="Z331" s="4" t="s">
        <v>862</v>
      </c>
      <c r="AA331" t="str">
        <f>I331
&amp;IF(H331=I331,""," "&amp;H331)
&amp;IF(OR(R331=I331,R331=H331),""," "&amp;R331)
&amp;IF(R331=S331,""," "&amp;S331)</f>
        <v xml:space="preserve">Bb A </v>
      </c>
    </row>
    <row r="332" spans="1:27" x14ac:dyDescent="0.25">
      <c r="A332">
        <v>6</v>
      </c>
      <c r="C332" t="s">
        <v>851</v>
      </c>
      <c r="E332" t="s">
        <v>715</v>
      </c>
      <c r="G332" t="s">
        <v>718</v>
      </c>
      <c r="H332" s="4" t="s">
        <v>39</v>
      </c>
      <c r="I332" s="4" t="s">
        <v>39</v>
      </c>
      <c r="J332" s="4"/>
      <c r="K332" s="5" t="s">
        <v>371</v>
      </c>
      <c r="L332" s="10">
        <v>1156</v>
      </c>
      <c r="M332" s="4">
        <v>1826</v>
      </c>
      <c r="N332" s="4" t="s">
        <v>401</v>
      </c>
      <c r="O332" t="s">
        <v>92</v>
      </c>
      <c r="S332" t="s">
        <v>23</v>
      </c>
      <c r="U332" t="str">
        <f>IF(AND(ISNUMBER(L332),COUNTIF([2]Songs!$L:$L,L332)&gt;0),"YES","")</f>
        <v>YES</v>
      </c>
      <c r="V332" t="str">
        <f>IF(AND(ISNUMBER(L332),COUNTIF([3]Songs!$J:$J,L332)&gt;0),"YES","")</f>
        <v/>
      </c>
      <c r="W332" t="str">
        <f>IF(AND(ISNUMBER(L332),COUNTIF([1]Songs!$H:$H,L332)&gt;0),"YES","")</f>
        <v/>
      </c>
      <c r="X332" t="s">
        <v>851</v>
      </c>
      <c r="Y332">
        <v>72</v>
      </c>
      <c r="Z332" s="4"/>
      <c r="AA332" t="str">
        <f>I332
&amp;IF(H332=I332,""," "&amp;H332)
&amp;IF(OR(R332=I332,R332=H332),""," "&amp;R332)
&amp;IF(R332=S332,""," "&amp;S332)</f>
        <v xml:space="preserve">D </v>
      </c>
    </row>
    <row r="333" spans="1:27" x14ac:dyDescent="0.25">
      <c r="A333">
        <v>6</v>
      </c>
      <c r="C333" t="s">
        <v>851</v>
      </c>
      <c r="E333" t="s">
        <v>53</v>
      </c>
      <c r="G333" t="s">
        <v>719</v>
      </c>
      <c r="H333" s="3" t="s">
        <v>25</v>
      </c>
      <c r="I333" s="3" t="s">
        <v>25</v>
      </c>
      <c r="J333" s="4">
        <v>120</v>
      </c>
      <c r="K333" s="5" t="s">
        <v>371</v>
      </c>
      <c r="L333" s="10">
        <v>21545</v>
      </c>
      <c r="M333" s="4">
        <v>1985</v>
      </c>
      <c r="N333" s="6" t="s">
        <v>720</v>
      </c>
      <c r="O333" t="s">
        <v>945</v>
      </c>
      <c r="S333" t="s">
        <v>23</v>
      </c>
      <c r="U333" t="str">
        <f>IF(AND(ISNUMBER(L333),COUNTIF([2]Songs!$L:$L,L333)&gt;0),"YES","")</f>
        <v>YES</v>
      </c>
      <c r="V333" t="str">
        <f>IF(AND(ISNUMBER(L333),COUNTIF([3]Songs!$J:$J,L333)&gt;0),"YES","")</f>
        <v/>
      </c>
      <c r="W333" t="str">
        <f>IF(AND(ISNUMBER(L333),COUNTIF([1]Songs!$H:$H,L333)&gt;0),"YES","")</f>
        <v/>
      </c>
      <c r="X333" t="s">
        <v>851</v>
      </c>
      <c r="Y333">
        <v>73</v>
      </c>
      <c r="Z333" s="4"/>
      <c r="AA333" t="str">
        <f>I333
&amp;IF(H333=I333,""," "&amp;H333)
&amp;IF(OR(R333=I333,R333=H333),""," "&amp;R333)
&amp;IF(R333=S333,""," "&amp;S333)</f>
        <v xml:space="preserve">G </v>
      </c>
    </row>
    <row r="334" spans="1:27" x14ac:dyDescent="0.25">
      <c r="A334">
        <v>6</v>
      </c>
      <c r="C334" t="s">
        <v>851</v>
      </c>
      <c r="E334" t="s">
        <v>721</v>
      </c>
      <c r="G334" t="s">
        <v>722</v>
      </c>
      <c r="H334" s="4" t="s">
        <v>25</v>
      </c>
      <c r="I334" s="4" t="s">
        <v>67</v>
      </c>
      <c r="J334" s="4">
        <v>64</v>
      </c>
      <c r="K334" s="5" t="s">
        <v>462</v>
      </c>
      <c r="L334" s="10">
        <v>107816</v>
      </c>
      <c r="M334" s="4">
        <v>1787</v>
      </c>
      <c r="N334" s="4" t="s">
        <v>401</v>
      </c>
      <c r="O334" t="s">
        <v>92</v>
      </c>
      <c r="S334" t="s">
        <v>23</v>
      </c>
      <c r="U334" t="str">
        <f>IF(AND(ISNUMBER(L334),COUNTIF([2]Songs!$L:$L,L334)&gt;0),"YES","")</f>
        <v>YES</v>
      </c>
      <c r="V334" t="str">
        <f>IF(AND(ISNUMBER(L334),COUNTIF([3]Songs!$J:$J,L334)&gt;0),"YES","")</f>
        <v/>
      </c>
      <c r="W334" t="str">
        <f>IF(AND(ISNUMBER(L334),COUNTIF([1]Songs!$H:$H,L334)&gt;0),"YES","")</f>
        <v/>
      </c>
      <c r="X334" t="s">
        <v>851</v>
      </c>
      <c r="Y334">
        <v>77</v>
      </c>
      <c r="Z334" s="4"/>
      <c r="AA334" t="str">
        <f>I334
&amp;IF(H334=I334,""," "&amp;H334)
&amp;IF(OR(R334=I334,R334=H334),""," "&amp;R334)
&amp;IF(R334=S334,""," "&amp;S334)</f>
        <v xml:space="preserve">Ab G </v>
      </c>
    </row>
    <row r="335" spans="1:27" x14ac:dyDescent="0.25">
      <c r="A335">
        <v>6</v>
      </c>
      <c r="C335" t="s">
        <v>851</v>
      </c>
      <c r="E335" t="s">
        <v>723</v>
      </c>
      <c r="G335" t="s">
        <v>730</v>
      </c>
      <c r="H335" s="3" t="s">
        <v>39</v>
      </c>
      <c r="I335" s="3" t="s">
        <v>39</v>
      </c>
      <c r="J335" s="4">
        <v>80</v>
      </c>
      <c r="K335" s="5" t="s">
        <v>371</v>
      </c>
      <c r="L335" s="9">
        <v>2978857</v>
      </c>
      <c r="M335" s="4">
        <v>2002</v>
      </c>
      <c r="N335" s="6" t="s">
        <v>731</v>
      </c>
      <c r="O335" t="s">
        <v>944</v>
      </c>
      <c r="S335" t="s">
        <v>23</v>
      </c>
      <c r="U335" t="str">
        <f>IF(AND(ISNUMBER(L335),COUNTIF([2]Songs!$L:$L,L335)&gt;0),"YES","")</f>
        <v>YES</v>
      </c>
      <c r="V335" t="str">
        <f>IF(AND(ISNUMBER(L335),COUNTIF([3]Songs!$J:$J,L335)&gt;0),"YES","")</f>
        <v/>
      </c>
      <c r="W335" t="str">
        <f>IF(AND(ISNUMBER(L335),COUNTIF([1]Songs!$H:$H,L335)&gt;0),"YES","")</f>
        <v/>
      </c>
      <c r="X335" t="s">
        <v>851</v>
      </c>
      <c r="Y335">
        <v>80</v>
      </c>
      <c r="Z335" s="4"/>
      <c r="AA335" t="str">
        <f>I335
&amp;IF(H335=I335,""," "&amp;H335)
&amp;IF(OR(R335=I335,R335=H335),""," "&amp;R335)
&amp;IF(R335=S335,""," "&amp;S335)</f>
        <v xml:space="preserve">D </v>
      </c>
    </row>
    <row r="336" spans="1:27" x14ac:dyDescent="0.25">
      <c r="A336">
        <v>6</v>
      </c>
      <c r="C336" t="s">
        <v>851</v>
      </c>
      <c r="E336" t="s">
        <v>724</v>
      </c>
      <c r="G336" t="s">
        <v>732</v>
      </c>
      <c r="H336" s="4" t="s">
        <v>47</v>
      </c>
      <c r="I336" s="4" t="s">
        <v>93</v>
      </c>
      <c r="J336" s="4">
        <v>96</v>
      </c>
      <c r="K336" s="5" t="s">
        <v>371</v>
      </c>
      <c r="L336" s="10">
        <v>31762</v>
      </c>
      <c r="M336" s="4">
        <v>1883</v>
      </c>
      <c r="N336" s="4" t="s">
        <v>401</v>
      </c>
      <c r="O336" t="s">
        <v>92</v>
      </c>
      <c r="S336" t="s">
        <v>23</v>
      </c>
      <c r="U336" t="str">
        <f>IF(AND(ISNUMBER(L336),COUNTIF([2]Songs!$L:$L,L336)&gt;0),"YES","")</f>
        <v>YES</v>
      </c>
      <c r="V336" t="str">
        <f>IF(AND(ISNUMBER(L336),COUNTIF([3]Songs!$J:$J,L336)&gt;0),"YES","")</f>
        <v/>
      </c>
      <c r="W336" t="str">
        <f>IF(AND(ISNUMBER(L336),COUNTIF([1]Songs!$H:$H,L336)&gt;0),"YES","")</f>
        <v/>
      </c>
      <c r="X336" t="s">
        <v>851</v>
      </c>
      <c r="Y336">
        <v>81</v>
      </c>
      <c r="Z336" s="4"/>
      <c r="AA336" t="str">
        <f>I336
&amp;IF(H336=I336,""," "&amp;H336)
&amp;IF(OR(R336=I336,R336=H336),""," "&amp;R336)
&amp;IF(R336=S336,""," "&amp;S336)</f>
        <v xml:space="preserve">Db C </v>
      </c>
    </row>
    <row r="337" spans="1:27" x14ac:dyDescent="0.25">
      <c r="A337">
        <v>6</v>
      </c>
      <c r="C337" t="s">
        <v>851</v>
      </c>
      <c r="E337" t="s">
        <v>725</v>
      </c>
      <c r="G337" t="s">
        <v>733</v>
      </c>
      <c r="H337" s="3" t="s">
        <v>31</v>
      </c>
      <c r="I337" s="3" t="s">
        <v>31</v>
      </c>
      <c r="J337" s="4">
        <v>85</v>
      </c>
      <c r="K337" s="5" t="s">
        <v>371</v>
      </c>
      <c r="L337" s="10">
        <v>5869884</v>
      </c>
      <c r="M337" s="4">
        <v>2010</v>
      </c>
      <c r="N337" s="4" t="s">
        <v>378</v>
      </c>
      <c r="O337" t="s">
        <v>944</v>
      </c>
      <c r="S337" t="s">
        <v>23</v>
      </c>
      <c r="U337" t="str">
        <f>IF(AND(ISNUMBER(L337),COUNTIF([2]Songs!$L:$L,L337)&gt;0),"YES","")</f>
        <v>YES</v>
      </c>
      <c r="V337" t="str">
        <f>IF(AND(ISNUMBER(L337),COUNTIF([3]Songs!$J:$J,L337)&gt;0),"YES","")</f>
        <v/>
      </c>
      <c r="W337" t="str">
        <f>IF(AND(ISNUMBER(L337),COUNTIF([1]Songs!$H:$H,L337)&gt;0),"YES","")</f>
        <v/>
      </c>
      <c r="X337" t="s">
        <v>851</v>
      </c>
      <c r="Y337">
        <v>82</v>
      </c>
      <c r="Z337" s="4"/>
      <c r="AA337" t="str">
        <f>I337
&amp;IF(H337=I337,""," "&amp;H337)
&amp;IF(OR(R337=I337,R337=H337),""," "&amp;R337)
&amp;IF(R337=S337,""," "&amp;S337)</f>
        <v xml:space="preserve">B </v>
      </c>
    </row>
    <row r="338" spans="1:27" x14ac:dyDescent="0.25">
      <c r="A338">
        <v>6</v>
      </c>
      <c r="C338" t="s">
        <v>851</v>
      </c>
      <c r="E338" t="s">
        <v>81</v>
      </c>
      <c r="F338" t="s">
        <v>726</v>
      </c>
      <c r="G338" t="s">
        <v>734</v>
      </c>
      <c r="H338" s="3" t="s">
        <v>25</v>
      </c>
      <c r="I338" s="3" t="s">
        <v>67</v>
      </c>
      <c r="J338" s="4">
        <v>106</v>
      </c>
      <c r="K338" s="4" t="s">
        <v>371</v>
      </c>
      <c r="L338" s="9">
        <v>25297</v>
      </c>
      <c r="M338" s="4">
        <v>1905</v>
      </c>
      <c r="N338" s="4" t="s">
        <v>401</v>
      </c>
      <c r="O338" t="s">
        <v>92</v>
      </c>
      <c r="S338" t="s">
        <v>23</v>
      </c>
      <c r="U338" t="str">
        <f>IF(AND(ISNUMBER(L338),COUNTIF([2]Songs!$L:$L,L338)&gt;0),"YES","")</f>
        <v>YES</v>
      </c>
      <c r="V338" t="str">
        <f>IF(AND(ISNUMBER(L338),COUNTIF([3]Songs!$J:$J,L338)&gt;0),"YES","")</f>
        <v/>
      </c>
      <c r="W338" t="str">
        <f>IF(AND(ISNUMBER(L338),COUNTIF([1]Songs!$H:$H,L338)&gt;0),"YES","")</f>
        <v/>
      </c>
      <c r="X338" t="s">
        <v>851</v>
      </c>
      <c r="Y338">
        <v>83</v>
      </c>
      <c r="Z338" s="4"/>
      <c r="AA338" t="str">
        <f>I338
&amp;IF(H338=I338,""," "&amp;H338)
&amp;IF(OR(R338=I338,R338=H338),""," "&amp;R338)
&amp;IF(R338=S338,""," "&amp;S338)</f>
        <v xml:space="preserve">Ab G </v>
      </c>
    </row>
    <row r="339" spans="1:27" x14ac:dyDescent="0.25">
      <c r="A339">
        <v>6</v>
      </c>
      <c r="C339" t="s">
        <v>851</v>
      </c>
      <c r="E339" t="s">
        <v>727</v>
      </c>
      <c r="G339" t="s">
        <v>735</v>
      </c>
      <c r="H339" s="3" t="s">
        <v>52</v>
      </c>
      <c r="I339" s="3" t="s">
        <v>52</v>
      </c>
      <c r="J339" s="4">
        <v>76</v>
      </c>
      <c r="K339" s="5" t="s">
        <v>371</v>
      </c>
      <c r="L339" s="10">
        <v>23914</v>
      </c>
      <c r="M339" s="4">
        <v>1987</v>
      </c>
      <c r="N339" s="4" t="s">
        <v>669</v>
      </c>
      <c r="O339" t="s">
        <v>945</v>
      </c>
      <c r="S339" t="s">
        <v>23</v>
      </c>
      <c r="U339" t="str">
        <f>IF(AND(ISNUMBER(L339),COUNTIF([2]Songs!$L:$L,L339)&gt;0),"YES","")</f>
        <v>YES</v>
      </c>
      <c r="V339" t="str">
        <f>IF(AND(ISNUMBER(L339),COUNTIF([3]Songs!$J:$J,L339)&gt;0),"YES","")</f>
        <v/>
      </c>
      <c r="W339" t="str">
        <f>IF(AND(ISNUMBER(L339),COUNTIF([1]Songs!$H:$H,L339)&gt;0),"YES","")</f>
        <v/>
      </c>
      <c r="X339" t="s">
        <v>851</v>
      </c>
      <c r="Y339">
        <v>84</v>
      </c>
      <c r="Z339" s="4"/>
      <c r="AA339" t="str">
        <f>I339
&amp;IF(H339=I339,""," "&amp;H339)
&amp;IF(OR(R339=I339,R339=H339),""," "&amp;R339)
&amp;IF(R339=S339,""," "&amp;S339)</f>
        <v xml:space="preserve">A </v>
      </c>
    </row>
    <row r="340" spans="1:27" x14ac:dyDescent="0.25">
      <c r="A340">
        <v>6</v>
      </c>
      <c r="C340" t="s">
        <v>851</v>
      </c>
      <c r="E340" t="s">
        <v>736</v>
      </c>
      <c r="G340" t="s">
        <v>739</v>
      </c>
      <c r="H340" t="s">
        <v>39</v>
      </c>
      <c r="I340" t="s">
        <v>78</v>
      </c>
      <c r="J340" s="4">
        <v>66</v>
      </c>
      <c r="K340" s="5" t="s">
        <v>672</v>
      </c>
      <c r="L340" s="10">
        <v>7074703</v>
      </c>
      <c r="M340" s="4">
        <v>1876</v>
      </c>
      <c r="N340" s="4" t="s">
        <v>401</v>
      </c>
      <c r="O340" t="s">
        <v>92</v>
      </c>
      <c r="S340" t="s">
        <v>23</v>
      </c>
      <c r="U340" t="str">
        <f>IF(AND(ISNUMBER(L340),COUNTIF([2]Songs!$L:$L,L340)&gt;0),"YES","")</f>
        <v>YES</v>
      </c>
      <c r="V340" t="str">
        <f>IF(AND(ISNUMBER(L340),COUNTIF([3]Songs!$J:$J,L340)&gt;0),"YES","")</f>
        <v/>
      </c>
      <c r="W340" t="str">
        <f>IF(AND(ISNUMBER(L340),COUNTIF([1]Songs!$H:$H,L340)&gt;0),"YES","")</f>
        <v/>
      </c>
      <c r="X340" t="s">
        <v>851</v>
      </c>
      <c r="Y340">
        <v>88</v>
      </c>
      <c r="Z340" s="4"/>
      <c r="AA340" t="str">
        <f>I340
&amp;IF(H340=I340,""," "&amp;H340)
&amp;IF(OR(R340=I340,R340=H340),""," "&amp;R340)
&amp;IF(R340=S340,""," "&amp;S340)</f>
        <v xml:space="preserve">Eb D </v>
      </c>
    </row>
    <row r="341" spans="1:27" x14ac:dyDescent="0.25">
      <c r="A341">
        <v>6</v>
      </c>
      <c r="C341" t="s">
        <v>851</v>
      </c>
      <c r="E341" t="s">
        <v>737</v>
      </c>
      <c r="G341" t="s">
        <v>740</v>
      </c>
      <c r="H341" t="s">
        <v>176</v>
      </c>
      <c r="I341" t="s">
        <v>176</v>
      </c>
      <c r="J341" s="4">
        <v>120</v>
      </c>
      <c r="K341" s="5" t="s">
        <v>380</v>
      </c>
      <c r="L341" s="10">
        <v>2328610</v>
      </c>
      <c r="M341" s="4">
        <v>1886</v>
      </c>
      <c r="N341" s="4" t="s">
        <v>401</v>
      </c>
      <c r="O341" t="s">
        <v>92</v>
      </c>
      <c r="S341" t="s">
        <v>23</v>
      </c>
      <c r="U341" t="str">
        <f>IF(AND(ISNUMBER(L341),COUNTIF([2]Songs!$L:$L,L341)&gt;0),"YES","")</f>
        <v>YES</v>
      </c>
      <c r="V341" t="str">
        <f>IF(AND(ISNUMBER(L341),COUNTIF([3]Songs!$J:$J,L341)&gt;0),"YES","")</f>
        <v/>
      </c>
      <c r="W341" t="str">
        <f>IF(AND(ISNUMBER(L341),COUNTIF([1]Songs!$H:$H,L341)&gt;0),"YES","")</f>
        <v/>
      </c>
      <c r="X341" t="s">
        <v>851</v>
      </c>
      <c r="Y341">
        <v>89</v>
      </c>
      <c r="Z341" s="4"/>
      <c r="AA341" t="str">
        <f>I341
&amp;IF(H341=I341,""," "&amp;H341)
&amp;IF(OR(R341=I341,R341=H341),""," "&amp;R341)
&amp;IF(R341=S341,""," "&amp;S341)</f>
        <v xml:space="preserve">F </v>
      </c>
    </row>
    <row r="342" spans="1:27" x14ac:dyDescent="0.25">
      <c r="A342">
        <v>6</v>
      </c>
      <c r="C342" t="s">
        <v>851</v>
      </c>
      <c r="E342" t="s">
        <v>738</v>
      </c>
      <c r="G342" t="s">
        <v>741</v>
      </c>
      <c r="H342" s="3" t="s">
        <v>25</v>
      </c>
      <c r="I342" s="3" t="s">
        <v>25</v>
      </c>
      <c r="J342" s="4">
        <v>120</v>
      </c>
      <c r="K342" s="5" t="s">
        <v>371</v>
      </c>
      <c r="L342" s="10">
        <v>26399</v>
      </c>
      <c r="M342" s="4">
        <v>1932</v>
      </c>
      <c r="N342" s="4" t="s">
        <v>742</v>
      </c>
      <c r="O342" t="s">
        <v>92</v>
      </c>
      <c r="S342" t="s">
        <v>23</v>
      </c>
      <c r="U342" t="str">
        <f>IF(AND(ISNUMBER(L342),COUNTIF([2]Songs!$L:$L,L342)&gt;0),"YES","")</f>
        <v>YES</v>
      </c>
      <c r="V342" t="str">
        <f>IF(AND(ISNUMBER(L342),COUNTIF([3]Songs!$J:$J,L342)&gt;0),"YES","")</f>
        <v/>
      </c>
      <c r="W342" t="str">
        <f>IF(AND(ISNUMBER(L342),COUNTIF([1]Songs!$H:$H,L342)&gt;0),"YES","")</f>
        <v/>
      </c>
      <c r="X342" t="s">
        <v>851</v>
      </c>
      <c r="Y342">
        <v>90</v>
      </c>
      <c r="Z342" s="4"/>
      <c r="AA342" t="str">
        <f>I342
&amp;IF(H342=I342,""," "&amp;H342)
&amp;IF(OR(R342=I342,R342=H342),""," "&amp;R342)
&amp;IF(R342=S342,""," "&amp;S342)</f>
        <v xml:space="preserve">G </v>
      </c>
    </row>
    <row r="343" spans="1:27" x14ac:dyDescent="0.25">
      <c r="A343">
        <v>6</v>
      </c>
      <c r="C343" t="s">
        <v>851</v>
      </c>
      <c r="E343" t="s">
        <v>743</v>
      </c>
      <c r="G343" t="s">
        <v>746</v>
      </c>
      <c r="H343" s="3" t="s">
        <v>47</v>
      </c>
      <c r="I343" s="3" t="s">
        <v>47</v>
      </c>
      <c r="J343" s="4"/>
      <c r="K343" s="5" t="s">
        <v>371</v>
      </c>
      <c r="L343" s="10">
        <v>25376</v>
      </c>
      <c r="M343" s="4">
        <v>1873</v>
      </c>
      <c r="N343" s="6" t="s">
        <v>401</v>
      </c>
      <c r="O343" t="s">
        <v>92</v>
      </c>
      <c r="S343" t="s">
        <v>23</v>
      </c>
      <c r="U343" t="str">
        <f>IF(AND(ISNUMBER(L343),COUNTIF([2]Songs!$L:$L,L343)&gt;0),"YES","")</f>
        <v>YES</v>
      </c>
      <c r="V343" t="str">
        <f>IF(AND(ISNUMBER(L343),COUNTIF([3]Songs!$J:$J,L343)&gt;0),"YES","")</f>
        <v/>
      </c>
      <c r="W343" t="str">
        <f>IF(AND(ISNUMBER(L343),COUNTIF([1]Songs!$H:$H,L343)&gt;0),"YES","")</f>
        <v/>
      </c>
      <c r="X343" t="s">
        <v>851</v>
      </c>
      <c r="Y343">
        <v>94</v>
      </c>
      <c r="Z343" s="4"/>
      <c r="AA343" t="str">
        <f>I343
&amp;IF(H343=I343,""," "&amp;H343)
&amp;IF(OR(R343=I343,R343=H343),""," "&amp;R343)
&amp;IF(R343=S343,""," "&amp;S343)</f>
        <v xml:space="preserve">C </v>
      </c>
    </row>
    <row r="344" spans="1:27" x14ac:dyDescent="0.25">
      <c r="A344">
        <v>6</v>
      </c>
      <c r="C344" t="s">
        <v>851</v>
      </c>
      <c r="E344" t="s">
        <v>744</v>
      </c>
      <c r="G344" t="s">
        <v>747</v>
      </c>
      <c r="H344" s="3" t="s">
        <v>25</v>
      </c>
      <c r="I344" s="3" t="s">
        <v>25</v>
      </c>
      <c r="J344" s="4"/>
      <c r="K344" s="5" t="s">
        <v>371</v>
      </c>
      <c r="L344" s="10">
        <v>148576</v>
      </c>
      <c r="M344" s="4">
        <v>1876</v>
      </c>
      <c r="N344" s="6" t="s">
        <v>401</v>
      </c>
      <c r="O344" t="s">
        <v>92</v>
      </c>
      <c r="S344" t="s">
        <v>23</v>
      </c>
      <c r="U344" t="str">
        <f>IF(AND(ISNUMBER(L344),COUNTIF([2]Songs!$L:$L,L344)&gt;0),"YES","")</f>
        <v>YES</v>
      </c>
      <c r="V344" t="str">
        <f>IF(AND(ISNUMBER(L344),COUNTIF([3]Songs!$J:$J,L344)&gt;0),"YES","")</f>
        <v/>
      </c>
      <c r="W344" t="str">
        <f>IF(AND(ISNUMBER(L344),COUNTIF([1]Songs!$H:$H,L344)&gt;0),"YES","")</f>
        <v/>
      </c>
      <c r="X344" t="s">
        <v>851</v>
      </c>
      <c r="Y344">
        <v>95</v>
      </c>
      <c r="Z344" s="4"/>
      <c r="AA344" t="str">
        <f>I344
&amp;IF(H344=I344,""," "&amp;H344)
&amp;IF(OR(R344=I344,R344=H344),""," "&amp;R344)
&amp;IF(R344=S344,""," "&amp;S344)</f>
        <v xml:space="preserve">G </v>
      </c>
    </row>
    <row r="345" spans="1:27" x14ac:dyDescent="0.25">
      <c r="A345">
        <v>6</v>
      </c>
      <c r="C345" t="s">
        <v>851</v>
      </c>
      <c r="E345" t="s">
        <v>745</v>
      </c>
      <c r="G345" t="s">
        <v>748</v>
      </c>
      <c r="H345" s="3" t="s">
        <v>47</v>
      </c>
      <c r="I345" s="3" t="s">
        <v>47</v>
      </c>
      <c r="J345" s="4">
        <v>65</v>
      </c>
      <c r="K345" s="5" t="s">
        <v>425</v>
      </c>
      <c r="L345" s="9">
        <v>7121850</v>
      </c>
      <c r="M345" s="4">
        <v>2018</v>
      </c>
      <c r="N345" s="4" t="s">
        <v>467</v>
      </c>
      <c r="O345" t="s">
        <v>944</v>
      </c>
      <c r="S345" t="s">
        <v>23</v>
      </c>
      <c r="U345" t="str">
        <f>IF(AND(ISNUMBER(L345),COUNTIF([2]Songs!$L:$L,L345)&gt;0),"YES","")</f>
        <v>YES</v>
      </c>
      <c r="V345" t="str">
        <f>IF(AND(ISNUMBER(L345),COUNTIF([3]Songs!$J:$J,L345)&gt;0),"YES","")</f>
        <v/>
      </c>
      <c r="W345" t="str">
        <f>IF(AND(ISNUMBER(L345),COUNTIF([1]Songs!$H:$H,L345)&gt;0),"YES","")</f>
        <v/>
      </c>
      <c r="X345" t="s">
        <v>851</v>
      </c>
      <c r="Y345">
        <v>96</v>
      </c>
      <c r="Z345" s="4" t="s">
        <v>863</v>
      </c>
      <c r="AA345" t="str">
        <f>I345
&amp;IF(H345=I345,""," "&amp;H345)
&amp;IF(OR(R345=I345,R345=H345),""," "&amp;R345)
&amp;IF(R345=S345,""," "&amp;S345)</f>
        <v xml:space="preserve">C </v>
      </c>
    </row>
    <row r="346" spans="1:27" x14ac:dyDescent="0.25">
      <c r="A346">
        <v>6</v>
      </c>
      <c r="C346" t="s">
        <v>851</v>
      </c>
      <c r="E346" t="s">
        <v>749</v>
      </c>
      <c r="G346" t="s">
        <v>391</v>
      </c>
      <c r="H346" s="3" t="s">
        <v>31</v>
      </c>
      <c r="I346" s="3" t="s">
        <v>31</v>
      </c>
      <c r="J346" s="4">
        <v>76</v>
      </c>
      <c r="K346" s="5" t="s">
        <v>371</v>
      </c>
      <c r="L346" s="10">
        <v>6223539</v>
      </c>
      <c r="M346" s="4">
        <v>2012</v>
      </c>
      <c r="N346" s="4" t="s">
        <v>443</v>
      </c>
      <c r="O346" t="s">
        <v>944</v>
      </c>
      <c r="S346" t="s">
        <v>23</v>
      </c>
      <c r="U346" t="str">
        <f>IF(AND(ISNUMBER(L346),COUNTIF([2]Songs!$L:$L,L346)&gt;0),"YES","")</f>
        <v>YES</v>
      </c>
      <c r="V346" t="str">
        <f>IF(AND(ISNUMBER(L346),COUNTIF([3]Songs!$J:$J,L346)&gt;0),"YES","")</f>
        <v/>
      </c>
      <c r="W346" t="str">
        <f>IF(AND(ISNUMBER(L346),COUNTIF([1]Songs!$H:$H,L346)&gt;0),"YES","")</f>
        <v/>
      </c>
      <c r="X346" t="s">
        <v>851</v>
      </c>
      <c r="Y346">
        <v>99</v>
      </c>
      <c r="Z346" s="4"/>
      <c r="AA346" t="str">
        <f>I346
&amp;IF(H346=I346,""," "&amp;H346)
&amp;IF(OR(R346=I346,R346=H346),""," "&amp;R346)
&amp;IF(R346=S346,""," "&amp;S346)</f>
        <v xml:space="preserve">B </v>
      </c>
    </row>
    <row r="347" spans="1:27" x14ac:dyDescent="0.25">
      <c r="A347">
        <v>6</v>
      </c>
      <c r="C347" t="s">
        <v>851</v>
      </c>
      <c r="E347" t="s">
        <v>750</v>
      </c>
      <c r="G347" t="s">
        <v>752</v>
      </c>
      <c r="H347" s="3" t="s">
        <v>47</v>
      </c>
      <c r="I347" s="3" t="s">
        <v>93</v>
      </c>
      <c r="J347" s="4">
        <v>86</v>
      </c>
      <c r="K347" s="5" t="s">
        <v>753</v>
      </c>
      <c r="L347" s="10">
        <v>23206</v>
      </c>
      <c r="M347" s="4">
        <v>1835</v>
      </c>
      <c r="N347" s="6" t="s">
        <v>401</v>
      </c>
      <c r="O347" t="s">
        <v>92</v>
      </c>
      <c r="S347" t="s">
        <v>23</v>
      </c>
      <c r="U347" t="str">
        <f>IF(AND(ISNUMBER(L347),COUNTIF([2]Songs!$L:$L,L347)&gt;0),"YES","")</f>
        <v>YES</v>
      </c>
      <c r="V347" t="str">
        <f>IF(AND(ISNUMBER(L347),COUNTIF([3]Songs!$J:$J,L347)&gt;0),"YES","")</f>
        <v/>
      </c>
      <c r="W347" t="str">
        <f>IF(AND(ISNUMBER(L347),COUNTIF([1]Songs!$H:$H,L347)&gt;0),"YES","")</f>
        <v/>
      </c>
      <c r="X347" t="s">
        <v>851</v>
      </c>
      <c r="Y347">
        <v>100</v>
      </c>
      <c r="Z347" s="4"/>
      <c r="AA347" t="str">
        <f>I347
&amp;IF(H347=I347,""," "&amp;H347)
&amp;IF(OR(R347=I347,R347=H347),""," "&amp;R347)
&amp;IF(R347=S347,""," "&amp;S347)</f>
        <v xml:space="preserve">Db C </v>
      </c>
    </row>
    <row r="348" spans="1:27" x14ac:dyDescent="0.25">
      <c r="A348">
        <v>6</v>
      </c>
      <c r="C348" t="s">
        <v>851</v>
      </c>
      <c r="E348" t="s">
        <v>750</v>
      </c>
      <c r="F348" t="s">
        <v>751</v>
      </c>
      <c r="G348" t="s">
        <v>754</v>
      </c>
      <c r="H348" s="3" t="s">
        <v>52</v>
      </c>
      <c r="I348" s="3" t="s">
        <v>52</v>
      </c>
      <c r="J348" s="4">
        <v>73</v>
      </c>
      <c r="K348" s="5" t="s">
        <v>380</v>
      </c>
      <c r="L348" s="9">
        <v>5635850</v>
      </c>
      <c r="M348" s="4">
        <v>2009</v>
      </c>
      <c r="N348" s="6" t="s">
        <v>755</v>
      </c>
      <c r="O348" t="s">
        <v>944</v>
      </c>
      <c r="S348" t="s">
        <v>23</v>
      </c>
      <c r="U348" t="str">
        <f>IF(AND(ISNUMBER(L348),COUNTIF([2]Songs!$L:$L,L348)&gt;0),"YES","")</f>
        <v>YES</v>
      </c>
      <c r="V348" t="str">
        <f>IF(AND(ISNUMBER(L348),COUNTIF([3]Songs!$J:$J,L348)&gt;0),"YES","")</f>
        <v/>
      </c>
      <c r="W348" t="str">
        <f>IF(AND(ISNUMBER(L348),COUNTIF([1]Songs!$H:$H,L348)&gt;0),"YES","")</f>
        <v/>
      </c>
      <c r="X348" t="s">
        <v>851</v>
      </c>
      <c r="Y348">
        <v>101</v>
      </c>
      <c r="Z348" s="4"/>
      <c r="AA348" t="str">
        <f>I348
&amp;IF(H348=I348,""," "&amp;H348)
&amp;IF(OR(R348=I348,R348=H348),""," "&amp;R348)
&amp;IF(R348=S348,""," "&amp;S348)</f>
        <v xml:space="preserve">A </v>
      </c>
    </row>
    <row r="349" spans="1:27" x14ac:dyDescent="0.25">
      <c r="A349">
        <v>6</v>
      </c>
      <c r="C349" t="s">
        <v>851</v>
      </c>
      <c r="E349" t="s">
        <v>756</v>
      </c>
      <c r="F349" t="s">
        <v>757</v>
      </c>
      <c r="G349" t="s">
        <v>606</v>
      </c>
      <c r="H349" s="3" t="s">
        <v>47</v>
      </c>
      <c r="I349" s="3" t="s">
        <v>47</v>
      </c>
      <c r="J349" s="4">
        <v>54</v>
      </c>
      <c r="K349" s="4" t="s">
        <v>371</v>
      </c>
      <c r="L349" s="9">
        <v>1045238</v>
      </c>
      <c r="M349" s="4">
        <v>1993</v>
      </c>
      <c r="N349" s="6" t="s">
        <v>760</v>
      </c>
      <c r="O349" t="s">
        <v>945</v>
      </c>
      <c r="S349" t="s">
        <v>23</v>
      </c>
      <c r="U349" t="str">
        <f>IF(AND(ISNUMBER(L349),COUNTIF([2]Songs!$L:$L,L349)&gt;0),"YES","")</f>
        <v>YES</v>
      </c>
      <c r="V349" t="str">
        <f>IF(AND(ISNUMBER(L349),COUNTIF([3]Songs!$J:$J,L349)&gt;0),"YES","")</f>
        <v/>
      </c>
      <c r="W349" t="str">
        <f>IF(AND(ISNUMBER(L349),COUNTIF([1]Songs!$H:$H,L349)&gt;0),"YES","")</f>
        <v/>
      </c>
      <c r="X349" t="s">
        <v>851</v>
      </c>
      <c r="Y349">
        <v>104</v>
      </c>
      <c r="Z349" s="4"/>
      <c r="AA349" t="str">
        <f>I349
&amp;IF(H349=I349,""," "&amp;H349)
&amp;IF(OR(R349=I349,R349=H349),""," "&amp;R349)
&amp;IF(R349=S349,""," "&amp;S349)</f>
        <v xml:space="preserve">C </v>
      </c>
    </row>
    <row r="350" spans="1:27" x14ac:dyDescent="0.25">
      <c r="A350">
        <v>6</v>
      </c>
      <c r="C350" t="s">
        <v>851</v>
      </c>
      <c r="E350" t="s">
        <v>758</v>
      </c>
      <c r="G350" t="s">
        <v>157</v>
      </c>
      <c r="H350" s="3" t="s">
        <v>47</v>
      </c>
      <c r="I350" s="3" t="s">
        <v>47</v>
      </c>
      <c r="J350" s="4">
        <v>52</v>
      </c>
      <c r="K350" s="5" t="s">
        <v>380</v>
      </c>
      <c r="L350" s="10">
        <v>16787</v>
      </c>
      <c r="M350" s="4">
        <v>1985</v>
      </c>
      <c r="N350" s="4" t="s">
        <v>761</v>
      </c>
      <c r="O350" t="s">
        <v>945</v>
      </c>
      <c r="S350" t="s">
        <v>23</v>
      </c>
      <c r="U350" t="str">
        <f>IF(AND(ISNUMBER(L350),COUNTIF([2]Songs!$L:$L,L350)&gt;0),"YES","")</f>
        <v>YES</v>
      </c>
      <c r="V350" t="str">
        <f>IF(AND(ISNUMBER(L350),COUNTIF([3]Songs!$J:$J,L350)&gt;0),"YES","")</f>
        <v/>
      </c>
      <c r="W350" t="str">
        <f>IF(AND(ISNUMBER(L350),COUNTIF([1]Songs!$H:$H,L350)&gt;0),"YES","")</f>
        <v/>
      </c>
      <c r="X350" t="s">
        <v>851</v>
      </c>
      <c r="Y350">
        <v>105</v>
      </c>
      <c r="Z350" s="4"/>
      <c r="AA350" t="str">
        <f>I350
&amp;IF(H350=I350,""," "&amp;H350)
&amp;IF(OR(R350=I350,R350=H350),""," "&amp;R350)
&amp;IF(R350=S350,""," "&amp;S350)</f>
        <v xml:space="preserve">C </v>
      </c>
    </row>
    <row r="351" spans="1:27" x14ac:dyDescent="0.25">
      <c r="A351">
        <v>6</v>
      </c>
      <c r="C351" t="s">
        <v>851</v>
      </c>
      <c r="E351" t="s">
        <v>759</v>
      </c>
      <c r="G351" t="s">
        <v>391</v>
      </c>
      <c r="H351" s="3" t="s">
        <v>47</v>
      </c>
      <c r="I351" s="3" t="s">
        <v>47</v>
      </c>
      <c r="J351" s="4">
        <v>130</v>
      </c>
      <c r="K351" s="5" t="s">
        <v>371</v>
      </c>
      <c r="L351" s="9">
        <v>6223577</v>
      </c>
      <c r="M351" s="4">
        <v>2012</v>
      </c>
      <c r="N351" s="6" t="s">
        <v>383</v>
      </c>
      <c r="O351" t="s">
        <v>944</v>
      </c>
      <c r="S351" t="s">
        <v>23</v>
      </c>
      <c r="U351" t="str">
        <f>IF(AND(ISNUMBER(L351),COUNTIF([2]Songs!$L:$L,L351)&gt;0),"YES","")</f>
        <v>YES</v>
      </c>
      <c r="V351" t="str">
        <f>IF(AND(ISNUMBER(L351),COUNTIF([3]Songs!$J:$J,L351)&gt;0),"YES","")</f>
        <v/>
      </c>
      <c r="W351" t="str">
        <f>IF(AND(ISNUMBER(L351),COUNTIF([1]Songs!$H:$H,L351)&gt;0),"YES","")</f>
        <v/>
      </c>
      <c r="X351" t="s">
        <v>851</v>
      </c>
      <c r="Y351">
        <v>106</v>
      </c>
      <c r="Z351" s="4"/>
      <c r="AA351" t="str">
        <f>I351
&amp;IF(H351=I351,""," "&amp;H351)
&amp;IF(OR(R351=I351,R351=H351),""," "&amp;R351)
&amp;IF(R351=S351,""," "&amp;S351)</f>
        <v xml:space="preserve">C </v>
      </c>
    </row>
    <row r="352" spans="1:27" x14ac:dyDescent="0.25">
      <c r="A352">
        <v>6</v>
      </c>
      <c r="C352" t="s">
        <v>851</v>
      </c>
      <c r="E352" t="s">
        <v>762</v>
      </c>
      <c r="G352" t="s">
        <v>763</v>
      </c>
      <c r="H352" s="3" t="s">
        <v>176</v>
      </c>
      <c r="I352" s="3" t="s">
        <v>176</v>
      </c>
      <c r="J352" s="4"/>
      <c r="K352" s="5" t="s">
        <v>371</v>
      </c>
      <c r="L352" s="10">
        <v>33935</v>
      </c>
      <c r="M352" s="4">
        <v>1874</v>
      </c>
      <c r="N352" s="4" t="s">
        <v>401</v>
      </c>
      <c r="O352" t="s">
        <v>92</v>
      </c>
      <c r="S352" t="s">
        <v>23</v>
      </c>
      <c r="U352" t="str">
        <f>IF(AND(ISNUMBER(L352),COUNTIF([2]Songs!$L:$L,L352)&gt;0),"YES","")</f>
        <v>YES</v>
      </c>
      <c r="V352" t="str">
        <f>IF(AND(ISNUMBER(L352),COUNTIF([3]Songs!$J:$J,L352)&gt;0),"YES","")</f>
        <v/>
      </c>
      <c r="W352" t="str">
        <f>IF(AND(ISNUMBER(L352),COUNTIF([1]Songs!$H:$H,L352)&gt;0),"YES","")</f>
        <v/>
      </c>
      <c r="X352" t="s">
        <v>851</v>
      </c>
      <c r="Y352">
        <v>108</v>
      </c>
      <c r="Z352" s="4"/>
      <c r="AA352" t="str">
        <f>I352
&amp;IF(H352=I352,""," "&amp;H352)
&amp;IF(OR(R352=I352,R352=H352),""," "&amp;R352)
&amp;IF(R352=S352,""," "&amp;S352)</f>
        <v xml:space="preserve">F </v>
      </c>
    </row>
    <row r="353" spans="1:27" x14ac:dyDescent="0.25">
      <c r="A353">
        <v>6</v>
      </c>
      <c r="C353" t="s">
        <v>851</v>
      </c>
      <c r="E353" t="s">
        <v>764</v>
      </c>
      <c r="G353" t="s">
        <v>765</v>
      </c>
      <c r="H353" s="3" t="s">
        <v>25</v>
      </c>
      <c r="I353" s="3" t="s">
        <v>25</v>
      </c>
      <c r="J353" s="4">
        <v>86</v>
      </c>
      <c r="K353" s="5" t="s">
        <v>371</v>
      </c>
      <c r="L353" s="10">
        <v>117947</v>
      </c>
      <c r="M353" s="4">
        <v>1989</v>
      </c>
      <c r="N353" s="6" t="s">
        <v>662</v>
      </c>
      <c r="O353" t="s">
        <v>945</v>
      </c>
      <c r="S353" t="s">
        <v>23</v>
      </c>
      <c r="U353" t="str">
        <f>IF(AND(ISNUMBER(L353),COUNTIF([2]Songs!$L:$L,L353)&gt;0),"YES","")</f>
        <v>YES</v>
      </c>
      <c r="V353" t="str">
        <f>IF(AND(ISNUMBER(L353),COUNTIF([3]Songs!$J:$J,L353)&gt;0),"YES","")</f>
        <v/>
      </c>
      <c r="W353" t="str">
        <f>IF(AND(ISNUMBER(L353),COUNTIF([1]Songs!$H:$H,L353)&gt;0),"YES","")</f>
        <v/>
      </c>
      <c r="X353" t="s">
        <v>851</v>
      </c>
      <c r="Y353">
        <v>111</v>
      </c>
      <c r="Z353" s="4"/>
      <c r="AA353" t="str">
        <f>I353
&amp;IF(H353=I353,""," "&amp;H353)
&amp;IF(OR(R353=I353,R353=H353),""," "&amp;R353)
&amp;IF(R353=S353,""," "&amp;S353)</f>
        <v xml:space="preserve">G </v>
      </c>
    </row>
    <row r="354" spans="1:27" x14ac:dyDescent="0.25">
      <c r="A354">
        <v>6</v>
      </c>
      <c r="C354" t="s">
        <v>851</v>
      </c>
      <c r="E354" t="s">
        <v>767</v>
      </c>
      <c r="G354" t="s">
        <v>768</v>
      </c>
      <c r="H354" s="3" t="s">
        <v>39</v>
      </c>
      <c r="I354" s="3" t="s">
        <v>39</v>
      </c>
      <c r="J354" s="4">
        <v>82</v>
      </c>
      <c r="K354" s="5" t="s">
        <v>380</v>
      </c>
      <c r="L354" s="9">
        <v>18448</v>
      </c>
      <c r="M354" s="4">
        <v>1917</v>
      </c>
      <c r="N354" s="6" t="s">
        <v>401</v>
      </c>
      <c r="O354" t="s">
        <v>92</v>
      </c>
      <c r="S354" t="s">
        <v>23</v>
      </c>
      <c r="U354" t="str">
        <f>IF(AND(ISNUMBER(L354),COUNTIF([2]Songs!$L:$L,L354)&gt;0),"YES","")</f>
        <v>YES</v>
      </c>
      <c r="V354" t="str">
        <f>IF(AND(ISNUMBER(L354),COUNTIF([3]Songs!$J:$J,L354)&gt;0),"YES","")</f>
        <v/>
      </c>
      <c r="W354" t="str">
        <f>IF(AND(ISNUMBER(L354),COUNTIF([1]Songs!$H:$H,L354)&gt;0),"YES","")</f>
        <v/>
      </c>
      <c r="X354" t="s">
        <v>851</v>
      </c>
      <c r="Y354">
        <v>115</v>
      </c>
      <c r="Z354" s="4"/>
      <c r="AA354" t="str">
        <f>I354
&amp;IF(H354=I354,""," "&amp;H354)
&amp;IF(OR(R354=I354,R354=H354),""," "&amp;R354)
&amp;IF(R354=S354,""," "&amp;S354)</f>
        <v xml:space="preserve">D </v>
      </c>
    </row>
    <row r="355" spans="1:27" x14ac:dyDescent="0.25">
      <c r="A355">
        <v>6</v>
      </c>
      <c r="C355" t="s">
        <v>851</v>
      </c>
      <c r="E355" t="s">
        <v>166</v>
      </c>
      <c r="G355" t="s">
        <v>769</v>
      </c>
      <c r="H355" s="3" t="s">
        <v>52</v>
      </c>
      <c r="I355" s="3" t="s">
        <v>28</v>
      </c>
      <c r="J355" s="4"/>
      <c r="K355" s="5" t="s">
        <v>371</v>
      </c>
      <c r="L355" s="9">
        <v>1527</v>
      </c>
      <c r="M355" s="4">
        <v>1981</v>
      </c>
      <c r="N355" s="6" t="s">
        <v>770</v>
      </c>
      <c r="O355" t="s">
        <v>945</v>
      </c>
      <c r="S355" t="s">
        <v>23</v>
      </c>
      <c r="U355" t="str">
        <f>IF(AND(ISNUMBER(L355),COUNTIF([2]Songs!$L:$L,L355)&gt;0),"YES","")</f>
        <v>YES</v>
      </c>
      <c r="V355" t="str">
        <f>IF(AND(ISNUMBER(L355),COUNTIF([3]Songs!$J:$J,L355)&gt;0),"YES","")</f>
        <v/>
      </c>
      <c r="W355" t="str">
        <f>IF(AND(ISNUMBER(L355),COUNTIF([1]Songs!$H:$H,L355)&gt;0),"YES","")</f>
        <v/>
      </c>
      <c r="X355" t="s">
        <v>851</v>
      </c>
      <c r="Y355">
        <v>116</v>
      </c>
      <c r="Z355" s="4"/>
      <c r="AA355" t="str">
        <f>I355
&amp;IF(H355=I355,""," "&amp;H355)
&amp;IF(OR(R355=I355,R355=H355),""," "&amp;R355)
&amp;IF(R355=S355,""," "&amp;S355)</f>
        <v xml:space="preserve">Bb A </v>
      </c>
    </row>
    <row r="356" spans="1:27" x14ac:dyDescent="0.25">
      <c r="A356">
        <v>6</v>
      </c>
      <c r="C356" t="s">
        <v>851</v>
      </c>
      <c r="E356" t="s">
        <v>771</v>
      </c>
      <c r="F356" t="s">
        <v>772</v>
      </c>
      <c r="G356" t="s">
        <v>778</v>
      </c>
      <c r="H356" s="3" t="s">
        <v>25</v>
      </c>
      <c r="I356" s="3" t="s">
        <v>28</v>
      </c>
      <c r="J356" s="4">
        <v>90</v>
      </c>
      <c r="K356" s="4" t="s">
        <v>371</v>
      </c>
      <c r="L356" s="10">
        <v>24133</v>
      </c>
      <c r="M356" s="4">
        <v>1862</v>
      </c>
      <c r="N356" s="6" t="s">
        <v>401</v>
      </c>
      <c r="O356" t="s">
        <v>92</v>
      </c>
      <c r="S356" t="s">
        <v>23</v>
      </c>
      <c r="U356" t="str">
        <f>IF(AND(ISNUMBER(L356),COUNTIF([2]Songs!$L:$L,L356)&gt;0),"YES","")</f>
        <v>YES</v>
      </c>
      <c r="V356" t="str">
        <f>IF(AND(ISNUMBER(L356),COUNTIF([3]Songs!$J:$J,L356)&gt;0),"YES","")</f>
        <v/>
      </c>
      <c r="W356" t="str">
        <f>IF(AND(ISNUMBER(L356),COUNTIF([1]Songs!$H:$H,L356)&gt;0),"YES","")</f>
        <v/>
      </c>
      <c r="X356" t="s">
        <v>851</v>
      </c>
      <c r="Y356">
        <v>121</v>
      </c>
      <c r="Z356" s="4"/>
      <c r="AA356" t="str">
        <f>I356
&amp;IF(H356=I356,""," "&amp;H356)
&amp;IF(OR(R356=I356,R356=H356),""," "&amp;R356)
&amp;IF(R356=S356,""," "&amp;S356)</f>
        <v xml:space="preserve">Bb G </v>
      </c>
    </row>
    <row r="357" spans="1:27" x14ac:dyDescent="0.25">
      <c r="A357">
        <v>6</v>
      </c>
      <c r="C357" t="s">
        <v>851</v>
      </c>
      <c r="E357" t="s">
        <v>773</v>
      </c>
      <c r="G357" t="s">
        <v>779</v>
      </c>
      <c r="H357" s="3" t="s">
        <v>39</v>
      </c>
      <c r="I357" s="3" t="s">
        <v>39</v>
      </c>
      <c r="J357" s="4">
        <v>76</v>
      </c>
      <c r="K357" s="5" t="s">
        <v>371</v>
      </c>
      <c r="L357" s="10">
        <v>6428853</v>
      </c>
      <c r="M357" s="4">
        <v>2012</v>
      </c>
      <c r="N357" s="4" t="s">
        <v>372</v>
      </c>
      <c r="O357" t="s">
        <v>944</v>
      </c>
      <c r="S357" t="s">
        <v>23</v>
      </c>
      <c r="U357" t="str">
        <f>IF(AND(ISNUMBER(L357),COUNTIF([2]Songs!$L:$L,L357)&gt;0),"YES","")</f>
        <v>YES</v>
      </c>
      <c r="V357" t="str">
        <f>IF(AND(ISNUMBER(L357),COUNTIF([3]Songs!$J:$J,L357)&gt;0),"YES","")</f>
        <v/>
      </c>
      <c r="W357" t="str">
        <f>IF(AND(ISNUMBER(L357),COUNTIF([1]Songs!$H:$H,L357)&gt;0),"YES","")</f>
        <v>YES</v>
      </c>
      <c r="X357" t="s">
        <v>851</v>
      </c>
      <c r="Y357">
        <v>122</v>
      </c>
      <c r="Z357" s="4"/>
      <c r="AA357" t="str">
        <f>I357
&amp;IF(H357=I357,""," "&amp;H357)
&amp;IF(OR(R357=I357,R357=H357),""," "&amp;R357)
&amp;IF(R357=S357,""," "&amp;S357)</f>
        <v xml:space="preserve">D </v>
      </c>
    </row>
    <row r="358" spans="1:27" x14ac:dyDescent="0.25">
      <c r="A358">
        <v>6</v>
      </c>
      <c r="C358" t="s">
        <v>851</v>
      </c>
      <c r="E358" t="s">
        <v>773</v>
      </c>
      <c r="F358" t="s">
        <v>774</v>
      </c>
      <c r="G358" t="s">
        <v>780</v>
      </c>
      <c r="H358" s="3" t="s">
        <v>31</v>
      </c>
      <c r="I358" s="3" t="s">
        <v>31</v>
      </c>
      <c r="J358" s="4">
        <v>91</v>
      </c>
      <c r="K358" s="5" t="s">
        <v>371</v>
      </c>
      <c r="L358" s="9">
        <v>7065990</v>
      </c>
      <c r="M358" s="4">
        <v>2016</v>
      </c>
      <c r="N358" s="4" t="s">
        <v>374</v>
      </c>
      <c r="O358" t="s">
        <v>944</v>
      </c>
      <c r="S358" t="s">
        <v>23</v>
      </c>
      <c r="U358" t="str">
        <f>IF(AND(ISNUMBER(L358),COUNTIF([2]Songs!$L:$L,L358)&gt;0),"YES","")</f>
        <v>YES</v>
      </c>
      <c r="V358" t="str">
        <f>IF(AND(ISNUMBER(L358),COUNTIF([3]Songs!$J:$J,L358)&gt;0),"YES","")</f>
        <v/>
      </c>
      <c r="W358" t="str">
        <f>IF(AND(ISNUMBER(L358),COUNTIF([1]Songs!$H:$H,L358)&gt;0),"YES","")</f>
        <v/>
      </c>
      <c r="X358" t="s">
        <v>851</v>
      </c>
      <c r="Y358">
        <v>123</v>
      </c>
      <c r="Z358" s="4"/>
      <c r="AA358" t="str">
        <f>I358
&amp;IF(H358=I358,""," "&amp;H358)
&amp;IF(OR(R358=I358,R358=H358),""," "&amp;R358)
&amp;IF(R358=S358,""," "&amp;S358)</f>
        <v xml:space="preserve">B </v>
      </c>
    </row>
    <row r="359" spans="1:27" x14ac:dyDescent="0.25">
      <c r="A359">
        <v>6</v>
      </c>
      <c r="C359" t="s">
        <v>851</v>
      </c>
      <c r="E359" t="s">
        <v>775</v>
      </c>
      <c r="G359" t="s">
        <v>678</v>
      </c>
      <c r="H359" s="3" t="s">
        <v>47</v>
      </c>
      <c r="I359" s="3" t="s">
        <v>47</v>
      </c>
      <c r="J359" s="4">
        <v>110</v>
      </c>
      <c r="K359" s="5" t="s">
        <v>371</v>
      </c>
      <c r="L359" s="9">
        <v>7002032</v>
      </c>
      <c r="M359" s="4">
        <v>2013</v>
      </c>
      <c r="N359" s="6" t="s">
        <v>381</v>
      </c>
      <c r="O359" t="s">
        <v>944</v>
      </c>
      <c r="S359" t="s">
        <v>23</v>
      </c>
      <c r="U359" t="str">
        <f>IF(AND(ISNUMBER(L359),COUNTIF([2]Songs!$L:$L,L359)&gt;0),"YES","")</f>
        <v>YES</v>
      </c>
      <c r="V359" t="str">
        <f>IF(AND(ISNUMBER(L359),COUNTIF([3]Songs!$J:$J,L359)&gt;0),"YES","")</f>
        <v/>
      </c>
      <c r="W359" t="str">
        <f>IF(AND(ISNUMBER(L359),COUNTIF([1]Songs!$H:$H,L359)&gt;0),"YES","")</f>
        <v/>
      </c>
      <c r="X359" t="s">
        <v>851</v>
      </c>
      <c r="Y359">
        <v>124</v>
      </c>
      <c r="Z359" s="4"/>
      <c r="AA359" t="str">
        <f>I359
&amp;IF(H359=I359,""," "&amp;H359)
&amp;IF(OR(R359=I359,R359=H359),""," "&amp;R359)
&amp;IF(R359=S359,""," "&amp;S359)</f>
        <v xml:space="preserve">C </v>
      </c>
    </row>
    <row r="360" spans="1:27" x14ac:dyDescent="0.25">
      <c r="A360">
        <v>6</v>
      </c>
      <c r="C360" t="s">
        <v>851</v>
      </c>
      <c r="E360" t="s">
        <v>776</v>
      </c>
      <c r="G360" t="s">
        <v>619</v>
      </c>
      <c r="H360" s="3" t="s">
        <v>36</v>
      </c>
      <c r="I360" s="3" t="s">
        <v>36</v>
      </c>
      <c r="J360" s="4">
        <v>138</v>
      </c>
      <c r="K360" s="5" t="s">
        <v>371</v>
      </c>
      <c r="L360" s="9">
        <v>2397964</v>
      </c>
      <c r="M360" s="4">
        <v>1998</v>
      </c>
      <c r="N360" s="4" t="s">
        <v>372</v>
      </c>
      <c r="O360" t="s">
        <v>945</v>
      </c>
      <c r="S360" t="s">
        <v>23</v>
      </c>
      <c r="U360" t="str">
        <f>IF(AND(ISNUMBER(L360),COUNTIF([2]Songs!$L:$L,L360)&gt;0),"YES","")</f>
        <v>YES</v>
      </c>
      <c r="V360" t="str">
        <f>IF(AND(ISNUMBER(L360),COUNTIF([3]Songs!$J:$J,L360)&gt;0),"YES","")</f>
        <v/>
      </c>
      <c r="W360" t="str">
        <f>IF(AND(ISNUMBER(L360),COUNTIF([1]Songs!$H:$H,L360)&gt;0),"YES","")</f>
        <v/>
      </c>
      <c r="X360" t="s">
        <v>851</v>
      </c>
      <c r="Y360">
        <v>125</v>
      </c>
      <c r="Z360" s="4"/>
      <c r="AA360" t="str">
        <f>I360
&amp;IF(H360=I360,""," "&amp;H360)
&amp;IF(OR(R360=I360,R360=H360),""," "&amp;R360)
&amp;IF(R360=S360,""," "&amp;S360)</f>
        <v xml:space="preserve">E </v>
      </c>
    </row>
    <row r="361" spans="1:27" x14ac:dyDescent="0.25">
      <c r="A361">
        <v>6</v>
      </c>
      <c r="C361" t="s">
        <v>851</v>
      </c>
      <c r="E361" t="s">
        <v>777</v>
      </c>
      <c r="G361" t="s">
        <v>781</v>
      </c>
      <c r="H361" s="3" t="s">
        <v>176</v>
      </c>
      <c r="I361" s="3" t="s">
        <v>176</v>
      </c>
      <c r="J361" s="4">
        <v>100</v>
      </c>
      <c r="K361" s="5" t="s">
        <v>371</v>
      </c>
      <c r="L361" s="10">
        <v>78835</v>
      </c>
      <c r="M361" s="4">
        <v>1841</v>
      </c>
      <c r="N361" s="6" t="s">
        <v>401</v>
      </c>
      <c r="O361" t="s">
        <v>92</v>
      </c>
      <c r="S361" t="s">
        <v>23</v>
      </c>
      <c r="U361" t="str">
        <f>IF(AND(ISNUMBER(L361),COUNTIF([2]Songs!$L:$L,L361)&gt;0),"YES","")</f>
        <v>YES</v>
      </c>
      <c r="V361" t="str">
        <f>IF(AND(ISNUMBER(L361),COUNTIF([3]Songs!$J:$J,L361)&gt;0),"YES","")</f>
        <v/>
      </c>
      <c r="W361" t="str">
        <f>IF(AND(ISNUMBER(L361),COUNTIF([1]Songs!$H:$H,L361)&gt;0),"YES","")</f>
        <v/>
      </c>
      <c r="X361" t="s">
        <v>851</v>
      </c>
      <c r="Y361">
        <v>126</v>
      </c>
      <c r="Z361" s="4"/>
      <c r="AA361" t="str">
        <f>I361
&amp;IF(H361=I361,""," "&amp;H361)
&amp;IF(OR(R361=I361,R361=H361),""," "&amp;R361)
&amp;IF(R361=S361,""," "&amp;S361)</f>
        <v xml:space="preserve">F </v>
      </c>
    </row>
    <row r="362" spans="1:27" x14ac:dyDescent="0.25">
      <c r="A362">
        <v>6</v>
      </c>
      <c r="C362" t="s">
        <v>851</v>
      </c>
      <c r="E362" t="s">
        <v>782</v>
      </c>
      <c r="G362" t="s">
        <v>379</v>
      </c>
      <c r="H362" s="3" t="s">
        <v>39</v>
      </c>
      <c r="I362" s="3" t="s">
        <v>39</v>
      </c>
      <c r="J362" s="4">
        <v>58</v>
      </c>
      <c r="K362" s="5" t="s">
        <v>380</v>
      </c>
      <c r="L362" s="9">
        <v>4611992</v>
      </c>
      <c r="M362" s="4">
        <v>2005</v>
      </c>
      <c r="N362" s="4" t="s">
        <v>381</v>
      </c>
      <c r="O362" t="s">
        <v>944</v>
      </c>
      <c r="S362" t="s">
        <v>23</v>
      </c>
      <c r="U362" t="str">
        <f>IF(AND(ISNUMBER(L362),COUNTIF([2]Songs!$L:$L,L362)&gt;0),"YES","")</f>
        <v>YES</v>
      </c>
      <c r="V362" t="str">
        <f>IF(AND(ISNUMBER(L362),COUNTIF([3]Songs!$J:$J,L362)&gt;0),"YES","")</f>
        <v/>
      </c>
      <c r="W362" t="str">
        <f>IF(AND(ISNUMBER(L362),COUNTIF([1]Songs!$H:$H,L362)&gt;0),"YES","")</f>
        <v/>
      </c>
      <c r="X362" t="s">
        <v>851</v>
      </c>
      <c r="Y362">
        <v>129</v>
      </c>
      <c r="Z362" s="4"/>
      <c r="AA362" t="str">
        <f>I362
&amp;IF(H362=I362,""," "&amp;H362)
&amp;IF(OR(R362=I362,R362=H362),""," "&amp;R362)
&amp;IF(R362=S362,""," "&amp;S362)</f>
        <v xml:space="preserve">D </v>
      </c>
    </row>
    <row r="363" spans="1:27" x14ac:dyDescent="0.25">
      <c r="A363">
        <v>6</v>
      </c>
      <c r="C363" t="s">
        <v>851</v>
      </c>
      <c r="E363" t="s">
        <v>783</v>
      </c>
      <c r="G363" t="s">
        <v>784</v>
      </c>
      <c r="H363" s="3" t="s">
        <v>785</v>
      </c>
      <c r="I363" s="3" t="s">
        <v>785</v>
      </c>
      <c r="J363" s="4">
        <v>72</v>
      </c>
      <c r="K363" s="5" t="s">
        <v>371</v>
      </c>
      <c r="L363" s="10">
        <v>137178</v>
      </c>
      <c r="M363" s="4">
        <v>1875</v>
      </c>
      <c r="N363" s="6" t="s">
        <v>401</v>
      </c>
      <c r="O363" t="s">
        <v>92</v>
      </c>
      <c r="S363" t="s">
        <v>23</v>
      </c>
      <c r="U363" t="str">
        <f>IF(AND(ISNUMBER(L363),COUNTIF([2]Songs!$L:$L,L363)&gt;0),"YES","")</f>
        <v>YES</v>
      </c>
      <c r="V363" t="str">
        <f>IF(AND(ISNUMBER(L363),COUNTIF([3]Songs!$J:$J,L363)&gt;0),"YES","")</f>
        <v/>
      </c>
      <c r="W363" t="str">
        <f>IF(AND(ISNUMBER(L363),COUNTIF([1]Songs!$H:$H,L363)&gt;0),"YES","")</f>
        <v/>
      </c>
      <c r="X363" t="s">
        <v>851</v>
      </c>
      <c r="Y363">
        <v>132</v>
      </c>
      <c r="Z363" s="4"/>
      <c r="AA363" t="str">
        <f>I363
&amp;IF(H363=I363,""," "&amp;H363)
&amp;IF(OR(R363=I363,R363=H363),""," "&amp;R363)
&amp;IF(R363=S363,""," "&amp;S363)</f>
        <v xml:space="preserve">Em </v>
      </c>
    </row>
    <row r="364" spans="1:27" x14ac:dyDescent="0.25">
      <c r="A364">
        <v>6</v>
      </c>
      <c r="C364" t="s">
        <v>851</v>
      </c>
      <c r="E364" t="s">
        <v>786</v>
      </c>
      <c r="G364" t="s">
        <v>717</v>
      </c>
      <c r="H364" s="3" t="s">
        <v>39</v>
      </c>
      <c r="I364" s="3" t="s">
        <v>39</v>
      </c>
      <c r="J364" s="4">
        <v>70</v>
      </c>
      <c r="K364" s="5" t="s">
        <v>371</v>
      </c>
      <c r="L364" s="10">
        <v>7044259</v>
      </c>
      <c r="M364" s="4">
        <v>2015</v>
      </c>
      <c r="N364" s="4" t="s">
        <v>381</v>
      </c>
      <c r="O364" t="s">
        <v>944</v>
      </c>
      <c r="S364" t="s">
        <v>23</v>
      </c>
      <c r="U364" t="str">
        <f>IF(AND(ISNUMBER(L364),COUNTIF([2]Songs!$L:$L,L364)&gt;0),"YES","")</f>
        <v>YES</v>
      </c>
      <c r="V364" t="str">
        <f>IF(AND(ISNUMBER(L364),COUNTIF([3]Songs!$J:$J,L364)&gt;0),"YES","")</f>
        <v/>
      </c>
      <c r="W364" t="str">
        <f>IF(AND(ISNUMBER(L364),COUNTIF([1]Songs!$H:$H,L364)&gt;0),"YES","")</f>
        <v/>
      </c>
      <c r="X364" t="s">
        <v>851</v>
      </c>
      <c r="Y364">
        <v>134</v>
      </c>
      <c r="Z364" s="4" t="s">
        <v>862</v>
      </c>
      <c r="AA364" t="str">
        <f>I364
&amp;IF(H364=I364,""," "&amp;H364)
&amp;IF(OR(R364=I364,R364=H364),""," "&amp;R364)
&amp;IF(R364=S364,""," "&amp;S364)</f>
        <v xml:space="preserve">D </v>
      </c>
    </row>
    <row r="365" spans="1:27" x14ac:dyDescent="0.25">
      <c r="A365">
        <v>6</v>
      </c>
      <c r="C365" t="s">
        <v>851</v>
      </c>
      <c r="E365" t="s">
        <v>787</v>
      </c>
      <c r="G365" t="s">
        <v>43</v>
      </c>
      <c r="H365" s="3" t="s">
        <v>39</v>
      </c>
      <c r="I365" s="3" t="s">
        <v>78</v>
      </c>
      <c r="J365" s="4">
        <v>71</v>
      </c>
      <c r="K365" s="5" t="s">
        <v>371</v>
      </c>
      <c r="L365" s="10">
        <v>1564362</v>
      </c>
      <c r="M365" s="4">
        <v>1995</v>
      </c>
      <c r="N365" s="4" t="s">
        <v>381</v>
      </c>
      <c r="O365" t="s">
        <v>945</v>
      </c>
      <c r="S365" t="s">
        <v>23</v>
      </c>
      <c r="U365" t="str">
        <f>IF(AND(ISNUMBER(L365),COUNTIF([2]Songs!$L:$L,L365)&gt;0),"YES","")</f>
        <v>YES</v>
      </c>
      <c r="V365" t="str">
        <f>IF(AND(ISNUMBER(L365),COUNTIF([3]Songs!$J:$J,L365)&gt;0),"YES","")</f>
        <v/>
      </c>
      <c r="W365" t="str">
        <f>IF(AND(ISNUMBER(L365),COUNTIF([1]Songs!$H:$H,L365)&gt;0),"YES","")</f>
        <v/>
      </c>
      <c r="X365" t="s">
        <v>851</v>
      </c>
      <c r="Y365">
        <v>135</v>
      </c>
      <c r="Z365" s="4"/>
      <c r="AA365" t="str">
        <f>I365
&amp;IF(H365=I365,""," "&amp;H365)
&amp;IF(OR(R365=I365,R365=H365),""," "&amp;R365)
&amp;IF(R365=S365,""," "&amp;S365)</f>
        <v xml:space="preserve">Eb D </v>
      </c>
    </row>
    <row r="366" spans="1:27" x14ac:dyDescent="0.25">
      <c r="A366">
        <v>6</v>
      </c>
      <c r="C366" t="s">
        <v>851</v>
      </c>
      <c r="E366" t="s">
        <v>788</v>
      </c>
      <c r="G366" t="s">
        <v>789</v>
      </c>
      <c r="H366" s="4" t="s">
        <v>176</v>
      </c>
      <c r="I366" s="4" t="s">
        <v>176</v>
      </c>
      <c r="J366" s="4">
        <v>96</v>
      </c>
      <c r="K366" s="5" t="s">
        <v>371</v>
      </c>
      <c r="L366" s="10">
        <v>47017</v>
      </c>
      <c r="M366" s="4">
        <v>1865</v>
      </c>
      <c r="N366" s="4" t="s">
        <v>401</v>
      </c>
      <c r="O366" t="s">
        <v>92</v>
      </c>
      <c r="S366" t="s">
        <v>23</v>
      </c>
      <c r="U366" t="str">
        <f>IF(AND(ISNUMBER(L366),COUNTIF([2]Songs!$L:$L,L366)&gt;0),"YES","")</f>
        <v>YES</v>
      </c>
      <c r="V366" t="str">
        <f>IF(AND(ISNUMBER(L366),COUNTIF([3]Songs!$J:$J,L366)&gt;0),"YES","")</f>
        <v/>
      </c>
      <c r="W366" t="str">
        <f>IF(AND(ISNUMBER(L366),COUNTIF([1]Songs!$H:$H,L366)&gt;0),"YES","")</f>
        <v/>
      </c>
      <c r="X366" t="s">
        <v>851</v>
      </c>
      <c r="Y366">
        <v>137</v>
      </c>
      <c r="Z366" s="4"/>
      <c r="AA366" t="str">
        <f>I366
&amp;IF(H366=I366,""," "&amp;H366)
&amp;IF(OR(R366=I366,R366=H366),""," "&amp;R366)
&amp;IF(R366=S366,""," "&amp;S366)</f>
        <v xml:space="preserve">F </v>
      </c>
    </row>
    <row r="367" spans="1:27" x14ac:dyDescent="0.25">
      <c r="A367">
        <v>6</v>
      </c>
      <c r="C367" t="s">
        <v>851</v>
      </c>
      <c r="E367" t="s">
        <v>790</v>
      </c>
      <c r="G367" t="s">
        <v>792</v>
      </c>
      <c r="H367" s="3" t="s">
        <v>52</v>
      </c>
      <c r="I367" s="3" t="s">
        <v>28</v>
      </c>
      <c r="J367" s="4">
        <v>85</v>
      </c>
      <c r="K367" s="5" t="s">
        <v>371</v>
      </c>
      <c r="L367" s="9">
        <v>917491</v>
      </c>
      <c r="M367" s="4">
        <v>1992</v>
      </c>
      <c r="N367" s="6" t="s">
        <v>793</v>
      </c>
      <c r="O367" t="s">
        <v>945</v>
      </c>
      <c r="S367" t="s">
        <v>23</v>
      </c>
      <c r="U367" t="str">
        <f>IF(AND(ISNUMBER(L367),COUNTIF([2]Songs!$L:$L,L367)&gt;0),"YES","")</f>
        <v>YES</v>
      </c>
      <c r="V367" t="str">
        <f>IF(AND(ISNUMBER(L367),COUNTIF([3]Songs!$J:$J,L367)&gt;0),"YES","")</f>
        <v/>
      </c>
      <c r="W367" t="str">
        <f>IF(AND(ISNUMBER(L367),COUNTIF([1]Songs!$H:$H,L367)&gt;0),"YES","")</f>
        <v/>
      </c>
      <c r="X367" t="s">
        <v>851</v>
      </c>
      <c r="Y367">
        <v>141</v>
      </c>
      <c r="Z367" s="4"/>
      <c r="AA367" t="str">
        <f>I367
&amp;IF(H367=I367,""," "&amp;H367)
&amp;IF(OR(R367=I367,R367=H367),""," "&amp;R367)
&amp;IF(R367=S367,""," "&amp;S367)</f>
        <v xml:space="preserve">Bb A </v>
      </c>
    </row>
    <row r="368" spans="1:27" x14ac:dyDescent="0.25">
      <c r="A368">
        <v>6</v>
      </c>
      <c r="C368" t="s">
        <v>851</v>
      </c>
      <c r="E368" t="s">
        <v>791</v>
      </c>
      <c r="G368" t="s">
        <v>794</v>
      </c>
      <c r="H368" s="3" t="s">
        <v>176</v>
      </c>
      <c r="I368" s="3" t="s">
        <v>84</v>
      </c>
      <c r="J368" s="4">
        <v>84</v>
      </c>
      <c r="K368" s="5" t="s">
        <v>371</v>
      </c>
      <c r="L368" s="10">
        <v>4543620</v>
      </c>
      <c r="M368" s="4">
        <v>2005</v>
      </c>
      <c r="N368" s="4" t="s">
        <v>473</v>
      </c>
      <c r="O368" t="s">
        <v>944</v>
      </c>
      <c r="S368" t="s">
        <v>23</v>
      </c>
      <c r="U368" t="str">
        <f>IF(AND(ISNUMBER(L368),COUNTIF([2]Songs!$L:$L,L368)&gt;0),"YES","")</f>
        <v>YES</v>
      </c>
      <c r="V368" t="str">
        <f>IF(AND(ISNUMBER(L368),COUNTIF([3]Songs!$J:$J,L368)&gt;0),"YES","")</f>
        <v/>
      </c>
      <c r="W368" t="str">
        <f>IF(AND(ISNUMBER(L368),COUNTIF([1]Songs!$H:$H,L368)&gt;0),"YES","")</f>
        <v/>
      </c>
      <c r="X368" t="s">
        <v>851</v>
      </c>
      <c r="Y368">
        <v>142</v>
      </c>
      <c r="Z368" s="4" t="s">
        <v>862</v>
      </c>
      <c r="AA368" t="str">
        <f>I368
&amp;IF(H368=I368,""," "&amp;H368)
&amp;IF(OR(R368=I368,R368=H368),""," "&amp;R368)
&amp;IF(R368=S368,""," "&amp;S368)</f>
        <v xml:space="preserve">F# F </v>
      </c>
    </row>
    <row r="369" spans="1:27" x14ac:dyDescent="0.25">
      <c r="A369">
        <v>6</v>
      </c>
      <c r="C369" t="s">
        <v>851</v>
      </c>
      <c r="E369" t="s">
        <v>795</v>
      </c>
      <c r="G369" t="s">
        <v>796</v>
      </c>
      <c r="H369" s="3" t="s">
        <v>36</v>
      </c>
      <c r="I369" s="3" t="s">
        <v>36</v>
      </c>
      <c r="J369" s="4">
        <v>100</v>
      </c>
      <c r="K369" s="5" t="s">
        <v>371</v>
      </c>
      <c r="L369" s="10">
        <v>5875153</v>
      </c>
      <c r="M369" s="4">
        <v>2010</v>
      </c>
      <c r="N369" s="6" t="s">
        <v>797</v>
      </c>
      <c r="O369" t="s">
        <v>944</v>
      </c>
      <c r="S369" t="s">
        <v>23</v>
      </c>
      <c r="U369" t="str">
        <f>IF(AND(ISNUMBER(L369),COUNTIF([2]Songs!$L:$L,L369)&gt;0),"YES","")</f>
        <v>YES</v>
      </c>
      <c r="V369" t="str">
        <f>IF(AND(ISNUMBER(L369),COUNTIF([3]Songs!$J:$J,L369)&gt;0),"YES","")</f>
        <v/>
      </c>
      <c r="W369" t="str">
        <f>IF(AND(ISNUMBER(L369),COUNTIF([1]Songs!$H:$H,L369)&gt;0),"YES","")</f>
        <v/>
      </c>
      <c r="X369" t="s">
        <v>851</v>
      </c>
      <c r="Y369">
        <v>146</v>
      </c>
      <c r="Z369" s="4"/>
      <c r="AA369" t="str">
        <f>I369
&amp;IF(H369=I369,""," "&amp;H369)
&amp;IF(OR(R369=I369,R369=H369),""," "&amp;R369)
&amp;IF(R369=S369,""," "&amp;S369)</f>
        <v xml:space="preserve">E </v>
      </c>
    </row>
    <row r="370" spans="1:27" x14ac:dyDescent="0.25">
      <c r="A370">
        <v>6</v>
      </c>
      <c r="C370" t="s">
        <v>851</v>
      </c>
      <c r="E370" t="s">
        <v>798</v>
      </c>
      <c r="G370" t="s">
        <v>799</v>
      </c>
      <c r="H370" s="3" t="s">
        <v>47</v>
      </c>
      <c r="I370" s="3" t="s">
        <v>47</v>
      </c>
      <c r="J370" s="4">
        <v>120</v>
      </c>
      <c r="K370" s="5" t="s">
        <v>371</v>
      </c>
      <c r="L370" s="10">
        <v>1352</v>
      </c>
      <c r="M370" s="4">
        <v>1972</v>
      </c>
      <c r="N370" s="4" t="s">
        <v>800</v>
      </c>
      <c r="O370" t="s">
        <v>945</v>
      </c>
      <c r="S370" t="s">
        <v>23</v>
      </c>
      <c r="U370" t="str">
        <f>IF(AND(ISNUMBER(L370),COUNTIF([2]Songs!$L:$L,L370)&gt;0),"YES","")</f>
        <v>YES</v>
      </c>
      <c r="V370" t="str">
        <f>IF(AND(ISNUMBER(L370),COUNTIF([3]Songs!$J:$J,L370)&gt;0),"YES","")</f>
        <v/>
      </c>
      <c r="W370" t="str">
        <f>IF(AND(ISNUMBER(L370),COUNTIF([1]Songs!$H:$H,L370)&gt;0),"YES","")</f>
        <v/>
      </c>
      <c r="X370" t="s">
        <v>851</v>
      </c>
      <c r="Y370">
        <v>148</v>
      </c>
      <c r="Z370" s="4"/>
      <c r="AA370" t="str">
        <f>I370
&amp;IF(H370=I370,""," "&amp;H370)
&amp;IF(OR(R370=I370,R370=H370),""," "&amp;R370)
&amp;IF(R370=S370,""," "&amp;S370)</f>
        <v xml:space="preserve">C </v>
      </c>
    </row>
    <row r="371" spans="1:27" x14ac:dyDescent="0.25">
      <c r="A371">
        <v>6</v>
      </c>
      <c r="C371" t="s">
        <v>851</v>
      </c>
      <c r="E371" t="s">
        <v>801</v>
      </c>
      <c r="G371" t="s">
        <v>802</v>
      </c>
      <c r="H371" s="3" t="s">
        <v>176</v>
      </c>
      <c r="I371" s="3" t="s">
        <v>176</v>
      </c>
      <c r="J371" s="4">
        <v>82</v>
      </c>
      <c r="K371" s="5" t="s">
        <v>380</v>
      </c>
      <c r="L371" s="10">
        <v>25417</v>
      </c>
      <c r="M371" s="4">
        <v>1834</v>
      </c>
      <c r="N371" s="6" t="s">
        <v>401</v>
      </c>
      <c r="O371" t="s">
        <v>92</v>
      </c>
      <c r="S371" t="s">
        <v>23</v>
      </c>
      <c r="U371" t="str">
        <f>IF(AND(ISNUMBER(L371),COUNTIF([2]Songs!$L:$L,L371)&gt;0),"YES","")</f>
        <v>YES</v>
      </c>
      <c r="V371" t="str">
        <f>IF(AND(ISNUMBER(L371),COUNTIF([3]Songs!$J:$J,L371)&gt;0),"YES","")</f>
        <v/>
      </c>
      <c r="W371" t="str">
        <f>IF(AND(ISNUMBER(L371),COUNTIF([1]Songs!$H:$H,L371)&gt;0),"YES","")</f>
        <v/>
      </c>
      <c r="X371" t="s">
        <v>851</v>
      </c>
      <c r="Y371">
        <v>151</v>
      </c>
      <c r="Z371" s="4"/>
      <c r="AA371" t="str">
        <f>I371
&amp;IF(H371=I371,""," "&amp;H371)
&amp;IF(OR(R371=I371,R371=H371),""," "&amp;R371)
&amp;IF(R371=S371,""," "&amp;S371)</f>
        <v xml:space="preserve">F </v>
      </c>
    </row>
    <row r="372" spans="1:27" x14ac:dyDescent="0.25">
      <c r="A372">
        <v>6</v>
      </c>
      <c r="C372" t="s">
        <v>851</v>
      </c>
      <c r="E372" t="s">
        <v>803</v>
      </c>
      <c r="F372" t="s">
        <v>804</v>
      </c>
      <c r="G372" t="s">
        <v>619</v>
      </c>
      <c r="H372" s="3" t="s">
        <v>47</v>
      </c>
      <c r="I372" s="3" t="s">
        <v>47</v>
      </c>
      <c r="J372" s="4">
        <v>70</v>
      </c>
      <c r="K372" s="5" t="s">
        <v>371</v>
      </c>
      <c r="L372" s="9">
        <v>3940963</v>
      </c>
      <c r="M372" s="4">
        <v>2002</v>
      </c>
      <c r="N372" s="4" t="s">
        <v>372</v>
      </c>
      <c r="O372" t="s">
        <v>944</v>
      </c>
      <c r="S372" t="s">
        <v>23</v>
      </c>
      <c r="U372" t="str">
        <f>IF(AND(ISNUMBER(L372),COUNTIF([2]Songs!$L:$L,L372)&gt;0),"YES","")</f>
        <v>YES</v>
      </c>
      <c r="V372" t="str">
        <f>IF(AND(ISNUMBER(L372),COUNTIF([3]Songs!$J:$J,L372)&gt;0),"YES","")</f>
        <v/>
      </c>
      <c r="W372" t="str">
        <f>IF(AND(ISNUMBER(L372),COUNTIF([1]Songs!$H:$H,L372)&gt;0),"YES","")</f>
        <v>YES</v>
      </c>
      <c r="X372" t="s">
        <v>851</v>
      </c>
      <c r="Y372">
        <v>153</v>
      </c>
      <c r="Z372" s="4"/>
      <c r="AA372" t="str">
        <f>I372
&amp;IF(H372=I372,""," "&amp;H372)
&amp;IF(OR(R372=I372,R372=H372),""," "&amp;R372)
&amp;IF(R372=S372,""," "&amp;S372)</f>
        <v xml:space="preserve">C </v>
      </c>
    </row>
    <row r="373" spans="1:27" x14ac:dyDescent="0.25">
      <c r="A373">
        <v>6</v>
      </c>
      <c r="C373" t="s">
        <v>851</v>
      </c>
      <c r="E373" t="s">
        <v>805</v>
      </c>
      <c r="G373" t="s">
        <v>194</v>
      </c>
      <c r="H373" s="3" t="s">
        <v>31</v>
      </c>
      <c r="I373" s="3" t="s">
        <v>31</v>
      </c>
      <c r="J373" s="4">
        <v>96</v>
      </c>
      <c r="K373" s="5" t="s">
        <v>371</v>
      </c>
      <c r="L373" s="10">
        <v>4514635</v>
      </c>
      <c r="M373" s="4">
        <v>2005</v>
      </c>
      <c r="N373" s="4" t="s">
        <v>809</v>
      </c>
      <c r="O373" t="s">
        <v>944</v>
      </c>
      <c r="S373" t="s">
        <v>23</v>
      </c>
      <c r="U373" t="str">
        <f>IF(AND(ISNUMBER(L373),COUNTIF([2]Songs!$L:$L,L373)&gt;0),"YES","")</f>
        <v>YES</v>
      </c>
      <c r="V373" t="str">
        <f>IF(AND(ISNUMBER(L373),COUNTIF([3]Songs!$J:$J,L373)&gt;0),"YES","")</f>
        <v/>
      </c>
      <c r="W373" t="str">
        <f>IF(AND(ISNUMBER(L373),COUNTIF([1]Songs!$H:$H,L373)&gt;0),"YES","")</f>
        <v/>
      </c>
      <c r="X373" t="s">
        <v>851</v>
      </c>
      <c r="Y373">
        <v>155</v>
      </c>
      <c r="Z373" s="4" t="s">
        <v>862</v>
      </c>
      <c r="AA373" t="str">
        <f>I373
&amp;IF(H373=I373,""," "&amp;H373)
&amp;IF(OR(R373=I373,R373=H373),""," "&amp;R373)
&amp;IF(R373=S373,""," "&amp;S373)</f>
        <v xml:space="preserve">B </v>
      </c>
    </row>
    <row r="374" spans="1:27" x14ac:dyDescent="0.25">
      <c r="A374">
        <v>6</v>
      </c>
      <c r="C374" t="s">
        <v>851</v>
      </c>
      <c r="E374" t="s">
        <v>806</v>
      </c>
      <c r="G374" t="s">
        <v>810</v>
      </c>
      <c r="H374" s="3" t="s">
        <v>176</v>
      </c>
      <c r="I374" s="3" t="s">
        <v>176</v>
      </c>
      <c r="J374" s="4">
        <v>86</v>
      </c>
      <c r="K374" s="5" t="s">
        <v>371</v>
      </c>
      <c r="L374" s="10">
        <v>1390</v>
      </c>
      <c r="M374" s="4">
        <v>1874</v>
      </c>
      <c r="N374" s="6" t="s">
        <v>401</v>
      </c>
      <c r="O374" t="s">
        <v>92</v>
      </c>
      <c r="S374" t="s">
        <v>23</v>
      </c>
      <c r="U374" t="str">
        <f>IF(AND(ISNUMBER(L374),COUNTIF([2]Songs!$L:$L,L374)&gt;0),"YES","")</f>
        <v>YES</v>
      </c>
      <c r="V374" t="str">
        <f>IF(AND(ISNUMBER(L374),COUNTIF([3]Songs!$J:$J,L374)&gt;0),"YES","")</f>
        <v/>
      </c>
      <c r="W374" t="str">
        <f>IF(AND(ISNUMBER(L374),COUNTIF([1]Songs!$H:$H,L374)&gt;0),"YES","")</f>
        <v/>
      </c>
      <c r="X374" t="s">
        <v>851</v>
      </c>
      <c r="Y374">
        <v>156</v>
      </c>
      <c r="Z374" s="4"/>
      <c r="AA374" t="str">
        <f>I374
&amp;IF(H374=I374,""," "&amp;H374)
&amp;IF(OR(R374=I374,R374=H374),""," "&amp;R374)
&amp;IF(R374=S374,""," "&amp;S374)</f>
        <v xml:space="preserve">F </v>
      </c>
    </row>
    <row r="375" spans="1:27" x14ac:dyDescent="0.25">
      <c r="A375">
        <v>6</v>
      </c>
      <c r="C375" t="s">
        <v>851</v>
      </c>
      <c r="E375" t="s">
        <v>807</v>
      </c>
      <c r="G375" t="s">
        <v>811</v>
      </c>
      <c r="H375" s="3" t="s">
        <v>52</v>
      </c>
      <c r="I375" s="3" t="s">
        <v>28</v>
      </c>
      <c r="J375" s="4">
        <v>92</v>
      </c>
      <c r="K375" s="5" t="s">
        <v>371</v>
      </c>
      <c r="L375" s="10">
        <v>27707</v>
      </c>
      <c r="M375" s="4">
        <v>1772</v>
      </c>
      <c r="N375" s="6" t="s">
        <v>401</v>
      </c>
      <c r="O375" t="s">
        <v>92</v>
      </c>
      <c r="S375" t="s">
        <v>23</v>
      </c>
      <c r="U375" t="str">
        <f>IF(AND(ISNUMBER(L375),COUNTIF([2]Songs!$L:$L,L375)&gt;0),"YES","")</f>
        <v>YES</v>
      </c>
      <c r="V375" t="str">
        <f>IF(AND(ISNUMBER(L375),COUNTIF([3]Songs!$J:$J,L375)&gt;0),"YES","")</f>
        <v/>
      </c>
      <c r="W375" t="str">
        <f>IF(AND(ISNUMBER(L375),COUNTIF([1]Songs!$H:$H,L375)&gt;0),"YES","")</f>
        <v/>
      </c>
      <c r="X375" t="s">
        <v>851</v>
      </c>
      <c r="Y375">
        <v>157</v>
      </c>
      <c r="Z375" s="4"/>
      <c r="AA375" t="str">
        <f>I375
&amp;IF(H375=I375,""," "&amp;H375)
&amp;IF(OR(R375=I375,R375=H375),""," "&amp;R375)
&amp;IF(R375=S375,""," "&amp;S375)</f>
        <v xml:space="preserve">Bb A </v>
      </c>
    </row>
    <row r="376" spans="1:27" x14ac:dyDescent="0.25">
      <c r="A376">
        <v>6</v>
      </c>
      <c r="C376" t="s">
        <v>851</v>
      </c>
      <c r="E376" t="s">
        <v>808</v>
      </c>
      <c r="G376" t="s">
        <v>812</v>
      </c>
      <c r="H376" s="3" t="s">
        <v>39</v>
      </c>
      <c r="I376" s="3" t="s">
        <v>39</v>
      </c>
      <c r="J376" s="4">
        <v>92</v>
      </c>
      <c r="K376" s="5" t="s">
        <v>371</v>
      </c>
      <c r="L376" s="9">
        <v>11483</v>
      </c>
      <c r="M376" s="4">
        <v>1982</v>
      </c>
      <c r="N376" s="6" t="s">
        <v>662</v>
      </c>
      <c r="O376" t="s">
        <v>945</v>
      </c>
      <c r="S376" t="s">
        <v>23</v>
      </c>
      <c r="U376" t="str">
        <f>IF(AND(ISNUMBER(L376),COUNTIF([2]Songs!$L:$L,L376)&gt;0),"YES","")</f>
        <v>YES</v>
      </c>
      <c r="V376" t="str">
        <f>IF(AND(ISNUMBER(L376),COUNTIF([3]Songs!$J:$J,L376)&gt;0),"YES","")</f>
        <v/>
      </c>
      <c r="W376" t="str">
        <f>IF(AND(ISNUMBER(L376),COUNTIF([1]Songs!$H:$H,L376)&gt;0),"YES","")</f>
        <v/>
      </c>
      <c r="X376" t="s">
        <v>851</v>
      </c>
      <c r="Y376">
        <v>158</v>
      </c>
      <c r="Z376" s="4"/>
      <c r="AA376" t="str">
        <f>I376
&amp;IF(H376=I376,""," "&amp;H376)
&amp;IF(OR(R376=I376,R376=H376),""," "&amp;R376)
&amp;IF(R376=S376,""," "&amp;S376)</f>
        <v xml:space="preserve">D </v>
      </c>
    </row>
    <row r="377" spans="1:27" x14ac:dyDescent="0.25">
      <c r="A377">
        <v>6</v>
      </c>
      <c r="C377" t="s">
        <v>851</v>
      </c>
      <c r="E377" t="s">
        <v>813</v>
      </c>
      <c r="G377" t="s">
        <v>815</v>
      </c>
      <c r="H377" s="3" t="s">
        <v>39</v>
      </c>
      <c r="I377" s="3" t="s">
        <v>39</v>
      </c>
      <c r="J377" s="4">
        <v>66</v>
      </c>
      <c r="K377" s="5" t="s">
        <v>371</v>
      </c>
      <c r="L377" s="9">
        <v>6167640</v>
      </c>
      <c r="M377" s="4">
        <v>2009</v>
      </c>
      <c r="N377" s="6" t="s">
        <v>816</v>
      </c>
      <c r="O377" t="s">
        <v>944</v>
      </c>
      <c r="S377" t="s">
        <v>23</v>
      </c>
      <c r="U377" t="str">
        <f>IF(AND(ISNUMBER(L377),COUNTIF([2]Songs!$L:$L,L377)&gt;0),"YES","")</f>
        <v>YES</v>
      </c>
      <c r="V377" t="str">
        <f>IF(AND(ISNUMBER(L377),COUNTIF([3]Songs!$J:$J,L377)&gt;0),"YES","")</f>
        <v/>
      </c>
      <c r="W377" t="str">
        <f>IF(AND(ISNUMBER(L377),COUNTIF([1]Songs!$H:$H,L377)&gt;0),"YES","")</f>
        <v/>
      </c>
      <c r="X377" t="s">
        <v>851</v>
      </c>
      <c r="Y377">
        <v>160</v>
      </c>
      <c r="Z377" s="4"/>
      <c r="AA377" t="str">
        <f>I377
&amp;IF(H377=I377,""," "&amp;H377)
&amp;IF(OR(R377=I377,R377=H377),""," "&amp;R377)
&amp;IF(R377=S377,""," "&amp;S377)</f>
        <v xml:space="preserve">D </v>
      </c>
    </row>
    <row r="378" spans="1:27" x14ac:dyDescent="0.25">
      <c r="A378">
        <v>6</v>
      </c>
      <c r="C378" t="s">
        <v>851</v>
      </c>
      <c r="E378" t="s">
        <v>814</v>
      </c>
      <c r="G378" t="s">
        <v>818</v>
      </c>
      <c r="H378" s="3" t="s">
        <v>25</v>
      </c>
      <c r="I378" s="3" t="s">
        <v>25</v>
      </c>
      <c r="J378" s="4">
        <v>90</v>
      </c>
      <c r="K378" s="5" t="s">
        <v>380</v>
      </c>
      <c r="L378" s="9">
        <v>23426</v>
      </c>
      <c r="M378" s="4">
        <v>1875</v>
      </c>
      <c r="N378" s="6" t="s">
        <v>401</v>
      </c>
      <c r="O378" t="s">
        <v>92</v>
      </c>
      <c r="S378" t="s">
        <v>23</v>
      </c>
      <c r="U378" t="str">
        <f>IF(AND(ISNUMBER(L378),COUNTIF([2]Songs!$L:$L,L378)&gt;0),"YES","")</f>
        <v>YES</v>
      </c>
      <c r="V378" t="str">
        <f>IF(AND(ISNUMBER(L378),COUNTIF([3]Songs!$J:$J,L378)&gt;0),"YES","")</f>
        <v/>
      </c>
      <c r="W378" t="str">
        <f>IF(AND(ISNUMBER(L378),COUNTIF([1]Songs!$H:$H,L378)&gt;0),"YES","")</f>
        <v/>
      </c>
      <c r="X378" t="s">
        <v>851</v>
      </c>
      <c r="Y378">
        <v>162</v>
      </c>
      <c r="Z378" s="4"/>
      <c r="AA378" t="str">
        <f>I378
&amp;IF(H378=I378,""," "&amp;H378)
&amp;IF(OR(R378=I378,R378=H378),""," "&amp;R378)
&amp;IF(R378=S378,""," "&amp;S378)</f>
        <v xml:space="preserve">G </v>
      </c>
    </row>
    <row r="379" spans="1:27" x14ac:dyDescent="0.25">
      <c r="A379">
        <v>6</v>
      </c>
      <c r="C379" t="s">
        <v>851</v>
      </c>
      <c r="E379" t="s">
        <v>819</v>
      </c>
      <c r="G379" t="s">
        <v>825</v>
      </c>
      <c r="H379" s="3" t="s">
        <v>176</v>
      </c>
      <c r="I379" s="3" t="s">
        <v>176</v>
      </c>
      <c r="J379" s="4">
        <v>96</v>
      </c>
      <c r="K379" s="5" t="s">
        <v>380</v>
      </c>
      <c r="L379" s="10">
        <v>22094</v>
      </c>
      <c r="M379" s="4">
        <v>1887</v>
      </c>
      <c r="N379" s="6" t="s">
        <v>401</v>
      </c>
      <c r="O379" t="s">
        <v>92</v>
      </c>
      <c r="S379" t="s">
        <v>23</v>
      </c>
      <c r="U379" t="str">
        <f>IF(AND(ISNUMBER(L379),COUNTIF([2]Songs!$L:$L,L379)&gt;0),"YES","")</f>
        <v>YES</v>
      </c>
      <c r="V379" t="str">
        <f>IF(AND(ISNUMBER(L379),COUNTIF([3]Songs!$J:$J,L379)&gt;0),"YES","")</f>
        <v/>
      </c>
      <c r="W379" t="str">
        <f>IF(AND(ISNUMBER(L379),COUNTIF([1]Songs!$H:$H,L379)&gt;0),"YES","")</f>
        <v/>
      </c>
      <c r="X379" t="s">
        <v>851</v>
      </c>
      <c r="Y379">
        <v>164</v>
      </c>
      <c r="Z379" s="4"/>
      <c r="AA379" t="str">
        <f>I379
&amp;IF(H379=I379,""," "&amp;H379)
&amp;IF(OR(R379=I379,R379=H379),""," "&amp;R379)
&amp;IF(R379=S379,""," "&amp;S379)</f>
        <v xml:space="preserve">F </v>
      </c>
    </row>
    <row r="380" spans="1:27" x14ac:dyDescent="0.25">
      <c r="A380">
        <v>6</v>
      </c>
      <c r="C380" t="s">
        <v>851</v>
      </c>
      <c r="E380" t="s">
        <v>820</v>
      </c>
      <c r="G380" t="s">
        <v>826</v>
      </c>
      <c r="H380" s="3" t="s">
        <v>47</v>
      </c>
      <c r="I380" s="3" t="s">
        <v>47</v>
      </c>
      <c r="J380" s="4">
        <v>75</v>
      </c>
      <c r="K380" s="5" t="s">
        <v>371</v>
      </c>
      <c r="L380" s="9">
        <v>6454621</v>
      </c>
      <c r="M380" s="4">
        <v>2013</v>
      </c>
      <c r="N380" s="6" t="s">
        <v>827</v>
      </c>
      <c r="O380" t="s">
        <v>944</v>
      </c>
      <c r="S380" t="s">
        <v>23</v>
      </c>
      <c r="U380" t="str">
        <f>IF(AND(ISNUMBER(L380),COUNTIF([2]Songs!$L:$L,L380)&gt;0),"YES","")</f>
        <v>YES</v>
      </c>
      <c r="V380" t="str">
        <f>IF(AND(ISNUMBER(L380),COUNTIF([3]Songs!$J:$J,L380)&gt;0),"YES","")</f>
        <v/>
      </c>
      <c r="W380" t="str">
        <f>IF(AND(ISNUMBER(L380),COUNTIF([1]Songs!$H:$H,L380)&gt;0),"YES","")</f>
        <v/>
      </c>
      <c r="X380" t="s">
        <v>851</v>
      </c>
      <c r="Y380">
        <v>165</v>
      </c>
      <c r="Z380" s="4"/>
      <c r="AA380" t="str">
        <f>I380
&amp;IF(H380=I380,""," "&amp;H380)
&amp;IF(OR(R380=I380,R380=H380),""," "&amp;R380)
&amp;IF(R380=S380,""," "&amp;S380)</f>
        <v xml:space="preserve">C </v>
      </c>
    </row>
    <row r="381" spans="1:27" x14ac:dyDescent="0.25">
      <c r="A381">
        <v>6</v>
      </c>
      <c r="C381" t="s">
        <v>851</v>
      </c>
      <c r="E381" t="s">
        <v>821</v>
      </c>
      <c r="F381" t="s">
        <v>822</v>
      </c>
      <c r="G381" t="s">
        <v>828</v>
      </c>
      <c r="H381" s="3" t="s">
        <v>25</v>
      </c>
      <c r="I381" s="3" t="s">
        <v>25</v>
      </c>
      <c r="J381" s="4">
        <v>124</v>
      </c>
      <c r="K381" s="5" t="s">
        <v>371</v>
      </c>
      <c r="L381" s="9">
        <v>1259</v>
      </c>
      <c r="M381" s="4">
        <v>1939</v>
      </c>
      <c r="N381" s="4" t="s">
        <v>401</v>
      </c>
      <c r="O381" t="s">
        <v>92</v>
      </c>
      <c r="S381" t="s">
        <v>23</v>
      </c>
      <c r="U381" t="str">
        <f>IF(AND(ISNUMBER(L381),COUNTIF([2]Songs!$L:$L,L381)&gt;0),"YES","")</f>
        <v>YES</v>
      </c>
      <c r="V381" t="str">
        <f>IF(AND(ISNUMBER(L381),COUNTIF([3]Songs!$J:$J,L381)&gt;0),"YES","")</f>
        <v/>
      </c>
      <c r="W381" t="str">
        <f>IF(AND(ISNUMBER(L381),COUNTIF([1]Songs!$H:$H,L381)&gt;0),"YES","")</f>
        <v/>
      </c>
      <c r="X381" t="s">
        <v>851</v>
      </c>
      <c r="Y381">
        <v>166</v>
      </c>
      <c r="Z381" s="4"/>
      <c r="AA381" t="str">
        <f>I381
&amp;IF(H381=I381,""," "&amp;H381)
&amp;IF(OR(R381=I381,R381=H381),""," "&amp;R381)
&amp;IF(R381=S381,""," "&amp;S381)</f>
        <v xml:space="preserve">G </v>
      </c>
    </row>
    <row r="382" spans="1:27" x14ac:dyDescent="0.25">
      <c r="A382">
        <v>6</v>
      </c>
      <c r="C382" t="s">
        <v>851</v>
      </c>
      <c r="E382" t="s">
        <v>823</v>
      </c>
      <c r="G382" t="s">
        <v>829</v>
      </c>
      <c r="H382" s="3" t="s">
        <v>36</v>
      </c>
      <c r="I382" s="3" t="s">
        <v>36</v>
      </c>
      <c r="J382" s="4">
        <v>68</v>
      </c>
      <c r="K382" s="5" t="s">
        <v>371</v>
      </c>
      <c r="L382" s="9">
        <v>7115744</v>
      </c>
      <c r="M382" s="4">
        <v>2016</v>
      </c>
      <c r="N382" s="6" t="s">
        <v>830</v>
      </c>
      <c r="O382" t="s">
        <v>944</v>
      </c>
      <c r="S382" t="s">
        <v>23</v>
      </c>
      <c r="U382" t="str">
        <f>IF(AND(ISNUMBER(L382),COUNTIF([2]Songs!$L:$L,L382)&gt;0),"YES","")</f>
        <v>YES</v>
      </c>
      <c r="V382" t="str">
        <f>IF(AND(ISNUMBER(L382),COUNTIF([3]Songs!$J:$J,L382)&gt;0),"YES","")</f>
        <v/>
      </c>
      <c r="W382" t="str">
        <f>IF(AND(ISNUMBER(L382),COUNTIF([1]Songs!$H:$H,L382)&gt;0),"YES","")</f>
        <v/>
      </c>
      <c r="X382" t="s">
        <v>851</v>
      </c>
      <c r="Y382">
        <v>167</v>
      </c>
      <c r="Z382" s="4"/>
      <c r="AA382" t="str">
        <f>I382
&amp;IF(H382=I382,""," "&amp;H382)
&amp;IF(OR(R382=I382,R382=H382),""," "&amp;R382)
&amp;IF(R382=S382,""," "&amp;S382)</f>
        <v xml:space="preserve">E </v>
      </c>
    </row>
    <row r="383" spans="1:27" x14ac:dyDescent="0.25">
      <c r="A383">
        <v>6</v>
      </c>
      <c r="C383" t="s">
        <v>851</v>
      </c>
      <c r="E383" t="s">
        <v>824</v>
      </c>
      <c r="G383" t="s">
        <v>831</v>
      </c>
      <c r="H383" s="3" t="s">
        <v>39</v>
      </c>
      <c r="I383" s="3" t="s">
        <v>39</v>
      </c>
      <c r="J383" s="4">
        <v>66</v>
      </c>
      <c r="K383" s="5" t="s">
        <v>371</v>
      </c>
      <c r="L383" s="9">
        <v>6367165</v>
      </c>
      <c r="M383" s="4">
        <v>2015</v>
      </c>
      <c r="N383" s="6" t="s">
        <v>444</v>
      </c>
      <c r="O383" t="s">
        <v>944</v>
      </c>
      <c r="S383" t="s">
        <v>23</v>
      </c>
      <c r="U383" t="str">
        <f>IF(AND(ISNUMBER(L383),COUNTIF([2]Songs!$L:$L,L383)&gt;0),"YES","")</f>
        <v>YES</v>
      </c>
      <c r="V383" t="str">
        <f>IF(AND(ISNUMBER(L383),COUNTIF([3]Songs!$J:$J,L383)&gt;0),"YES","")</f>
        <v/>
      </c>
      <c r="W383" t="str">
        <f>IF(AND(ISNUMBER(L383),COUNTIF([1]Songs!$H:$H,L383)&gt;0),"YES","")</f>
        <v/>
      </c>
      <c r="X383" t="s">
        <v>851</v>
      </c>
      <c r="Y383">
        <v>168</v>
      </c>
      <c r="Z383" s="4"/>
      <c r="AA383" t="str">
        <f>I383
&amp;IF(H383=I383,""," "&amp;H383)
&amp;IF(OR(R383=I383,R383=H383),""," "&amp;R383)
&amp;IF(R383=S383,""," "&amp;S383)</f>
        <v xml:space="preserve">D </v>
      </c>
    </row>
    <row r="384" spans="1:27" x14ac:dyDescent="0.25">
      <c r="A384">
        <v>6</v>
      </c>
      <c r="C384" t="s">
        <v>851</v>
      </c>
      <c r="E384" t="s">
        <v>832</v>
      </c>
      <c r="G384" t="s">
        <v>835</v>
      </c>
      <c r="H384" s="3" t="s">
        <v>176</v>
      </c>
      <c r="I384" s="3" t="s">
        <v>176</v>
      </c>
      <c r="J384" s="4">
        <v>96</v>
      </c>
      <c r="K384" s="5" t="s">
        <v>371</v>
      </c>
      <c r="L384" s="10">
        <v>27893</v>
      </c>
      <c r="M384" s="4">
        <v>1707</v>
      </c>
      <c r="N384" s="6" t="s">
        <v>401</v>
      </c>
      <c r="O384" t="s">
        <v>92</v>
      </c>
      <c r="S384" t="s">
        <v>23</v>
      </c>
      <c r="U384" t="str">
        <f>IF(AND(ISNUMBER(L384),COUNTIF([2]Songs!$L:$L,L384)&gt;0),"YES","")</f>
        <v>YES</v>
      </c>
      <c r="V384" t="str">
        <f>IF(AND(ISNUMBER(L384),COUNTIF([3]Songs!$J:$J,L384)&gt;0),"YES","")</f>
        <v/>
      </c>
      <c r="W384" t="str">
        <f>IF(AND(ISNUMBER(L384),COUNTIF([1]Songs!$H:$H,L384)&gt;0),"YES","")</f>
        <v/>
      </c>
      <c r="X384" t="s">
        <v>851</v>
      </c>
      <c r="Y384">
        <v>171</v>
      </c>
      <c r="Z384" s="4"/>
      <c r="AA384" t="str">
        <f>I384
&amp;IF(H384=I384,""," "&amp;H384)
&amp;IF(OR(R384=I384,R384=H384),""," "&amp;R384)
&amp;IF(R384=S384,""," "&amp;S384)</f>
        <v xml:space="preserve">F </v>
      </c>
    </row>
    <row r="385" spans="1:27" x14ac:dyDescent="0.25">
      <c r="A385">
        <v>6</v>
      </c>
      <c r="C385" t="s">
        <v>851</v>
      </c>
      <c r="E385" t="s">
        <v>833</v>
      </c>
      <c r="G385" t="s">
        <v>836</v>
      </c>
      <c r="H385" s="4" t="s">
        <v>25</v>
      </c>
      <c r="I385" s="4" t="s">
        <v>67</v>
      </c>
      <c r="J385" s="4">
        <v>108</v>
      </c>
      <c r="K385" s="5" t="s">
        <v>371</v>
      </c>
      <c r="L385" s="10">
        <v>31315</v>
      </c>
      <c r="M385" s="4">
        <v>1893</v>
      </c>
      <c r="N385" s="4" t="s">
        <v>401</v>
      </c>
      <c r="O385" t="s">
        <v>92</v>
      </c>
      <c r="S385" t="s">
        <v>23</v>
      </c>
      <c r="U385" t="str">
        <f>IF(AND(ISNUMBER(L385),COUNTIF([2]Songs!$L:$L,L385)&gt;0),"YES","")</f>
        <v>YES</v>
      </c>
      <c r="V385" t="str">
        <f>IF(AND(ISNUMBER(L385),COUNTIF([3]Songs!$J:$J,L385)&gt;0),"YES","")</f>
        <v/>
      </c>
      <c r="W385" t="str">
        <f>IF(AND(ISNUMBER(L385),COUNTIF([1]Songs!$H:$H,L385)&gt;0),"YES","")</f>
        <v/>
      </c>
      <c r="X385" t="s">
        <v>851</v>
      </c>
      <c r="Y385">
        <v>172</v>
      </c>
      <c r="Z385" s="4"/>
      <c r="AA385" t="str">
        <f>I385
&amp;IF(H385=I385,""," "&amp;H385)
&amp;IF(OR(R385=I385,R385=H385),""," "&amp;R385)
&amp;IF(R385=S385,""," "&amp;S385)</f>
        <v xml:space="preserve">Ab G </v>
      </c>
    </row>
    <row r="386" spans="1:27" x14ac:dyDescent="0.25">
      <c r="A386">
        <v>6</v>
      </c>
      <c r="C386" t="s">
        <v>851</v>
      </c>
      <c r="E386" t="s">
        <v>834</v>
      </c>
      <c r="G386" t="s">
        <v>837</v>
      </c>
      <c r="H386" s="3" t="s">
        <v>31</v>
      </c>
      <c r="I386" s="3" t="s">
        <v>31</v>
      </c>
      <c r="J386" s="4">
        <v>66</v>
      </c>
      <c r="K386" s="5" t="s">
        <v>371</v>
      </c>
      <c r="L386" s="10">
        <v>4196651</v>
      </c>
      <c r="M386" s="4">
        <v>2003</v>
      </c>
      <c r="N386" s="4" t="s">
        <v>473</v>
      </c>
      <c r="O386" t="s">
        <v>944</v>
      </c>
      <c r="S386" t="s">
        <v>23</v>
      </c>
      <c r="U386" t="str">
        <f>IF(AND(ISNUMBER(L386),COUNTIF([2]Songs!$L:$L,L386)&gt;0),"YES","")</f>
        <v>YES</v>
      </c>
      <c r="V386" t="str">
        <f>IF(AND(ISNUMBER(L386),COUNTIF([3]Songs!$J:$J,L386)&gt;0),"YES","")</f>
        <v/>
      </c>
      <c r="W386" t="str">
        <f>IF(AND(ISNUMBER(L386),COUNTIF([1]Songs!$H:$H,L386)&gt;0),"YES","")</f>
        <v/>
      </c>
      <c r="X386" t="s">
        <v>851</v>
      </c>
      <c r="Y386">
        <v>173</v>
      </c>
      <c r="Z386" s="4" t="s">
        <v>862</v>
      </c>
      <c r="AA386" t="str">
        <f>I386
&amp;IF(H386=I386,""," "&amp;H386)
&amp;IF(OR(R386=I386,R386=H386),""," "&amp;R386)
&amp;IF(R386=S386,""," "&amp;S386)</f>
        <v xml:space="preserve">B </v>
      </c>
    </row>
    <row r="387" spans="1:27" x14ac:dyDescent="0.25">
      <c r="A387">
        <v>6</v>
      </c>
      <c r="C387" t="s">
        <v>851</v>
      </c>
      <c r="E387" t="s">
        <v>838</v>
      </c>
      <c r="G387" t="s">
        <v>839</v>
      </c>
      <c r="H387" s="3" t="s">
        <v>47</v>
      </c>
      <c r="I387" s="3" t="s">
        <v>47</v>
      </c>
      <c r="J387" s="4">
        <v>110</v>
      </c>
      <c r="K387" s="5" t="s">
        <v>380</v>
      </c>
      <c r="L387" s="9">
        <v>106879</v>
      </c>
      <c r="M387" s="4">
        <v>1989</v>
      </c>
      <c r="N387" s="6" t="s">
        <v>840</v>
      </c>
      <c r="O387" t="s">
        <v>945</v>
      </c>
      <c r="S387" t="s">
        <v>23</v>
      </c>
      <c r="U387" t="str">
        <f>IF(AND(ISNUMBER(L387),COUNTIF([2]Songs!$L:$L,L387)&gt;0),"YES","")</f>
        <v>YES</v>
      </c>
      <c r="V387" t="str">
        <f>IF(AND(ISNUMBER(L387),COUNTIF([3]Songs!$J:$J,L387)&gt;0),"YES","")</f>
        <v/>
      </c>
      <c r="W387" t="str">
        <f>IF(AND(ISNUMBER(L387),COUNTIF([1]Songs!$H:$H,L387)&gt;0),"YES","")</f>
        <v/>
      </c>
      <c r="X387" t="s">
        <v>851</v>
      </c>
      <c r="Y387">
        <v>177</v>
      </c>
      <c r="Z387" s="4"/>
      <c r="AA387" t="str">
        <f>I387
&amp;IF(H387=I387,""," "&amp;H387)
&amp;IF(OR(R387=I387,R387=H387),""," "&amp;R387)
&amp;IF(R387=S387,""," "&amp;S387)</f>
        <v xml:space="preserve">C </v>
      </c>
    </row>
    <row r="388" spans="1:27" x14ac:dyDescent="0.25">
      <c r="A388">
        <v>6</v>
      </c>
      <c r="C388" t="s">
        <v>851</v>
      </c>
      <c r="E388" t="s">
        <v>841</v>
      </c>
      <c r="F388" t="s">
        <v>842</v>
      </c>
      <c r="G388" t="s">
        <v>845</v>
      </c>
      <c r="H388" s="3" t="s">
        <v>52</v>
      </c>
      <c r="I388" s="3" t="s">
        <v>52</v>
      </c>
      <c r="J388" s="4">
        <v>70</v>
      </c>
      <c r="K388" s="5" t="s">
        <v>371</v>
      </c>
      <c r="L388" s="9">
        <v>4243463</v>
      </c>
      <c r="M388" s="4">
        <v>2004</v>
      </c>
      <c r="N388" s="6" t="s">
        <v>846</v>
      </c>
      <c r="O388" t="s">
        <v>944</v>
      </c>
      <c r="S388" t="s">
        <v>23</v>
      </c>
      <c r="U388" t="str">
        <f>IF(AND(ISNUMBER(L388),COUNTIF([2]Songs!$L:$L,L388)&gt;0),"YES","")</f>
        <v>YES</v>
      </c>
      <c r="V388" t="str">
        <f>IF(AND(ISNUMBER(L388),COUNTIF([3]Songs!$J:$J,L388)&gt;0),"YES","")</f>
        <v/>
      </c>
      <c r="W388" t="str">
        <f>IF(AND(ISNUMBER(L388),COUNTIF([1]Songs!$H:$H,L388)&gt;0),"YES","")</f>
        <v/>
      </c>
      <c r="X388" t="s">
        <v>851</v>
      </c>
      <c r="Y388">
        <v>179</v>
      </c>
      <c r="Z388" s="4"/>
      <c r="AA388" t="str">
        <f>I388
&amp;IF(H388=I388,""," "&amp;H388)
&amp;IF(OR(R388=I388,R388=H388),""," "&amp;R388)
&amp;IF(R388=S388,""," "&amp;S388)</f>
        <v xml:space="preserve">A </v>
      </c>
    </row>
    <row r="389" spans="1:27" x14ac:dyDescent="0.25">
      <c r="A389">
        <v>6</v>
      </c>
      <c r="C389" t="s">
        <v>851</v>
      </c>
      <c r="E389" t="s">
        <v>843</v>
      </c>
      <c r="F389" t="s">
        <v>844</v>
      </c>
      <c r="G389" t="s">
        <v>847</v>
      </c>
      <c r="H389" s="3" t="s">
        <v>25</v>
      </c>
      <c r="I389" s="3" t="s">
        <v>25</v>
      </c>
      <c r="J389" s="4">
        <v>108</v>
      </c>
      <c r="K389" s="5" t="s">
        <v>371</v>
      </c>
      <c r="L389" s="9">
        <v>2332149</v>
      </c>
      <c r="M389" s="4">
        <v>1994</v>
      </c>
      <c r="N389" s="6" t="s">
        <v>848</v>
      </c>
      <c r="O389" t="s">
        <v>945</v>
      </c>
      <c r="S389" t="s">
        <v>23</v>
      </c>
      <c r="U389" t="str">
        <f>IF(AND(ISNUMBER(L389),COUNTIF([2]Songs!$L:$L,L389)&gt;0),"YES","")</f>
        <v>YES</v>
      </c>
      <c r="V389" t="str">
        <f>IF(AND(ISNUMBER(L389),COUNTIF([3]Songs!$J:$J,L389)&gt;0),"YES","")</f>
        <v/>
      </c>
      <c r="W389" t="str">
        <f>IF(AND(ISNUMBER(L389),COUNTIF([1]Songs!$H:$H,L389)&gt;0),"YES","")</f>
        <v/>
      </c>
      <c r="X389" t="s">
        <v>851</v>
      </c>
      <c r="Y389">
        <v>180</v>
      </c>
      <c r="Z389" s="4"/>
      <c r="AA389" t="str">
        <f>I389
&amp;IF(H389=I389,""," "&amp;H389)
&amp;IF(OR(R389=I389,R389=H389),""," "&amp;R389)
&amp;IF(R389=S389,""," "&amp;S389)</f>
        <v xml:space="preserve">G </v>
      </c>
    </row>
    <row r="390" spans="1:27" x14ac:dyDescent="0.25">
      <c r="A390">
        <v>6</v>
      </c>
      <c r="C390" t="s">
        <v>851</v>
      </c>
      <c r="E390" t="s">
        <v>849</v>
      </c>
      <c r="G390" t="s">
        <v>850</v>
      </c>
      <c r="H390" s="3" t="s">
        <v>39</v>
      </c>
      <c r="I390" s="3" t="s">
        <v>39</v>
      </c>
      <c r="J390" s="4">
        <v>66</v>
      </c>
      <c r="K390" s="5" t="s">
        <v>371</v>
      </c>
      <c r="L390" s="9">
        <v>6214751</v>
      </c>
      <c r="M390" s="4">
        <v>2012</v>
      </c>
      <c r="N390" s="4" t="s">
        <v>444</v>
      </c>
      <c r="O390" t="s">
        <v>944</v>
      </c>
      <c r="S390" t="s">
        <v>23</v>
      </c>
      <c r="U390" t="str">
        <f>IF(AND(ISNUMBER(L390),COUNTIF([2]Songs!$L:$L,L390)&gt;0),"YES","")</f>
        <v>YES</v>
      </c>
      <c r="V390" t="str">
        <f>IF(AND(ISNUMBER(L390),COUNTIF([3]Songs!$J:$J,L390)&gt;0),"YES","")</f>
        <v/>
      </c>
      <c r="W390" t="str">
        <f>IF(AND(ISNUMBER(L390),COUNTIF([1]Songs!$H:$H,L390)&gt;0),"YES","")</f>
        <v/>
      </c>
      <c r="X390" t="s">
        <v>851</v>
      </c>
      <c r="Y390">
        <v>186</v>
      </c>
      <c r="Z390" s="4"/>
      <c r="AA390" t="str">
        <f>I390
&amp;IF(H390=I390,""," "&amp;H390)
&amp;IF(OR(R390=I390,R390=H390),""," "&amp;R390)
&amp;IF(R390=S390,""," "&amp;S390)</f>
        <v xml:space="preserve">D </v>
      </c>
    </row>
    <row r="391" spans="1:27" x14ac:dyDescent="0.25">
      <c r="A391">
        <v>7</v>
      </c>
      <c r="C391" t="s">
        <v>893</v>
      </c>
      <c r="E391" t="s">
        <v>887</v>
      </c>
      <c r="G391" t="s">
        <v>868</v>
      </c>
      <c r="H391" t="s">
        <v>52</v>
      </c>
      <c r="I391" t="s">
        <v>28</v>
      </c>
      <c r="J391">
        <v>100</v>
      </c>
      <c r="K391" t="s">
        <v>371</v>
      </c>
      <c r="L391" s="4">
        <v>31669</v>
      </c>
      <c r="M391" s="10">
        <v>1816</v>
      </c>
      <c r="N391" t="s">
        <v>401</v>
      </c>
      <c r="O391" t="s">
        <v>943</v>
      </c>
      <c r="U391" t="str">
        <f>IF(AND(ISNUMBER(L391),COUNTIF([2]Songs!$L:$L,L391)&gt;0),"YES","")</f>
        <v>YES</v>
      </c>
      <c r="V391" t="str">
        <f>IF(AND(ISNUMBER(L391),COUNTIF([3]Songs!$J:$J,L391)&gt;0),"YES","")</f>
        <v/>
      </c>
      <c r="W391" t="str">
        <f>IF(AND(ISNUMBER(L391),COUNTIF([1]Songs!$H:$H,L391)&gt;0),"YES","")</f>
        <v/>
      </c>
      <c r="X391" t="s">
        <v>893</v>
      </c>
      <c r="Y391">
        <v>1</v>
      </c>
      <c r="AA391" t="str">
        <f>I391
&amp;IF(H391=I391,""," "&amp;H391)
&amp;IF(OR(R391=I391,R391=H391),""," "&amp;R391)
&amp;IF(R391=S391,""," "&amp;S391)</f>
        <v xml:space="preserve">Bb A </v>
      </c>
    </row>
    <row r="392" spans="1:27" x14ac:dyDescent="0.25">
      <c r="A392">
        <v>7</v>
      </c>
      <c r="C392" t="s">
        <v>893</v>
      </c>
      <c r="E392" t="s">
        <v>888</v>
      </c>
      <c r="G392" t="s">
        <v>872</v>
      </c>
      <c r="H392" t="s">
        <v>785</v>
      </c>
      <c r="I392" t="s">
        <v>785</v>
      </c>
      <c r="J392">
        <v>120</v>
      </c>
      <c r="K392" t="s">
        <v>371</v>
      </c>
      <c r="L392" s="4">
        <v>39441</v>
      </c>
      <c r="M392" s="10">
        <v>1760</v>
      </c>
      <c r="N392" t="s">
        <v>401</v>
      </c>
      <c r="O392" t="s">
        <v>943</v>
      </c>
      <c r="U392" t="str">
        <f>IF(AND(ISNUMBER(L392),COUNTIF([2]Songs!$L:$L,L392)&gt;0),"YES","")</f>
        <v>YES</v>
      </c>
      <c r="V392" t="str">
        <f>IF(AND(ISNUMBER(L392),COUNTIF([3]Songs!$J:$J,L392)&gt;0),"YES","")</f>
        <v/>
      </c>
      <c r="W392" t="str">
        <f>IF(AND(ISNUMBER(L392),COUNTIF([1]Songs!$H:$H,L392)&gt;0),"YES","")</f>
        <v/>
      </c>
      <c r="X392" t="s">
        <v>893</v>
      </c>
      <c r="Y392">
        <v>6</v>
      </c>
      <c r="AA392" t="str">
        <f>I392
&amp;IF(H392=I392,""," "&amp;H392)
&amp;IF(OR(R392=I392,R392=H392),""," "&amp;R392)
&amp;IF(R392=S392,""," "&amp;S392)</f>
        <v xml:space="preserve">Em </v>
      </c>
    </row>
    <row r="393" spans="1:27" x14ac:dyDescent="0.25">
      <c r="A393">
        <v>7</v>
      </c>
      <c r="C393" t="s">
        <v>893</v>
      </c>
      <c r="E393" t="s">
        <v>889</v>
      </c>
      <c r="G393" t="s">
        <v>873</v>
      </c>
      <c r="H393" t="s">
        <v>176</v>
      </c>
      <c r="I393" t="s">
        <v>176</v>
      </c>
      <c r="J393">
        <v>96</v>
      </c>
      <c r="K393" t="s">
        <v>425</v>
      </c>
      <c r="L393" s="4">
        <v>85158</v>
      </c>
      <c r="M393" s="10">
        <v>1853</v>
      </c>
      <c r="N393" t="s">
        <v>401</v>
      </c>
      <c r="O393" t="s">
        <v>943</v>
      </c>
      <c r="U393" t="str">
        <f>IF(AND(ISNUMBER(L393),COUNTIF([2]Songs!$L:$L,L393)&gt;0),"YES","")</f>
        <v>YES</v>
      </c>
      <c r="V393" t="str">
        <f>IF(AND(ISNUMBER(L393),COUNTIF([3]Songs!$J:$J,L393)&gt;0),"YES","")</f>
        <v/>
      </c>
      <c r="W393" t="str">
        <f>IF(AND(ISNUMBER(L393),COUNTIF([1]Songs!$H:$H,L393)&gt;0),"YES","")</f>
        <v/>
      </c>
      <c r="X393" t="s">
        <v>893</v>
      </c>
      <c r="Y393">
        <v>7</v>
      </c>
      <c r="AA393" t="str">
        <f>I393
&amp;IF(H393=I393,""," "&amp;H393)
&amp;IF(OR(R393=I393,R393=H393),""," "&amp;R393)
&amp;IF(R393=S393,""," "&amp;S393)</f>
        <v xml:space="preserve">F </v>
      </c>
    </row>
    <row r="394" spans="1:27" x14ac:dyDescent="0.25">
      <c r="A394">
        <v>7</v>
      </c>
      <c r="C394" t="s">
        <v>893</v>
      </c>
      <c r="E394" t="s">
        <v>890</v>
      </c>
      <c r="G394" t="s">
        <v>876</v>
      </c>
      <c r="H394" t="s">
        <v>877</v>
      </c>
      <c r="I394" t="s">
        <v>877</v>
      </c>
      <c r="K394" t="s">
        <v>371</v>
      </c>
      <c r="L394" s="4">
        <v>839225</v>
      </c>
      <c r="M394" s="10">
        <v>1991</v>
      </c>
      <c r="N394" t="s">
        <v>878</v>
      </c>
      <c r="O394" t="s">
        <v>943</v>
      </c>
      <c r="U394" t="str">
        <f>IF(AND(ISNUMBER(L394),COUNTIF([2]Songs!$L:$L,L394)&gt;0),"YES","")</f>
        <v>YES</v>
      </c>
      <c r="V394" t="str">
        <f>IF(AND(ISNUMBER(L394),COUNTIF([3]Songs!$J:$J,L394)&gt;0),"YES","")</f>
        <v/>
      </c>
      <c r="W394" t="str">
        <f>IF(AND(ISNUMBER(L394),COUNTIF([1]Songs!$H:$H,L394)&gt;0),"YES","")</f>
        <v/>
      </c>
      <c r="X394" t="s">
        <v>893</v>
      </c>
      <c r="Y394">
        <v>11</v>
      </c>
      <c r="AA394" t="str">
        <f>I394
&amp;IF(H394=I394,""," "&amp;H394)
&amp;IF(OR(R394=I394,R394=H394),""," "&amp;R394)
&amp;IF(R394=S394,""," "&amp;S394)</f>
        <v xml:space="preserve">Cm </v>
      </c>
    </row>
    <row r="395" spans="1:27" x14ac:dyDescent="0.25">
      <c r="A395">
        <v>7</v>
      </c>
      <c r="C395" t="s">
        <v>893</v>
      </c>
      <c r="E395" t="s">
        <v>891</v>
      </c>
      <c r="G395" t="s">
        <v>884</v>
      </c>
      <c r="H395" t="s">
        <v>25</v>
      </c>
      <c r="I395" t="s">
        <v>25</v>
      </c>
      <c r="J395">
        <v>132</v>
      </c>
      <c r="K395" t="s">
        <v>425</v>
      </c>
      <c r="L395" s="4">
        <v>38002</v>
      </c>
      <c r="M395" s="10">
        <v>1857</v>
      </c>
      <c r="N395" t="s">
        <v>401</v>
      </c>
      <c r="O395" t="s">
        <v>943</v>
      </c>
      <c r="U395" t="str">
        <f>IF(AND(ISNUMBER(L395),COUNTIF([2]Songs!$L:$L,L395)&gt;0),"YES","")</f>
        <v>YES</v>
      </c>
      <c r="V395" t="str">
        <f>IF(AND(ISNUMBER(L395),COUNTIF([3]Songs!$J:$J,L395)&gt;0),"YES","")</f>
        <v/>
      </c>
      <c r="W395" t="str">
        <f>IF(AND(ISNUMBER(L395),COUNTIF([1]Songs!$H:$H,L395)&gt;0),"YES","")</f>
        <v/>
      </c>
      <c r="X395" t="s">
        <v>893</v>
      </c>
      <c r="Y395">
        <v>18</v>
      </c>
      <c r="AA395" t="str">
        <f>I395
&amp;IF(H395=I395,""," "&amp;H395)
&amp;IF(OR(R395=I395,R395=H395),""," "&amp;R395)
&amp;IF(R395=S395,""," "&amp;S395)</f>
        <v xml:space="preserve">G </v>
      </c>
    </row>
    <row r="396" spans="1:27" x14ac:dyDescent="0.25">
      <c r="A396">
        <v>7</v>
      </c>
      <c r="C396" t="s">
        <v>893</v>
      </c>
      <c r="E396" t="s">
        <v>892</v>
      </c>
      <c r="G396" t="s">
        <v>886</v>
      </c>
      <c r="H396" t="s">
        <v>47</v>
      </c>
      <c r="I396" t="s">
        <v>47</v>
      </c>
      <c r="J396">
        <v>90</v>
      </c>
      <c r="K396" t="s">
        <v>371</v>
      </c>
      <c r="L396" s="4">
        <v>32008</v>
      </c>
      <c r="M396" s="10">
        <v>1700</v>
      </c>
      <c r="N396" t="s">
        <v>401</v>
      </c>
      <c r="O396" t="s">
        <v>943</v>
      </c>
      <c r="U396" t="str">
        <f>IF(AND(ISNUMBER(L396),COUNTIF([2]Songs!$L:$L,L396)&gt;0),"YES","")</f>
        <v>YES</v>
      </c>
      <c r="V396" t="str">
        <f>IF(AND(ISNUMBER(L396),COUNTIF([3]Songs!$J:$J,L396)&gt;0),"YES","")</f>
        <v/>
      </c>
      <c r="W396" t="str">
        <f>IF(AND(ISNUMBER(L396),COUNTIF([1]Songs!$H:$H,L396)&gt;0),"YES","")</f>
        <v/>
      </c>
      <c r="X396" t="s">
        <v>893</v>
      </c>
      <c r="Y396">
        <v>20</v>
      </c>
      <c r="AA396" t="str">
        <f>I396
&amp;IF(H396=I396,""," "&amp;H396)
&amp;IF(OR(R396=I396,R396=H396),""," "&amp;R396)
&amp;IF(R396=S396,""," "&amp;S396)</f>
        <v xml:space="preserve">C </v>
      </c>
    </row>
    <row r="397" spans="1:27" x14ac:dyDescent="0.25">
      <c r="A397">
        <v>8</v>
      </c>
      <c r="C397" t="s">
        <v>642</v>
      </c>
      <c r="E397" t="s">
        <v>525</v>
      </c>
      <c r="G397" t="s">
        <v>379</v>
      </c>
      <c r="S397" t="s">
        <v>23</v>
      </c>
      <c r="U397" t="str">
        <f>IF(AND(ISNUMBER(L397),COUNTIF([2]Songs!$L:$L,L397)&gt;0),"YES","")</f>
        <v/>
      </c>
      <c r="V397" t="str">
        <f>IF(AND(ISNUMBER(L397),COUNTIF([3]Songs!$J:$J,L397)&gt;0),"YES","")</f>
        <v/>
      </c>
      <c r="W397" t="str">
        <f>IF(AND(ISNUMBER(L397),COUNTIF([1]Songs!$H:$H,L397)&gt;0),"YES","")</f>
        <v/>
      </c>
      <c r="X397" t="s">
        <v>526</v>
      </c>
      <c r="Y397">
        <v>63</v>
      </c>
      <c r="AA397" t="str">
        <f>I397
&amp;IF(H397=I397,""," "&amp;H397)
&amp;IF(OR(R397=I397,R397=H397),""," "&amp;R397)
&amp;IF(R397=S397,""," "&amp;S397)</f>
        <v/>
      </c>
    </row>
    <row r="398" spans="1:27" x14ac:dyDescent="0.25">
      <c r="A398">
        <v>8</v>
      </c>
      <c r="C398" t="s">
        <v>642</v>
      </c>
      <c r="E398" t="s">
        <v>527</v>
      </c>
      <c r="G398" t="s">
        <v>528</v>
      </c>
      <c r="M398" s="4">
        <v>1990</v>
      </c>
      <c r="S398" t="s">
        <v>23</v>
      </c>
      <c r="U398" t="str">
        <f>IF(AND(ISNUMBER(L398),COUNTIF([2]Songs!$L:$L,L398)&gt;0),"YES","")</f>
        <v/>
      </c>
      <c r="V398" t="str">
        <f>IF(AND(ISNUMBER(L398),COUNTIF([3]Songs!$J:$J,L398)&gt;0),"YES","")</f>
        <v/>
      </c>
      <c r="W398" t="str">
        <f>IF(AND(ISNUMBER(L398),COUNTIF([1]Songs!$H:$H,L398)&gt;0),"YES","")</f>
        <v/>
      </c>
      <c r="X398" t="s">
        <v>529</v>
      </c>
      <c r="Y398">
        <v>78</v>
      </c>
      <c r="AA398" t="str">
        <f>I398
&amp;IF(H398=I398,""," "&amp;H398)
&amp;IF(OR(R398=I398,R398=H398),""," "&amp;R398)
&amp;IF(R398=S398,""," "&amp;S398)</f>
        <v/>
      </c>
    </row>
    <row r="399" spans="1:27" x14ac:dyDescent="0.25">
      <c r="A399">
        <v>8</v>
      </c>
      <c r="C399" t="s">
        <v>642</v>
      </c>
      <c r="E399" t="s">
        <v>530</v>
      </c>
      <c r="G399" t="s">
        <v>531</v>
      </c>
      <c r="M399" s="4">
        <v>1998</v>
      </c>
      <c r="S399" t="s">
        <v>23</v>
      </c>
      <c r="U399" t="str">
        <f>IF(AND(ISNUMBER(L399),COUNTIF([2]Songs!$L:$L,L399)&gt;0),"YES","")</f>
        <v/>
      </c>
      <c r="V399" t="str">
        <f>IF(AND(ISNUMBER(L399),COUNTIF([3]Songs!$J:$J,L399)&gt;0),"YES","")</f>
        <v/>
      </c>
      <c r="W399" t="str">
        <f>IF(AND(ISNUMBER(L399),COUNTIF([1]Songs!$H:$H,L399)&gt;0),"YES","")</f>
        <v/>
      </c>
      <c r="X399" t="s">
        <v>529</v>
      </c>
      <c r="Y399">
        <v>95</v>
      </c>
      <c r="AA399" t="str">
        <f>I399
&amp;IF(H399=I399,""," "&amp;H399)
&amp;IF(OR(R399=I399,R399=H399),""," "&amp;R399)
&amp;IF(R399=S399,""," "&amp;S399)</f>
        <v/>
      </c>
    </row>
    <row r="400" spans="1:27" x14ac:dyDescent="0.25">
      <c r="A400">
        <v>8</v>
      </c>
      <c r="C400" t="s">
        <v>642</v>
      </c>
      <c r="E400" t="s">
        <v>532</v>
      </c>
      <c r="G400" t="s">
        <v>533</v>
      </c>
      <c r="S400" t="s">
        <v>23</v>
      </c>
      <c r="U400" t="str">
        <f>IF(AND(ISNUMBER(L400),COUNTIF([2]Songs!$L:$L,L400)&gt;0),"YES","")</f>
        <v/>
      </c>
      <c r="V400" t="str">
        <f>IF(AND(ISNUMBER(L400),COUNTIF([3]Songs!$J:$J,L400)&gt;0),"YES","")</f>
        <v/>
      </c>
      <c r="W400" t="str">
        <f>IF(AND(ISNUMBER(L400),COUNTIF([1]Songs!$H:$H,L400)&gt;0),"YES","")</f>
        <v/>
      </c>
      <c r="X400" t="s">
        <v>526</v>
      </c>
      <c r="Y400">
        <v>16</v>
      </c>
      <c r="AA400" t="str">
        <f>I400
&amp;IF(H400=I400,""," "&amp;H400)
&amp;IF(OR(R400=I400,R400=H400),""," "&amp;R400)
&amp;IF(R400=S400,""," "&amp;S400)</f>
        <v/>
      </c>
    </row>
    <row r="401" spans="1:27" x14ac:dyDescent="0.25">
      <c r="A401">
        <v>8</v>
      </c>
      <c r="C401" t="s">
        <v>642</v>
      </c>
      <c r="E401" t="s">
        <v>534</v>
      </c>
      <c r="G401" t="s">
        <v>535</v>
      </c>
      <c r="S401" t="s">
        <v>23</v>
      </c>
      <c r="U401" t="str">
        <f>IF(AND(ISNUMBER(L401),COUNTIF([2]Songs!$L:$L,L401)&gt;0),"YES","")</f>
        <v/>
      </c>
      <c r="V401" t="str">
        <f>IF(AND(ISNUMBER(L401),COUNTIF([3]Songs!$J:$J,L401)&gt;0),"YES","")</f>
        <v/>
      </c>
      <c r="W401" t="str">
        <f>IF(AND(ISNUMBER(L401),COUNTIF([1]Songs!$H:$H,L401)&gt;0),"YES","")</f>
        <v/>
      </c>
      <c r="X401" t="s">
        <v>526</v>
      </c>
      <c r="Y401">
        <v>90</v>
      </c>
      <c r="AA401" t="str">
        <f>I401
&amp;IF(H401=I401,""," "&amp;H401)
&amp;IF(OR(R401=I401,R401=H401),""," "&amp;R401)
&amp;IF(R401=S401,""," "&amp;S401)</f>
        <v/>
      </c>
    </row>
    <row r="402" spans="1:27" x14ac:dyDescent="0.25">
      <c r="A402">
        <v>8</v>
      </c>
      <c r="C402" t="s">
        <v>642</v>
      </c>
      <c r="E402" t="s">
        <v>536</v>
      </c>
      <c r="G402" t="s">
        <v>537</v>
      </c>
      <c r="M402" s="4">
        <v>1998</v>
      </c>
      <c r="S402" t="s">
        <v>23</v>
      </c>
      <c r="U402" t="str">
        <f>IF(AND(ISNUMBER(L402),COUNTIF([2]Songs!$L:$L,L402)&gt;0),"YES","")</f>
        <v/>
      </c>
      <c r="V402" t="str">
        <f>IF(AND(ISNUMBER(L402),COUNTIF([3]Songs!$J:$J,L402)&gt;0),"YES","")</f>
        <v/>
      </c>
      <c r="W402" t="str">
        <f>IF(AND(ISNUMBER(L402),COUNTIF([1]Songs!$H:$H,L402)&gt;0),"YES","")</f>
        <v/>
      </c>
      <c r="X402" t="s">
        <v>529</v>
      </c>
      <c r="Y402">
        <v>90</v>
      </c>
      <c r="AA402" t="str">
        <f>I402
&amp;IF(H402=I402,""," "&amp;H402)
&amp;IF(OR(R402=I402,R402=H402),""," "&amp;R402)
&amp;IF(R402=S402,""," "&amp;S402)</f>
        <v/>
      </c>
    </row>
    <row r="403" spans="1:27" x14ac:dyDescent="0.25">
      <c r="A403">
        <v>8</v>
      </c>
      <c r="C403" t="s">
        <v>642</v>
      </c>
      <c r="E403" t="s">
        <v>538</v>
      </c>
      <c r="G403" t="s">
        <v>175</v>
      </c>
      <c r="S403" t="s">
        <v>23</v>
      </c>
      <c r="U403" t="str">
        <f>IF(AND(ISNUMBER(L403),COUNTIF([2]Songs!$L:$L,L403)&gt;0),"YES","")</f>
        <v/>
      </c>
      <c r="V403" t="str">
        <f>IF(AND(ISNUMBER(L403),COUNTIF([3]Songs!$J:$J,L403)&gt;0),"YES","")</f>
        <v/>
      </c>
      <c r="W403" t="str">
        <f>IF(AND(ISNUMBER(L403),COUNTIF([1]Songs!$H:$H,L403)&gt;0),"YES","")</f>
        <v/>
      </c>
      <c r="X403" t="s">
        <v>526</v>
      </c>
      <c r="Y403">
        <v>69</v>
      </c>
      <c r="AA403" t="str">
        <f>I403
&amp;IF(H403=I403,""," "&amp;H403)
&amp;IF(OR(R403=I403,R403=H403),""," "&amp;R403)
&amp;IF(R403=S403,""," "&amp;S403)</f>
        <v/>
      </c>
    </row>
    <row r="404" spans="1:27" x14ac:dyDescent="0.25">
      <c r="A404">
        <v>8</v>
      </c>
      <c r="C404" t="s">
        <v>642</v>
      </c>
      <c r="E404" t="s">
        <v>109</v>
      </c>
      <c r="F404" t="s">
        <v>633</v>
      </c>
      <c r="G404" t="s">
        <v>539</v>
      </c>
      <c r="S404" t="s">
        <v>23</v>
      </c>
      <c r="U404" t="str">
        <f>IF(AND(ISNUMBER(L404),COUNTIF([2]Songs!$L:$L,L404)&gt;0),"YES","")</f>
        <v/>
      </c>
      <c r="V404" t="str">
        <f>IF(AND(ISNUMBER(L404),COUNTIF([3]Songs!$J:$J,L404)&gt;0),"YES","")</f>
        <v/>
      </c>
      <c r="W404" t="str">
        <f>IF(AND(ISNUMBER(L404),COUNTIF([1]Songs!$H:$H,L404)&gt;0),"YES","")</f>
        <v/>
      </c>
      <c r="X404" t="s">
        <v>540</v>
      </c>
      <c r="Y404">
        <v>80</v>
      </c>
      <c r="AA404" t="str">
        <f>I404
&amp;IF(H404=I404,""," "&amp;H404)
&amp;IF(OR(R404=I404,R404=H404),""," "&amp;R404)
&amp;IF(R404=S404,""," "&amp;S404)</f>
        <v/>
      </c>
    </row>
    <row r="405" spans="1:27" x14ac:dyDescent="0.25">
      <c r="A405">
        <v>8</v>
      </c>
      <c r="C405" t="s">
        <v>642</v>
      </c>
      <c r="E405" t="s">
        <v>541</v>
      </c>
      <c r="G405" t="s">
        <v>542</v>
      </c>
      <c r="S405" t="s">
        <v>23</v>
      </c>
      <c r="U405" t="str">
        <f>IF(AND(ISNUMBER(L405),COUNTIF([2]Songs!$L:$L,L405)&gt;0),"YES","")</f>
        <v/>
      </c>
      <c r="V405" t="str">
        <f>IF(AND(ISNUMBER(L405),COUNTIF([3]Songs!$J:$J,L405)&gt;0),"YES","")</f>
        <v/>
      </c>
      <c r="W405" t="str">
        <f>IF(AND(ISNUMBER(L405),COUNTIF([1]Songs!$H:$H,L405)&gt;0),"YES","")</f>
        <v/>
      </c>
      <c r="X405" t="s">
        <v>526</v>
      </c>
      <c r="Y405">
        <v>85</v>
      </c>
      <c r="AA405" t="str">
        <f>I405
&amp;IF(H405=I405,""," "&amp;H405)
&amp;IF(OR(R405=I405,R405=H405),""," "&amp;R405)
&amp;IF(R405=S405,""," "&amp;S405)</f>
        <v/>
      </c>
    </row>
    <row r="406" spans="1:27" x14ac:dyDescent="0.25">
      <c r="A406">
        <v>8</v>
      </c>
      <c r="C406" t="s">
        <v>642</v>
      </c>
      <c r="E406" t="s">
        <v>543</v>
      </c>
      <c r="G406" t="s">
        <v>544</v>
      </c>
      <c r="S406" t="s">
        <v>23</v>
      </c>
      <c r="U406" t="str">
        <f>IF(AND(ISNUMBER(L406),COUNTIF([2]Songs!$L:$L,L406)&gt;0),"YES","")</f>
        <v/>
      </c>
      <c r="V406" t="str">
        <f>IF(AND(ISNUMBER(L406),COUNTIF([3]Songs!$J:$J,L406)&gt;0),"YES","")</f>
        <v/>
      </c>
      <c r="W406" t="str">
        <f>IF(AND(ISNUMBER(L406),COUNTIF([1]Songs!$H:$H,L406)&gt;0),"YES","")</f>
        <v/>
      </c>
      <c r="X406" t="s">
        <v>540</v>
      </c>
      <c r="Y406">
        <v>87</v>
      </c>
      <c r="AA406" t="str">
        <f>I406
&amp;IF(H406=I406,""," "&amp;H406)
&amp;IF(OR(R406=I406,R406=H406),""," "&amp;R406)
&amp;IF(R406=S406,""," "&amp;S406)</f>
        <v/>
      </c>
    </row>
    <row r="407" spans="1:27" x14ac:dyDescent="0.25">
      <c r="A407">
        <v>8</v>
      </c>
      <c r="C407" t="s">
        <v>642</v>
      </c>
      <c r="E407" t="s">
        <v>545</v>
      </c>
      <c r="G407" t="s">
        <v>542</v>
      </c>
      <c r="S407" t="s">
        <v>23</v>
      </c>
      <c r="U407" t="str">
        <f>IF(AND(ISNUMBER(L407),COUNTIF([2]Songs!$L:$L,L407)&gt;0),"YES","")</f>
        <v/>
      </c>
      <c r="V407" t="str">
        <f>IF(AND(ISNUMBER(L407),COUNTIF([3]Songs!$J:$J,L407)&gt;0),"YES","")</f>
        <v/>
      </c>
      <c r="W407" t="str">
        <f>IF(AND(ISNUMBER(L407),COUNTIF([1]Songs!$H:$H,L407)&gt;0),"YES","")</f>
        <v/>
      </c>
      <c r="X407" t="s">
        <v>526</v>
      </c>
      <c r="Y407">
        <v>24</v>
      </c>
      <c r="AA407" t="str">
        <f>I407
&amp;IF(H407=I407,""," "&amp;H407)
&amp;IF(OR(R407=I407,R407=H407),""," "&amp;R407)
&amp;IF(R407=S407,""," "&amp;S407)</f>
        <v/>
      </c>
    </row>
    <row r="408" spans="1:27" x14ac:dyDescent="0.25">
      <c r="A408">
        <v>8</v>
      </c>
      <c r="C408" t="s">
        <v>642</v>
      </c>
      <c r="E408" t="s">
        <v>546</v>
      </c>
      <c r="P408" s="24" t="s">
        <v>547</v>
      </c>
      <c r="S408" t="s">
        <v>23</v>
      </c>
      <c r="U408" t="str">
        <f>IF(AND(ISNUMBER(L408),COUNTIF([2]Songs!$L:$L,L408)&gt;0),"YES","")</f>
        <v/>
      </c>
      <c r="V408" t="str">
        <f>IF(AND(ISNUMBER(L408),COUNTIF([3]Songs!$J:$J,L408)&gt;0),"YES","")</f>
        <v/>
      </c>
      <c r="W408" t="str">
        <f>IF(AND(ISNUMBER(L408),COUNTIF([1]Songs!$H:$H,L408)&gt;0),"YES","")</f>
        <v/>
      </c>
      <c r="X408" t="s">
        <v>548</v>
      </c>
      <c r="Y408">
        <v>41</v>
      </c>
      <c r="AA408" t="str">
        <f>I408
&amp;IF(H408=I408,""," "&amp;H408)
&amp;IF(OR(R408=I408,R408=H408),""," "&amp;R408)
&amp;IF(R408=S408,""," "&amp;S408)</f>
        <v/>
      </c>
    </row>
    <row r="409" spans="1:27" x14ac:dyDescent="0.25">
      <c r="A409">
        <v>8</v>
      </c>
      <c r="C409" t="s">
        <v>642</v>
      </c>
      <c r="E409" t="s">
        <v>549</v>
      </c>
      <c r="G409" t="s">
        <v>49</v>
      </c>
      <c r="S409" t="s">
        <v>23</v>
      </c>
      <c r="U409" t="str">
        <f>IF(AND(ISNUMBER(L409),COUNTIF([2]Songs!$L:$L,L409)&gt;0),"YES","")</f>
        <v/>
      </c>
      <c r="V409" t="str">
        <f>IF(AND(ISNUMBER(L409),COUNTIF([3]Songs!$J:$J,L409)&gt;0),"YES","")</f>
        <v/>
      </c>
      <c r="W409" t="str">
        <f>IF(AND(ISNUMBER(L409),COUNTIF([1]Songs!$H:$H,L409)&gt;0),"YES","")</f>
        <v/>
      </c>
      <c r="X409" t="s">
        <v>526</v>
      </c>
      <c r="Y409">
        <v>98</v>
      </c>
      <c r="AA409" t="str">
        <f>I409
&amp;IF(H409=I409,""," "&amp;H409)
&amp;IF(OR(R409=I409,R409=H409),""," "&amp;R409)
&amp;IF(R409=S409,""," "&amp;S409)</f>
        <v/>
      </c>
    </row>
    <row r="410" spans="1:27" x14ac:dyDescent="0.25">
      <c r="A410">
        <v>8</v>
      </c>
      <c r="C410" t="s">
        <v>642</v>
      </c>
      <c r="E410" t="s">
        <v>550</v>
      </c>
      <c r="G410" t="s">
        <v>551</v>
      </c>
      <c r="M410" s="4">
        <v>1989</v>
      </c>
      <c r="S410" t="s">
        <v>23</v>
      </c>
      <c r="U410" t="str">
        <f>IF(AND(ISNUMBER(L410),COUNTIF([2]Songs!$L:$L,L410)&gt;0),"YES","")</f>
        <v/>
      </c>
      <c r="V410" t="str">
        <f>IF(AND(ISNUMBER(L410),COUNTIF([3]Songs!$J:$J,L410)&gt;0),"YES","")</f>
        <v/>
      </c>
      <c r="W410" t="str">
        <f>IF(AND(ISNUMBER(L410),COUNTIF([1]Songs!$H:$H,L410)&gt;0),"YES","")</f>
        <v/>
      </c>
      <c r="X410" t="s">
        <v>529</v>
      </c>
      <c r="Y410">
        <v>68</v>
      </c>
      <c r="AA410" t="str">
        <f>I410
&amp;IF(H410=I410,""," "&amp;H410)
&amp;IF(OR(R410=I410,R410=H410),""," "&amp;R410)
&amp;IF(R410=S410,""," "&amp;S410)</f>
        <v/>
      </c>
    </row>
    <row r="411" spans="1:27" x14ac:dyDescent="0.25">
      <c r="A411">
        <v>8</v>
      </c>
      <c r="C411" t="s">
        <v>642</v>
      </c>
      <c r="E411" t="s">
        <v>552</v>
      </c>
      <c r="P411" s="24" t="s">
        <v>553</v>
      </c>
      <c r="S411" t="s">
        <v>23</v>
      </c>
      <c r="U411" t="str">
        <f>IF(AND(ISNUMBER(L411),COUNTIF([2]Songs!$L:$L,L411)&gt;0),"YES","")</f>
        <v/>
      </c>
      <c r="V411" t="str">
        <f>IF(AND(ISNUMBER(L411),COUNTIF([3]Songs!$J:$J,L411)&gt;0),"YES","")</f>
        <v/>
      </c>
      <c r="W411" t="str">
        <f>IF(AND(ISNUMBER(L411),COUNTIF([1]Songs!$H:$H,L411)&gt;0),"YES","")</f>
        <v/>
      </c>
      <c r="X411" t="s">
        <v>548</v>
      </c>
      <c r="Y411">
        <v>85</v>
      </c>
      <c r="AA411" t="str">
        <f>I411
&amp;IF(H411=I411,""," "&amp;H411)
&amp;IF(OR(R411=I411,R411=H411),""," "&amp;R411)
&amp;IF(R411=S411,""," "&amp;S411)</f>
        <v/>
      </c>
    </row>
    <row r="412" spans="1:27" x14ac:dyDescent="0.25">
      <c r="A412">
        <v>8</v>
      </c>
      <c r="C412" t="s">
        <v>642</v>
      </c>
      <c r="E412" t="s">
        <v>634</v>
      </c>
      <c r="F412" t="s">
        <v>635</v>
      </c>
      <c r="G412" t="s">
        <v>554</v>
      </c>
      <c r="M412" s="4">
        <v>2017</v>
      </c>
      <c r="S412" t="s">
        <v>23</v>
      </c>
      <c r="U412" t="str">
        <f>IF(AND(ISNUMBER(L412),COUNTIF([2]Songs!$L:$L,L412)&gt;0),"YES","")</f>
        <v/>
      </c>
      <c r="V412" t="str">
        <f>IF(AND(ISNUMBER(L412),COUNTIF([3]Songs!$J:$J,L412)&gt;0),"YES","")</f>
        <v/>
      </c>
      <c r="W412" t="str">
        <f>IF(AND(ISNUMBER(L412),COUNTIF([1]Songs!$H:$H,L412)&gt;0),"YES","")</f>
        <v/>
      </c>
      <c r="X412" t="s">
        <v>529</v>
      </c>
      <c r="Y412">
        <v>100</v>
      </c>
      <c r="AA412" t="str">
        <f>I412
&amp;IF(H412=I412,""," "&amp;H412)
&amp;IF(OR(R412=I412,R412=H412),""," "&amp;R412)
&amp;IF(R412=S412,""," "&amp;S412)</f>
        <v/>
      </c>
    </row>
    <row r="413" spans="1:27" x14ac:dyDescent="0.25">
      <c r="A413">
        <v>8</v>
      </c>
      <c r="C413" t="s">
        <v>642</v>
      </c>
      <c r="E413" t="s">
        <v>555</v>
      </c>
      <c r="G413" t="s">
        <v>556</v>
      </c>
      <c r="S413" t="s">
        <v>23</v>
      </c>
      <c r="U413" t="str">
        <f>IF(AND(ISNUMBER(L413),COUNTIF([2]Songs!$L:$L,L413)&gt;0),"YES","")</f>
        <v/>
      </c>
      <c r="V413" t="str">
        <f>IF(AND(ISNUMBER(L413),COUNTIF([3]Songs!$J:$J,L413)&gt;0),"YES","")</f>
        <v/>
      </c>
      <c r="W413" t="str">
        <f>IF(AND(ISNUMBER(L413),COUNTIF([1]Songs!$H:$H,L413)&gt;0),"YES","")</f>
        <v/>
      </c>
      <c r="X413" t="s">
        <v>540</v>
      </c>
      <c r="Y413">
        <v>78</v>
      </c>
      <c r="AA413" t="str">
        <f>I413
&amp;IF(H413=I413,""," "&amp;H413)
&amp;IF(OR(R413=I413,R413=H413),""," "&amp;R413)
&amp;IF(R413=S413,""," "&amp;S413)</f>
        <v/>
      </c>
    </row>
    <row r="414" spans="1:27" x14ac:dyDescent="0.25">
      <c r="A414">
        <v>8</v>
      </c>
      <c r="C414" t="s">
        <v>642</v>
      </c>
      <c r="E414" t="s">
        <v>557</v>
      </c>
      <c r="G414" t="s">
        <v>558</v>
      </c>
      <c r="S414" t="s">
        <v>23</v>
      </c>
      <c r="U414" t="str">
        <f>IF(AND(ISNUMBER(L414),COUNTIF([2]Songs!$L:$L,L414)&gt;0),"YES","")</f>
        <v/>
      </c>
      <c r="V414" t="str">
        <f>IF(AND(ISNUMBER(L414),COUNTIF([3]Songs!$J:$J,L414)&gt;0),"YES","")</f>
        <v/>
      </c>
      <c r="W414" t="str">
        <f>IF(AND(ISNUMBER(L414),COUNTIF([1]Songs!$H:$H,L414)&gt;0),"YES","")</f>
        <v/>
      </c>
      <c r="X414" t="s">
        <v>540</v>
      </c>
      <c r="Y414">
        <v>88</v>
      </c>
      <c r="AA414" t="str">
        <f>I414
&amp;IF(H414=I414,""," "&amp;H414)
&amp;IF(OR(R414=I414,R414=H414),""," "&amp;R414)
&amp;IF(R414=S414,""," "&amp;S414)</f>
        <v/>
      </c>
    </row>
    <row r="415" spans="1:27" x14ac:dyDescent="0.25">
      <c r="A415">
        <v>8</v>
      </c>
      <c r="C415" t="s">
        <v>642</v>
      </c>
      <c r="E415" t="s">
        <v>559</v>
      </c>
      <c r="G415" t="s">
        <v>560</v>
      </c>
      <c r="M415" s="4">
        <v>2018</v>
      </c>
      <c r="S415" t="s">
        <v>23</v>
      </c>
      <c r="U415" t="str">
        <f>IF(AND(ISNUMBER(L415),COUNTIF([2]Songs!$L:$L,L415)&gt;0),"YES","")</f>
        <v/>
      </c>
      <c r="V415" t="str">
        <f>IF(AND(ISNUMBER(L415),COUNTIF([3]Songs!$J:$J,L415)&gt;0),"YES","")</f>
        <v/>
      </c>
      <c r="W415" t="str">
        <f>IF(AND(ISNUMBER(L415),COUNTIF([1]Songs!$H:$H,L415)&gt;0),"YES","")</f>
        <v/>
      </c>
      <c r="X415" t="s">
        <v>529</v>
      </c>
      <c r="Y415">
        <v>67</v>
      </c>
      <c r="AA415" t="str">
        <f>I415
&amp;IF(H415=I415,""," "&amp;H415)
&amp;IF(OR(R415=I415,R415=H415),""," "&amp;R415)
&amp;IF(R415=S415,""," "&amp;S415)</f>
        <v/>
      </c>
    </row>
    <row r="416" spans="1:27" x14ac:dyDescent="0.25">
      <c r="A416">
        <v>8</v>
      </c>
      <c r="C416" t="s">
        <v>642</v>
      </c>
      <c r="E416" t="s">
        <v>561</v>
      </c>
      <c r="G416" t="s">
        <v>414</v>
      </c>
      <c r="S416" t="s">
        <v>23</v>
      </c>
      <c r="U416" t="str">
        <f>IF(AND(ISNUMBER(L416),COUNTIF([2]Songs!$L:$L,L416)&gt;0),"YES","")</f>
        <v/>
      </c>
      <c r="V416" t="str">
        <f>IF(AND(ISNUMBER(L416),COUNTIF([3]Songs!$J:$J,L416)&gt;0),"YES","")</f>
        <v/>
      </c>
      <c r="W416" t="str">
        <f>IF(AND(ISNUMBER(L416),COUNTIF([1]Songs!$H:$H,L416)&gt;0),"YES","")</f>
        <v/>
      </c>
      <c r="X416" t="s">
        <v>540</v>
      </c>
      <c r="Y416">
        <v>64</v>
      </c>
      <c r="AA416" t="str">
        <f>I416
&amp;IF(H416=I416,""," "&amp;H416)
&amp;IF(OR(R416=I416,R416=H416),""," "&amp;R416)
&amp;IF(R416=S416,""," "&amp;S416)</f>
        <v/>
      </c>
    </row>
    <row r="417" spans="1:27" x14ac:dyDescent="0.25">
      <c r="A417">
        <v>8</v>
      </c>
      <c r="C417" t="s">
        <v>642</v>
      </c>
      <c r="E417" t="s">
        <v>562</v>
      </c>
      <c r="G417" t="s">
        <v>563</v>
      </c>
      <c r="S417" t="s">
        <v>23</v>
      </c>
      <c r="U417" t="str">
        <f>IF(AND(ISNUMBER(L417),COUNTIF([2]Songs!$L:$L,L417)&gt;0),"YES","")</f>
        <v/>
      </c>
      <c r="V417" t="str">
        <f>IF(AND(ISNUMBER(L417),COUNTIF([3]Songs!$J:$J,L417)&gt;0),"YES","")</f>
        <v/>
      </c>
      <c r="W417" t="str">
        <f>IF(AND(ISNUMBER(L417),COUNTIF([1]Songs!$H:$H,L417)&gt;0),"YES","")</f>
        <v/>
      </c>
      <c r="X417" t="s">
        <v>526</v>
      </c>
      <c r="Y417">
        <v>34</v>
      </c>
      <c r="AA417" t="str">
        <f>I417
&amp;IF(H417=I417,""," "&amp;H417)
&amp;IF(OR(R417=I417,R417=H417),""," "&amp;R417)
&amp;IF(R417=S417,""," "&amp;S417)</f>
        <v/>
      </c>
    </row>
    <row r="418" spans="1:27" x14ac:dyDescent="0.25">
      <c r="A418">
        <v>8</v>
      </c>
      <c r="C418" t="s">
        <v>642</v>
      </c>
      <c r="E418" t="s">
        <v>564</v>
      </c>
      <c r="G418" t="s">
        <v>565</v>
      </c>
      <c r="S418" t="s">
        <v>23</v>
      </c>
      <c r="U418" t="str">
        <f>IF(AND(ISNUMBER(L418),COUNTIF([2]Songs!$L:$L,L418)&gt;0),"YES","")</f>
        <v/>
      </c>
      <c r="V418" t="str">
        <f>IF(AND(ISNUMBER(L418),COUNTIF([3]Songs!$J:$J,L418)&gt;0),"YES","")</f>
        <v/>
      </c>
      <c r="W418" t="str">
        <f>IF(AND(ISNUMBER(L418),COUNTIF([1]Songs!$H:$H,L418)&gt;0),"YES","")</f>
        <v/>
      </c>
      <c r="X418" t="s">
        <v>526</v>
      </c>
      <c r="Y418">
        <v>100</v>
      </c>
      <c r="AA418" t="str">
        <f>I418
&amp;IF(H418=I418,""," "&amp;H418)
&amp;IF(OR(R418=I418,R418=H418),""," "&amp;R418)
&amp;IF(R418=S418,""," "&amp;S418)</f>
        <v/>
      </c>
    </row>
    <row r="419" spans="1:27" x14ac:dyDescent="0.25">
      <c r="A419">
        <v>8</v>
      </c>
      <c r="C419" t="s">
        <v>642</v>
      </c>
      <c r="E419" t="s">
        <v>114</v>
      </c>
      <c r="G419" t="s">
        <v>566</v>
      </c>
      <c r="S419" t="s">
        <v>23</v>
      </c>
      <c r="U419" t="str">
        <f>IF(AND(ISNUMBER(L419),COUNTIF([2]Songs!$L:$L,L419)&gt;0),"YES","")</f>
        <v/>
      </c>
      <c r="V419" t="str">
        <f>IF(AND(ISNUMBER(L419),COUNTIF([3]Songs!$J:$J,L419)&gt;0),"YES","")</f>
        <v/>
      </c>
      <c r="W419" t="str">
        <f>IF(AND(ISNUMBER(L419),COUNTIF([1]Songs!$H:$H,L419)&gt;0),"YES","")</f>
        <v/>
      </c>
      <c r="X419" t="s">
        <v>526</v>
      </c>
      <c r="Y419">
        <v>91</v>
      </c>
      <c r="AA419" t="str">
        <f>I419
&amp;IF(H419=I419,""," "&amp;H419)
&amp;IF(OR(R419=I419,R419=H419),""," "&amp;R419)
&amp;IF(R419=S419,""," "&amp;S419)</f>
        <v/>
      </c>
    </row>
    <row r="420" spans="1:27" x14ac:dyDescent="0.25">
      <c r="A420">
        <v>8</v>
      </c>
      <c r="C420" t="s">
        <v>642</v>
      </c>
      <c r="E420" t="s">
        <v>297</v>
      </c>
      <c r="G420" t="s">
        <v>567</v>
      </c>
      <c r="M420" s="4">
        <v>2018</v>
      </c>
      <c r="S420" t="s">
        <v>23</v>
      </c>
      <c r="U420" t="str">
        <f>IF(AND(ISNUMBER(L420),COUNTIF([2]Songs!$L:$L,L420)&gt;0),"YES","")</f>
        <v/>
      </c>
      <c r="V420" t="str">
        <f>IF(AND(ISNUMBER(L420),COUNTIF([3]Songs!$J:$J,L420)&gt;0),"YES","")</f>
        <v/>
      </c>
      <c r="W420" t="str">
        <f>IF(AND(ISNUMBER(L420),COUNTIF([1]Songs!$H:$H,L420)&gt;0),"YES","")</f>
        <v/>
      </c>
      <c r="X420" t="s">
        <v>529</v>
      </c>
      <c r="Y420">
        <v>28</v>
      </c>
      <c r="AA420" t="str">
        <f>I420
&amp;IF(H420=I420,""," "&amp;H420)
&amp;IF(OR(R420=I420,R420=H420),""," "&amp;R420)
&amp;IF(R420=S420,""," "&amp;S420)</f>
        <v/>
      </c>
    </row>
    <row r="421" spans="1:27" x14ac:dyDescent="0.25">
      <c r="A421">
        <v>8</v>
      </c>
      <c r="C421" t="s">
        <v>642</v>
      </c>
      <c r="E421" t="s">
        <v>568</v>
      </c>
      <c r="P421" s="24" t="s">
        <v>46</v>
      </c>
      <c r="S421" t="s">
        <v>23</v>
      </c>
      <c r="U421" t="str">
        <f>IF(AND(ISNUMBER(L421),COUNTIF([2]Songs!$L:$L,L421)&gt;0),"YES","")</f>
        <v/>
      </c>
      <c r="V421" t="str">
        <f>IF(AND(ISNUMBER(L421),COUNTIF([3]Songs!$J:$J,L421)&gt;0),"YES","")</f>
        <v/>
      </c>
      <c r="W421" t="str">
        <f>IF(AND(ISNUMBER(L421),COUNTIF([1]Songs!$H:$H,L421)&gt;0),"YES","")</f>
        <v/>
      </c>
      <c r="X421" t="s">
        <v>548</v>
      </c>
      <c r="Y421">
        <v>70</v>
      </c>
      <c r="AA421" t="str">
        <f>I421
&amp;IF(H421=I421,""," "&amp;H421)
&amp;IF(OR(R421=I421,R421=H421),""," "&amp;R421)
&amp;IF(R421=S421,""," "&amp;S421)</f>
        <v/>
      </c>
    </row>
    <row r="422" spans="1:27" x14ac:dyDescent="0.25">
      <c r="A422">
        <v>8</v>
      </c>
      <c r="C422" t="s">
        <v>642</v>
      </c>
      <c r="E422" t="s">
        <v>486</v>
      </c>
      <c r="G422" t="s">
        <v>569</v>
      </c>
      <c r="M422" s="4">
        <v>2013</v>
      </c>
      <c r="S422" t="s">
        <v>23</v>
      </c>
      <c r="U422" t="str">
        <f>IF(AND(ISNUMBER(L422),COUNTIF([2]Songs!$L:$L,L422)&gt;0),"YES","")</f>
        <v/>
      </c>
      <c r="V422" t="str">
        <f>IF(AND(ISNUMBER(L422),COUNTIF([3]Songs!$J:$J,L422)&gt;0),"YES","")</f>
        <v/>
      </c>
      <c r="W422" t="str">
        <f>IF(AND(ISNUMBER(L422),COUNTIF([1]Songs!$H:$H,L422)&gt;0),"YES","")</f>
        <v/>
      </c>
      <c r="X422" t="s">
        <v>529</v>
      </c>
      <c r="Y422">
        <v>85</v>
      </c>
      <c r="AA422" t="str">
        <f>I422
&amp;IF(H422=I422,""," "&amp;H422)
&amp;IF(OR(R422=I422,R422=H422),""," "&amp;R422)
&amp;IF(R422=S422,""," "&amp;S422)</f>
        <v/>
      </c>
    </row>
    <row r="423" spans="1:27" x14ac:dyDescent="0.25">
      <c r="A423">
        <v>8</v>
      </c>
      <c r="C423" t="s">
        <v>642</v>
      </c>
      <c r="E423" t="s">
        <v>570</v>
      </c>
      <c r="G423" t="s">
        <v>542</v>
      </c>
      <c r="S423" t="s">
        <v>23</v>
      </c>
      <c r="U423" t="str">
        <f>IF(AND(ISNUMBER(L423),COUNTIF([2]Songs!$L:$L,L423)&gt;0),"YES","")</f>
        <v/>
      </c>
      <c r="V423" t="str">
        <f>IF(AND(ISNUMBER(L423),COUNTIF([3]Songs!$J:$J,L423)&gt;0),"YES","")</f>
        <v/>
      </c>
      <c r="W423" t="str">
        <f>IF(AND(ISNUMBER(L423),COUNTIF([1]Songs!$H:$H,L423)&gt;0),"YES","")</f>
        <v/>
      </c>
      <c r="X423" t="s">
        <v>526</v>
      </c>
      <c r="Y423">
        <v>83</v>
      </c>
      <c r="AA423" t="str">
        <f>I423
&amp;IF(H423=I423,""," "&amp;H423)
&amp;IF(OR(R423=I423,R423=H423),""," "&amp;R423)
&amp;IF(R423=S423,""," "&amp;S423)</f>
        <v/>
      </c>
    </row>
    <row r="424" spans="1:27" x14ac:dyDescent="0.25">
      <c r="A424">
        <v>8</v>
      </c>
      <c r="C424" t="s">
        <v>642</v>
      </c>
      <c r="E424" t="s">
        <v>571</v>
      </c>
      <c r="G424" t="s">
        <v>572</v>
      </c>
      <c r="M424" s="4">
        <v>2016</v>
      </c>
      <c r="S424" t="s">
        <v>23</v>
      </c>
      <c r="U424" t="str">
        <f>IF(AND(ISNUMBER(L424),COUNTIF([2]Songs!$L:$L,L424)&gt;0),"YES","")</f>
        <v/>
      </c>
      <c r="V424" t="str">
        <f>IF(AND(ISNUMBER(L424),COUNTIF([3]Songs!$J:$J,L424)&gt;0),"YES","")</f>
        <v/>
      </c>
      <c r="W424" t="str">
        <f>IF(AND(ISNUMBER(L424),COUNTIF([1]Songs!$H:$H,L424)&gt;0),"YES","")</f>
        <v/>
      </c>
      <c r="X424" t="s">
        <v>529</v>
      </c>
      <c r="Y424">
        <v>43</v>
      </c>
      <c r="AA424" t="str">
        <f>I424
&amp;IF(H424=I424,""," "&amp;H424)
&amp;IF(OR(R424=I424,R424=H424),""," "&amp;R424)
&amp;IF(R424=S424,""," "&amp;S424)</f>
        <v/>
      </c>
    </row>
    <row r="425" spans="1:27" x14ac:dyDescent="0.25">
      <c r="A425">
        <v>8</v>
      </c>
      <c r="C425" t="s">
        <v>642</v>
      </c>
      <c r="E425" t="s">
        <v>573</v>
      </c>
      <c r="G425" t="s">
        <v>574</v>
      </c>
      <c r="S425" t="s">
        <v>23</v>
      </c>
      <c r="U425" t="str">
        <f>IF(AND(ISNUMBER(L425),COUNTIF([2]Songs!$L:$L,L425)&gt;0),"YES","")</f>
        <v/>
      </c>
      <c r="V425" t="str">
        <f>IF(AND(ISNUMBER(L425),COUNTIF([3]Songs!$J:$J,L425)&gt;0),"YES","")</f>
        <v/>
      </c>
      <c r="W425" t="str">
        <f>IF(AND(ISNUMBER(L425),COUNTIF([1]Songs!$H:$H,L425)&gt;0),"YES","")</f>
        <v/>
      </c>
      <c r="X425" t="s">
        <v>526</v>
      </c>
      <c r="Y425">
        <v>99</v>
      </c>
      <c r="AA425" t="str">
        <f>I425
&amp;IF(H425=I425,""," "&amp;H425)
&amp;IF(OR(R425=I425,R425=H425),""," "&amp;R425)
&amp;IF(R425=S425,""," "&amp;S425)</f>
        <v/>
      </c>
    </row>
    <row r="426" spans="1:27" x14ac:dyDescent="0.25">
      <c r="A426">
        <v>8</v>
      </c>
      <c r="C426" t="s">
        <v>642</v>
      </c>
      <c r="E426" t="s">
        <v>197</v>
      </c>
      <c r="G426" t="s">
        <v>575</v>
      </c>
      <c r="M426" s="4">
        <v>2006</v>
      </c>
      <c r="S426" t="s">
        <v>23</v>
      </c>
      <c r="U426" t="str">
        <f>IF(AND(ISNUMBER(L426),COUNTIF([2]Songs!$L:$L,L426)&gt;0),"YES","")</f>
        <v/>
      </c>
      <c r="V426" t="str">
        <f>IF(AND(ISNUMBER(L426),COUNTIF([3]Songs!$J:$J,L426)&gt;0),"YES","")</f>
        <v/>
      </c>
      <c r="W426" t="str">
        <f>IF(AND(ISNUMBER(L426),COUNTIF([1]Songs!$H:$H,L426)&gt;0),"YES","")</f>
        <v/>
      </c>
      <c r="X426" t="s">
        <v>529</v>
      </c>
      <c r="Y426">
        <v>75</v>
      </c>
      <c r="AA426" t="str">
        <f>I426
&amp;IF(H426=I426,""," "&amp;H426)
&amp;IF(OR(R426=I426,R426=H426),""," "&amp;R426)
&amp;IF(R426=S426,""," "&amp;S426)</f>
        <v/>
      </c>
    </row>
    <row r="427" spans="1:27" x14ac:dyDescent="0.25">
      <c r="A427">
        <v>8</v>
      </c>
      <c r="C427" t="s">
        <v>642</v>
      </c>
      <c r="E427" t="s">
        <v>576</v>
      </c>
      <c r="G427" t="s">
        <v>558</v>
      </c>
      <c r="S427" t="s">
        <v>23</v>
      </c>
      <c r="U427" t="str">
        <f>IF(AND(ISNUMBER(L427),COUNTIF([2]Songs!$L:$L,L427)&gt;0),"YES","")</f>
        <v/>
      </c>
      <c r="V427" t="str">
        <f>IF(AND(ISNUMBER(L427),COUNTIF([3]Songs!$J:$J,L427)&gt;0),"YES","")</f>
        <v/>
      </c>
      <c r="W427" t="str">
        <f>IF(AND(ISNUMBER(L427),COUNTIF([1]Songs!$H:$H,L427)&gt;0),"YES","")</f>
        <v/>
      </c>
      <c r="X427" t="s">
        <v>540</v>
      </c>
      <c r="Y427">
        <v>61</v>
      </c>
      <c r="AA427" t="str">
        <f>I427
&amp;IF(H427=I427,""," "&amp;H427)
&amp;IF(OR(R427=I427,R427=H427),""," "&amp;R427)
&amp;IF(R427=S427,""," "&amp;S427)</f>
        <v/>
      </c>
    </row>
    <row r="428" spans="1:27" x14ac:dyDescent="0.25">
      <c r="A428">
        <v>8</v>
      </c>
      <c r="C428" t="s">
        <v>642</v>
      </c>
      <c r="E428" t="s">
        <v>577</v>
      </c>
      <c r="G428" s="11" t="s">
        <v>946</v>
      </c>
      <c r="H428" s="3" t="s">
        <v>176</v>
      </c>
      <c r="I428" s="3" t="s">
        <v>52</v>
      </c>
      <c r="J428" s="4">
        <v>94</v>
      </c>
      <c r="K428" s="4" t="s">
        <v>371</v>
      </c>
      <c r="L428" s="11">
        <v>3540703</v>
      </c>
      <c r="M428" s="4">
        <v>2002</v>
      </c>
      <c r="N428" s="6" t="s">
        <v>390</v>
      </c>
      <c r="O428" s="4" t="s">
        <v>944</v>
      </c>
      <c r="S428" t="s">
        <v>23</v>
      </c>
      <c r="U428" t="str">
        <f>IF(AND(ISNUMBER(L428),COUNTIF([2]Songs!$L:$L,L428)&gt;0),"YES","")</f>
        <v/>
      </c>
      <c r="V428" t="str">
        <f>IF(AND(ISNUMBER(L428),COUNTIF([3]Songs!$J:$J,L428)&gt;0),"YES","")</f>
        <v/>
      </c>
      <c r="W428" t="str">
        <f>IF(AND(ISNUMBER(L428),COUNTIF([1]Songs!$H:$H,L428)&gt;0),"YES","")</f>
        <v/>
      </c>
      <c r="X428" t="s">
        <v>529</v>
      </c>
      <c r="Y428">
        <v>83</v>
      </c>
      <c r="AA428" t="str">
        <f>I428
&amp;IF(H428=I428,""," "&amp;H428)
&amp;IF(OR(R428=I428,R428=H428),""," "&amp;R428)
&amp;IF(R428=S428,""," "&amp;S428)</f>
        <v xml:space="preserve">A F </v>
      </c>
    </row>
    <row r="429" spans="1:27" x14ac:dyDescent="0.25">
      <c r="A429">
        <v>8</v>
      </c>
      <c r="C429" t="s">
        <v>642</v>
      </c>
      <c r="E429" t="s">
        <v>81</v>
      </c>
      <c r="F429" t="s">
        <v>82</v>
      </c>
      <c r="G429" t="s">
        <v>578</v>
      </c>
      <c r="M429" s="4">
        <v>2006</v>
      </c>
      <c r="S429" t="s">
        <v>23</v>
      </c>
      <c r="U429" t="str">
        <f>IF(AND(ISNUMBER(L429),COUNTIF([2]Songs!$L:$L,L429)&gt;0),"YES","")</f>
        <v/>
      </c>
      <c r="V429" t="str">
        <f>IF(AND(ISNUMBER(L429),COUNTIF([3]Songs!$J:$J,L429)&gt;0),"YES","")</f>
        <v/>
      </c>
      <c r="W429" t="str">
        <f>IF(AND(ISNUMBER(L429),COUNTIF([1]Songs!$H:$H,L429)&gt;0),"YES","")</f>
        <v/>
      </c>
      <c r="X429" t="s">
        <v>529</v>
      </c>
      <c r="Y429">
        <v>96</v>
      </c>
      <c r="AA429" t="str">
        <f>I429
&amp;IF(H429=I429,""," "&amp;H429)
&amp;IF(OR(R429=I429,R429=H429),""," "&amp;R429)
&amp;IF(R429=S429,""," "&amp;S429)</f>
        <v/>
      </c>
    </row>
    <row r="430" spans="1:27" x14ac:dyDescent="0.25">
      <c r="A430">
        <v>8</v>
      </c>
      <c r="C430" t="s">
        <v>642</v>
      </c>
      <c r="E430" t="s">
        <v>579</v>
      </c>
      <c r="G430" t="s">
        <v>43</v>
      </c>
      <c r="S430" t="s">
        <v>23</v>
      </c>
      <c r="U430" t="str">
        <f>IF(AND(ISNUMBER(L430),COUNTIF([2]Songs!$L:$L,L430)&gt;0),"YES","")</f>
        <v/>
      </c>
      <c r="V430" t="str">
        <f>IF(AND(ISNUMBER(L430),COUNTIF([3]Songs!$J:$J,L430)&gt;0),"YES","")</f>
        <v/>
      </c>
      <c r="W430" t="str">
        <f>IF(AND(ISNUMBER(L430),COUNTIF([1]Songs!$H:$H,L430)&gt;0),"YES","")</f>
        <v/>
      </c>
      <c r="X430" t="s">
        <v>526</v>
      </c>
      <c r="Y430">
        <v>59</v>
      </c>
      <c r="AA430" t="str">
        <f>I430
&amp;IF(H430=I430,""," "&amp;H430)
&amp;IF(OR(R430=I430,R430=H430),""," "&amp;R430)
&amp;IF(R430=S430,""," "&amp;S430)</f>
        <v/>
      </c>
    </row>
    <row r="431" spans="1:27" x14ac:dyDescent="0.25">
      <c r="A431">
        <v>8</v>
      </c>
      <c r="C431" t="s">
        <v>642</v>
      </c>
      <c r="E431" t="s">
        <v>580</v>
      </c>
      <c r="G431" s="11" t="s">
        <v>947</v>
      </c>
      <c r="H431" s="3" t="s">
        <v>28</v>
      </c>
      <c r="I431" s="3" t="s">
        <v>31</v>
      </c>
      <c r="J431" s="4">
        <v>72</v>
      </c>
      <c r="K431" s="4" t="s">
        <v>371</v>
      </c>
      <c r="L431" s="11">
        <v>7108951</v>
      </c>
      <c r="M431" s="4">
        <v>2018</v>
      </c>
      <c r="N431" s="6" t="s">
        <v>675</v>
      </c>
      <c r="O431" s="4" t="s">
        <v>944</v>
      </c>
      <c r="S431" t="s">
        <v>23</v>
      </c>
      <c r="U431" t="str">
        <f>IF(AND(ISNUMBER(L431),COUNTIF([2]Songs!$L:$L,L431)&gt;0),"YES","")</f>
        <v/>
      </c>
      <c r="V431" t="str">
        <f>IF(AND(ISNUMBER(L431),COUNTIF([3]Songs!$J:$J,L431)&gt;0),"YES","")</f>
        <v/>
      </c>
      <c r="W431" t="str">
        <f>IF(AND(ISNUMBER(L431),COUNTIF([1]Songs!$H:$H,L431)&gt;0),"YES","")</f>
        <v/>
      </c>
      <c r="X431" t="s">
        <v>529</v>
      </c>
      <c r="Y431">
        <v>55</v>
      </c>
      <c r="AA431" t="str">
        <f>I431
&amp;IF(H431=I431,""," "&amp;H431)
&amp;IF(OR(R431=I431,R431=H431),""," "&amp;R431)
&amp;IF(R431=S431,""," "&amp;S431)</f>
        <v xml:space="preserve">B Bb </v>
      </c>
    </row>
    <row r="432" spans="1:27" x14ac:dyDescent="0.25">
      <c r="A432">
        <v>8</v>
      </c>
      <c r="C432" t="s">
        <v>642</v>
      </c>
      <c r="E432" t="s">
        <v>581</v>
      </c>
      <c r="P432" s="24" t="s">
        <v>46</v>
      </c>
      <c r="S432" t="s">
        <v>23</v>
      </c>
      <c r="U432" t="str">
        <f>IF(AND(ISNUMBER(L432),COUNTIF([2]Songs!$L:$L,L432)&gt;0),"YES","")</f>
        <v/>
      </c>
      <c r="V432" t="str">
        <f>IF(AND(ISNUMBER(L432),COUNTIF([3]Songs!$J:$J,L432)&gt;0),"YES","")</f>
        <v/>
      </c>
      <c r="W432" t="str">
        <f>IF(AND(ISNUMBER(L432),COUNTIF([1]Songs!$H:$H,L432)&gt;0),"YES","")</f>
        <v/>
      </c>
      <c r="X432" t="s">
        <v>548</v>
      </c>
      <c r="Y432">
        <v>89</v>
      </c>
      <c r="AA432" t="str">
        <f>I432
&amp;IF(H432=I432,""," "&amp;H432)
&amp;IF(OR(R432=I432,R432=H432),""," "&amp;R432)
&amp;IF(R432=S432,""," "&amp;S432)</f>
        <v/>
      </c>
    </row>
    <row r="433" spans="1:27" x14ac:dyDescent="0.25">
      <c r="A433">
        <v>8</v>
      </c>
      <c r="C433" t="s">
        <v>642</v>
      </c>
      <c r="E433" t="s">
        <v>582</v>
      </c>
      <c r="G433" t="s">
        <v>583</v>
      </c>
      <c r="M433" s="4">
        <v>2010</v>
      </c>
      <c r="S433" t="s">
        <v>23</v>
      </c>
      <c r="U433" t="str">
        <f>IF(AND(ISNUMBER(L433),COUNTIF([2]Songs!$L:$L,L433)&gt;0),"YES","")</f>
        <v/>
      </c>
      <c r="V433" t="str">
        <f>IF(AND(ISNUMBER(L433),COUNTIF([3]Songs!$J:$J,L433)&gt;0),"YES","")</f>
        <v/>
      </c>
      <c r="W433" t="str">
        <f>IF(AND(ISNUMBER(L433),COUNTIF([1]Songs!$H:$H,L433)&gt;0),"YES","")</f>
        <v/>
      </c>
      <c r="X433" t="s">
        <v>529</v>
      </c>
      <c r="Y433">
        <v>64</v>
      </c>
      <c r="AA433" t="str">
        <f>I433
&amp;IF(H433=I433,""," "&amp;H433)
&amp;IF(OR(R433=I433,R433=H433),""," "&amp;R433)
&amp;IF(R433=S433,""," "&amp;S433)</f>
        <v/>
      </c>
    </row>
    <row r="434" spans="1:27" x14ac:dyDescent="0.25">
      <c r="A434">
        <v>8</v>
      </c>
      <c r="C434" t="s">
        <v>642</v>
      </c>
      <c r="E434" t="s">
        <v>584</v>
      </c>
      <c r="G434" t="s">
        <v>585</v>
      </c>
      <c r="S434" t="s">
        <v>23</v>
      </c>
      <c r="U434" t="str">
        <f>IF(AND(ISNUMBER(L434),COUNTIF([2]Songs!$L:$L,L434)&gt;0),"YES","")</f>
        <v/>
      </c>
      <c r="V434" t="str">
        <f>IF(AND(ISNUMBER(L434),COUNTIF([3]Songs!$J:$J,L434)&gt;0),"YES","")</f>
        <v/>
      </c>
      <c r="W434" t="str">
        <f>IF(AND(ISNUMBER(L434),COUNTIF([1]Songs!$H:$H,L434)&gt;0),"YES","")</f>
        <v/>
      </c>
      <c r="X434" t="s">
        <v>526</v>
      </c>
      <c r="Y434">
        <v>31</v>
      </c>
      <c r="AA434" t="str">
        <f>I434
&amp;IF(H434=I434,""," "&amp;H434)
&amp;IF(OR(R434=I434,R434=H434),""," "&amp;R434)
&amp;IF(R434=S434,""," "&amp;S434)</f>
        <v/>
      </c>
    </row>
    <row r="435" spans="1:27" x14ac:dyDescent="0.25">
      <c r="A435">
        <v>8</v>
      </c>
      <c r="C435" t="s">
        <v>642</v>
      </c>
      <c r="E435" t="s">
        <v>586</v>
      </c>
      <c r="P435" s="24" t="s">
        <v>229</v>
      </c>
      <c r="S435" t="s">
        <v>23</v>
      </c>
      <c r="U435" t="str">
        <f>IF(AND(ISNUMBER(L435),COUNTIF([2]Songs!$L:$L,L435)&gt;0),"YES","")</f>
        <v/>
      </c>
      <c r="V435" t="str">
        <f>IF(AND(ISNUMBER(L435),COUNTIF([3]Songs!$J:$J,L435)&gt;0),"YES","")</f>
        <v/>
      </c>
      <c r="W435" t="str">
        <f>IF(AND(ISNUMBER(L435),COUNTIF([1]Songs!$H:$H,L435)&gt;0),"YES","")</f>
        <v/>
      </c>
      <c r="X435" t="s">
        <v>548</v>
      </c>
      <c r="Y435">
        <v>82</v>
      </c>
      <c r="AA435" t="str">
        <f>I435
&amp;IF(H435=I435,""," "&amp;H435)
&amp;IF(OR(R435=I435,R435=H435),""," "&amp;R435)
&amp;IF(R435=S435,""," "&amp;S435)</f>
        <v/>
      </c>
    </row>
    <row r="436" spans="1:27" x14ac:dyDescent="0.25">
      <c r="A436">
        <v>8</v>
      </c>
      <c r="C436" t="s">
        <v>642</v>
      </c>
      <c r="E436" t="s">
        <v>587</v>
      </c>
      <c r="G436" t="s">
        <v>135</v>
      </c>
      <c r="S436" t="s">
        <v>23</v>
      </c>
      <c r="U436" t="str">
        <f>IF(AND(ISNUMBER(L436),COUNTIF([2]Songs!$L:$L,L436)&gt;0),"YES","")</f>
        <v/>
      </c>
      <c r="V436" t="str">
        <f>IF(AND(ISNUMBER(L436),COUNTIF([3]Songs!$J:$J,L436)&gt;0),"YES","")</f>
        <v/>
      </c>
      <c r="W436" t="str">
        <f>IF(AND(ISNUMBER(L436),COUNTIF([1]Songs!$H:$H,L436)&gt;0),"YES","")</f>
        <v/>
      </c>
      <c r="X436" t="s">
        <v>526</v>
      </c>
      <c r="Y436">
        <v>89</v>
      </c>
      <c r="AA436" t="str">
        <f>I436
&amp;IF(H436=I436,""," "&amp;H436)
&amp;IF(OR(R436=I436,R436=H436),""," "&amp;R436)
&amp;IF(R436=S436,""," "&amp;S436)</f>
        <v/>
      </c>
    </row>
    <row r="437" spans="1:27" x14ac:dyDescent="0.25">
      <c r="A437">
        <v>8</v>
      </c>
      <c r="C437" t="s">
        <v>642</v>
      </c>
      <c r="E437" t="s">
        <v>588</v>
      </c>
      <c r="P437" s="24" t="s">
        <v>589</v>
      </c>
      <c r="S437" t="s">
        <v>23</v>
      </c>
      <c r="U437" t="str">
        <f>IF(AND(ISNUMBER(L437),COUNTIF([2]Songs!$L:$L,L437)&gt;0),"YES","")</f>
        <v/>
      </c>
      <c r="V437" t="str">
        <f>IF(AND(ISNUMBER(L437),COUNTIF([3]Songs!$J:$J,L437)&gt;0),"YES","")</f>
        <v/>
      </c>
      <c r="W437" t="str">
        <f>IF(AND(ISNUMBER(L437),COUNTIF([1]Songs!$H:$H,L437)&gt;0),"YES","")</f>
        <v/>
      </c>
      <c r="X437" t="s">
        <v>548</v>
      </c>
      <c r="Y437">
        <v>93</v>
      </c>
      <c r="AA437" t="str">
        <f>I437
&amp;IF(H437=I437,""," "&amp;H437)
&amp;IF(OR(R437=I437,R437=H437),""," "&amp;R437)
&amp;IF(R437=S437,""," "&amp;S437)</f>
        <v/>
      </c>
    </row>
    <row r="438" spans="1:27" x14ac:dyDescent="0.25">
      <c r="A438">
        <v>8</v>
      </c>
      <c r="C438" t="s">
        <v>642</v>
      </c>
      <c r="E438" t="s">
        <v>590</v>
      </c>
      <c r="G438" t="s">
        <v>379</v>
      </c>
      <c r="S438" t="s">
        <v>23</v>
      </c>
      <c r="U438" t="str">
        <f>IF(AND(ISNUMBER(L438),COUNTIF([2]Songs!$L:$L,L438)&gt;0),"YES","")</f>
        <v/>
      </c>
      <c r="V438" t="str">
        <f>IF(AND(ISNUMBER(L438),COUNTIF([3]Songs!$J:$J,L438)&gt;0),"YES","")</f>
        <v/>
      </c>
      <c r="W438" t="str">
        <f>IF(AND(ISNUMBER(L438),COUNTIF([1]Songs!$H:$H,L438)&gt;0),"YES","")</f>
        <v/>
      </c>
      <c r="X438" t="s">
        <v>526</v>
      </c>
      <c r="Y438">
        <v>96</v>
      </c>
      <c r="AA438" t="str">
        <f>I438
&amp;IF(H438=I438,""," "&amp;H438)
&amp;IF(OR(R438=I438,R438=H438),""," "&amp;R438)
&amp;IF(R438=S438,""," "&amp;S438)</f>
        <v/>
      </c>
    </row>
    <row r="439" spans="1:27" x14ac:dyDescent="0.25">
      <c r="A439">
        <v>8</v>
      </c>
      <c r="C439" t="s">
        <v>642</v>
      </c>
      <c r="E439" t="s">
        <v>591</v>
      </c>
      <c r="P439" s="24" t="s">
        <v>547</v>
      </c>
      <c r="S439" t="s">
        <v>23</v>
      </c>
      <c r="U439" t="str">
        <f>IF(AND(ISNUMBER(L439),COUNTIF([2]Songs!$L:$L,L439)&gt;0),"YES","")</f>
        <v/>
      </c>
      <c r="V439" t="str">
        <f>IF(AND(ISNUMBER(L439),COUNTIF([3]Songs!$J:$J,L439)&gt;0),"YES","")</f>
        <v/>
      </c>
      <c r="W439" t="str">
        <f>IF(AND(ISNUMBER(L439),COUNTIF([1]Songs!$H:$H,L439)&gt;0),"YES","")</f>
        <v/>
      </c>
      <c r="X439" t="s">
        <v>548</v>
      </c>
      <c r="Y439">
        <v>88</v>
      </c>
      <c r="AA439" t="str">
        <f>I439
&amp;IF(H439=I439,""," "&amp;H439)
&amp;IF(OR(R439=I439,R439=H439),""," "&amp;R439)
&amp;IF(R439=S439,""," "&amp;S439)</f>
        <v/>
      </c>
    </row>
    <row r="440" spans="1:27" x14ac:dyDescent="0.25">
      <c r="A440">
        <v>8</v>
      </c>
      <c r="C440" t="s">
        <v>642</v>
      </c>
      <c r="E440" t="s">
        <v>592</v>
      </c>
      <c r="G440" t="s">
        <v>593</v>
      </c>
      <c r="S440" t="s">
        <v>23</v>
      </c>
      <c r="U440" t="str">
        <f>IF(AND(ISNUMBER(L440),COUNTIF([2]Songs!$L:$L,L440)&gt;0),"YES","")</f>
        <v/>
      </c>
      <c r="V440" t="str">
        <f>IF(AND(ISNUMBER(L440),COUNTIF([3]Songs!$J:$J,L440)&gt;0),"YES","")</f>
        <v/>
      </c>
      <c r="W440" t="str">
        <f>IF(AND(ISNUMBER(L440),COUNTIF([1]Songs!$H:$H,L440)&gt;0),"YES","")</f>
        <v/>
      </c>
      <c r="X440" t="s">
        <v>540</v>
      </c>
      <c r="Y440">
        <v>59</v>
      </c>
      <c r="AA440" t="str">
        <f>I440
&amp;IF(H440=I440,""," "&amp;H440)
&amp;IF(OR(R440=I440,R440=H440),""," "&amp;R440)
&amp;IF(R440=S440,""," "&amp;S440)</f>
        <v/>
      </c>
    </row>
    <row r="441" spans="1:27" x14ac:dyDescent="0.25">
      <c r="A441">
        <v>8</v>
      </c>
      <c r="C441" t="s">
        <v>642</v>
      </c>
      <c r="E441" t="s">
        <v>594</v>
      </c>
      <c r="P441" s="24" t="s">
        <v>547</v>
      </c>
      <c r="S441" t="s">
        <v>23</v>
      </c>
      <c r="U441" t="str">
        <f>IF(AND(ISNUMBER(L441),COUNTIF([2]Songs!$L:$L,L441)&gt;0),"YES","")</f>
        <v/>
      </c>
      <c r="V441" t="str">
        <f>IF(AND(ISNUMBER(L441),COUNTIF([3]Songs!$J:$J,L441)&gt;0),"YES","")</f>
        <v/>
      </c>
      <c r="W441" t="str">
        <f>IF(AND(ISNUMBER(L441),COUNTIF([1]Songs!$H:$H,L441)&gt;0),"YES","")</f>
        <v/>
      </c>
      <c r="X441" t="s">
        <v>548</v>
      </c>
      <c r="Y441">
        <v>57</v>
      </c>
      <c r="AA441" t="str">
        <f>I441
&amp;IF(H441=I441,""," "&amp;H441)
&amp;IF(OR(R441=I441,R441=H441),""," "&amp;R441)
&amp;IF(R441=S441,""," "&amp;S441)</f>
        <v/>
      </c>
    </row>
    <row r="442" spans="1:27" x14ac:dyDescent="0.25">
      <c r="A442">
        <v>8</v>
      </c>
      <c r="C442" t="s">
        <v>642</v>
      </c>
      <c r="E442" t="s">
        <v>595</v>
      </c>
      <c r="G442" t="s">
        <v>596</v>
      </c>
      <c r="S442" t="s">
        <v>23</v>
      </c>
      <c r="U442" t="str">
        <f>IF(AND(ISNUMBER(L442),COUNTIF([2]Songs!$L:$L,L442)&gt;0),"YES","")</f>
        <v/>
      </c>
      <c r="V442" t="str">
        <f>IF(AND(ISNUMBER(L442),COUNTIF([3]Songs!$J:$J,L442)&gt;0),"YES","")</f>
        <v/>
      </c>
      <c r="W442" t="str">
        <f>IF(AND(ISNUMBER(L442),COUNTIF([1]Songs!$H:$H,L442)&gt;0),"YES","")</f>
        <v/>
      </c>
      <c r="X442" t="s">
        <v>540</v>
      </c>
      <c r="Y442">
        <v>60</v>
      </c>
      <c r="AA442" t="str">
        <f>I442
&amp;IF(H442=I442,""," "&amp;H442)
&amp;IF(OR(R442=I442,R442=H442),""," "&amp;R442)
&amp;IF(R442=S442,""," "&amp;S442)</f>
        <v/>
      </c>
    </row>
    <row r="443" spans="1:27" x14ac:dyDescent="0.25">
      <c r="A443">
        <v>8</v>
      </c>
      <c r="C443" t="s">
        <v>642</v>
      </c>
      <c r="E443" t="s">
        <v>597</v>
      </c>
      <c r="P443" s="24" t="s">
        <v>55</v>
      </c>
      <c r="S443" t="s">
        <v>23</v>
      </c>
      <c r="U443" t="str">
        <f>IF(AND(ISNUMBER(L443),COUNTIF([2]Songs!$L:$L,L443)&gt;0),"YES","")</f>
        <v/>
      </c>
      <c r="V443" t="str">
        <f>IF(AND(ISNUMBER(L443),COUNTIF([3]Songs!$J:$J,L443)&gt;0),"YES","")</f>
        <v/>
      </c>
      <c r="W443" t="str">
        <f>IF(AND(ISNUMBER(L443),COUNTIF([1]Songs!$H:$H,L443)&gt;0),"YES","")</f>
        <v/>
      </c>
      <c r="X443" t="s">
        <v>548</v>
      </c>
      <c r="Y443">
        <v>99</v>
      </c>
      <c r="AA443" t="str">
        <f>I443
&amp;IF(H443=I443,""," "&amp;H443)
&amp;IF(OR(R443=I443,R443=H443),""," "&amp;R443)
&amp;IF(R443=S443,""," "&amp;S443)</f>
        <v/>
      </c>
    </row>
    <row r="444" spans="1:27" x14ac:dyDescent="0.25">
      <c r="A444">
        <v>8</v>
      </c>
      <c r="C444" t="s">
        <v>642</v>
      </c>
      <c r="E444" t="s">
        <v>598</v>
      </c>
      <c r="G444" t="s">
        <v>175</v>
      </c>
      <c r="S444" t="s">
        <v>23</v>
      </c>
      <c r="U444" t="str">
        <f>IF(AND(ISNUMBER(L444),COUNTIF([2]Songs!$L:$L,L444)&gt;0),"YES","")</f>
        <v/>
      </c>
      <c r="V444" t="str">
        <f>IF(AND(ISNUMBER(L444),COUNTIF([3]Songs!$J:$J,L444)&gt;0),"YES","")</f>
        <v/>
      </c>
      <c r="W444" t="str">
        <f>IF(AND(ISNUMBER(L444),COUNTIF([1]Songs!$H:$H,L444)&gt;0),"YES","")</f>
        <v/>
      </c>
      <c r="X444" t="s">
        <v>526</v>
      </c>
      <c r="Y444">
        <v>10</v>
      </c>
      <c r="AA444" t="str">
        <f>I444
&amp;IF(H444=I444,""," "&amp;H444)
&amp;IF(OR(R444=I444,R444=H444),""," "&amp;R444)
&amp;IF(R444=S444,""," "&amp;S444)</f>
        <v/>
      </c>
    </row>
    <row r="445" spans="1:27" x14ac:dyDescent="0.25">
      <c r="A445">
        <v>8</v>
      </c>
      <c r="C445" t="s">
        <v>642</v>
      </c>
      <c r="E445" t="s">
        <v>599</v>
      </c>
      <c r="G445" t="s">
        <v>600</v>
      </c>
      <c r="M445" s="4">
        <v>2018</v>
      </c>
      <c r="S445" t="s">
        <v>23</v>
      </c>
      <c r="U445" t="str">
        <f>IF(AND(ISNUMBER(L445),COUNTIF([2]Songs!$L:$L,L445)&gt;0),"YES","")</f>
        <v/>
      </c>
      <c r="V445" t="str">
        <f>IF(AND(ISNUMBER(L445),COUNTIF([3]Songs!$J:$J,L445)&gt;0),"YES","")</f>
        <v/>
      </c>
      <c r="W445" t="str">
        <f>IF(AND(ISNUMBER(L445),COUNTIF([1]Songs!$H:$H,L445)&gt;0),"YES","")</f>
        <v/>
      </c>
      <c r="X445" t="s">
        <v>529</v>
      </c>
      <c r="Y445">
        <v>16</v>
      </c>
      <c r="AA445" t="str">
        <f>I445
&amp;IF(H445=I445,""," "&amp;H445)
&amp;IF(OR(R445=I445,R445=H445),""," "&amp;R445)
&amp;IF(R445=S445,""," "&amp;S445)</f>
        <v/>
      </c>
    </row>
    <row r="446" spans="1:27" x14ac:dyDescent="0.25">
      <c r="A446">
        <v>8</v>
      </c>
      <c r="C446" t="s">
        <v>642</v>
      </c>
      <c r="E446" t="s">
        <v>601</v>
      </c>
      <c r="G446" t="s">
        <v>551</v>
      </c>
      <c r="M446" s="4">
        <v>1990</v>
      </c>
      <c r="S446" t="s">
        <v>23</v>
      </c>
      <c r="U446" t="str">
        <f>IF(AND(ISNUMBER(L446),COUNTIF([2]Songs!$L:$L,L446)&gt;0),"YES","")</f>
        <v/>
      </c>
      <c r="V446" t="str">
        <f>IF(AND(ISNUMBER(L446),COUNTIF([3]Songs!$J:$J,L446)&gt;0),"YES","")</f>
        <v/>
      </c>
      <c r="W446" t="str">
        <f>IF(AND(ISNUMBER(L446),COUNTIF([1]Songs!$H:$H,L446)&gt;0),"YES","")</f>
        <v/>
      </c>
      <c r="X446" t="s">
        <v>529</v>
      </c>
      <c r="Y446">
        <v>81</v>
      </c>
      <c r="AA446" t="str">
        <f>I446
&amp;IF(H446=I446,""," "&amp;H446)
&amp;IF(OR(R446=I446,R446=H446),""," "&amp;R446)
&amp;IF(R446=S446,""," "&amp;S446)</f>
        <v/>
      </c>
    </row>
    <row r="447" spans="1:27" x14ac:dyDescent="0.25">
      <c r="A447">
        <v>8</v>
      </c>
      <c r="C447" t="s">
        <v>642</v>
      </c>
      <c r="E447" t="s">
        <v>602</v>
      </c>
      <c r="G447" t="s">
        <v>379</v>
      </c>
      <c r="S447" t="s">
        <v>23</v>
      </c>
      <c r="U447" t="str">
        <f>IF(AND(ISNUMBER(L447),COUNTIF([2]Songs!$L:$L,L447)&gt;0),"YES","")</f>
        <v/>
      </c>
      <c r="V447" t="str">
        <f>IF(AND(ISNUMBER(L447),COUNTIF([3]Songs!$J:$J,L447)&gt;0),"YES","")</f>
        <v/>
      </c>
      <c r="W447" t="str">
        <f>IF(AND(ISNUMBER(L447),COUNTIF([1]Songs!$H:$H,L447)&gt;0),"YES","")</f>
        <v/>
      </c>
      <c r="X447" t="s">
        <v>526</v>
      </c>
      <c r="Y447">
        <v>54</v>
      </c>
      <c r="AA447" t="str">
        <f>I447
&amp;IF(H447=I447,""," "&amp;H447)
&amp;IF(OR(R447=I447,R447=H447),""," "&amp;R447)
&amp;IF(R447=S447,""," "&amp;S447)</f>
        <v/>
      </c>
    </row>
    <row r="448" spans="1:27" x14ac:dyDescent="0.25">
      <c r="A448">
        <v>8</v>
      </c>
      <c r="C448" t="s">
        <v>642</v>
      </c>
      <c r="E448" t="s">
        <v>603</v>
      </c>
      <c r="G448" t="s">
        <v>604</v>
      </c>
      <c r="M448" s="4">
        <v>2019</v>
      </c>
      <c r="S448" t="s">
        <v>23</v>
      </c>
      <c r="U448" t="str">
        <f>IF(AND(ISNUMBER(L448),COUNTIF([2]Songs!$L:$L,L448)&gt;0),"YES","")</f>
        <v/>
      </c>
      <c r="V448" t="str">
        <f>IF(AND(ISNUMBER(L448),COUNTIF([3]Songs!$J:$J,L448)&gt;0),"YES","")</f>
        <v/>
      </c>
      <c r="W448" t="str">
        <f>IF(AND(ISNUMBER(L448),COUNTIF([1]Songs!$H:$H,L448)&gt;0),"YES","")</f>
        <v/>
      </c>
      <c r="X448" t="s">
        <v>529</v>
      </c>
      <c r="Y448">
        <v>54</v>
      </c>
      <c r="AA448" t="str">
        <f>I448
&amp;IF(H448=I448,""," "&amp;H448)
&amp;IF(OR(R448=I448,R448=H448),""," "&amp;R448)
&amp;IF(R448=S448,""," "&amp;S448)</f>
        <v/>
      </c>
    </row>
    <row r="449" spans="1:27" x14ac:dyDescent="0.25">
      <c r="A449">
        <v>8</v>
      </c>
      <c r="C449" t="s">
        <v>642</v>
      </c>
      <c r="E449" t="s">
        <v>605</v>
      </c>
      <c r="G449" t="s">
        <v>606</v>
      </c>
      <c r="S449" t="s">
        <v>23</v>
      </c>
      <c r="U449" t="str">
        <f>IF(AND(ISNUMBER(L449),COUNTIF([2]Songs!$L:$L,L449)&gt;0),"YES","")</f>
        <v/>
      </c>
      <c r="V449" t="str">
        <f>IF(AND(ISNUMBER(L449),COUNTIF([3]Songs!$J:$J,L449)&gt;0),"YES","")</f>
        <v/>
      </c>
      <c r="W449" t="str">
        <f>IF(AND(ISNUMBER(L449),COUNTIF([1]Songs!$H:$H,L449)&gt;0),"YES","")</f>
        <v/>
      </c>
      <c r="X449" t="s">
        <v>526</v>
      </c>
      <c r="Y449">
        <v>56</v>
      </c>
      <c r="AA449" t="str">
        <f>I449
&amp;IF(H449=I449,""," "&amp;H449)
&amp;IF(OR(R449=I449,R449=H449),""," "&amp;R449)
&amp;IF(R449=S449,""," "&amp;S449)</f>
        <v/>
      </c>
    </row>
    <row r="450" spans="1:27" x14ac:dyDescent="0.25">
      <c r="A450">
        <v>8</v>
      </c>
      <c r="C450" t="s">
        <v>642</v>
      </c>
      <c r="E450" t="s">
        <v>607</v>
      </c>
      <c r="G450" t="s">
        <v>575</v>
      </c>
      <c r="M450" s="4">
        <v>2005</v>
      </c>
      <c r="S450" t="s">
        <v>23</v>
      </c>
      <c r="U450" t="str">
        <f>IF(AND(ISNUMBER(L450),COUNTIF([2]Songs!$L:$L,L450)&gt;0),"YES","")</f>
        <v/>
      </c>
      <c r="V450" t="str">
        <f>IF(AND(ISNUMBER(L450),COUNTIF([3]Songs!$J:$J,L450)&gt;0),"YES","")</f>
        <v/>
      </c>
      <c r="W450" t="str">
        <f>IF(AND(ISNUMBER(L450),COUNTIF([1]Songs!$H:$H,L450)&gt;0),"YES","")</f>
        <v/>
      </c>
      <c r="X450" t="s">
        <v>529</v>
      </c>
      <c r="Y450">
        <v>97</v>
      </c>
      <c r="AA450" t="str">
        <f>I450
&amp;IF(H450=I450,""," "&amp;H450)
&amp;IF(OR(R450=I450,R450=H450),""," "&amp;R450)
&amp;IF(R450=S450,""," "&amp;S450)</f>
        <v/>
      </c>
    </row>
    <row r="451" spans="1:27" x14ac:dyDescent="0.25">
      <c r="A451">
        <v>8</v>
      </c>
      <c r="C451" t="s">
        <v>642</v>
      </c>
      <c r="E451" t="s">
        <v>608</v>
      </c>
      <c r="G451" t="s">
        <v>609</v>
      </c>
      <c r="S451" t="s">
        <v>23</v>
      </c>
      <c r="U451" t="str">
        <f>IF(AND(ISNUMBER(L451),COUNTIF([2]Songs!$L:$L,L451)&gt;0),"YES","")</f>
        <v/>
      </c>
      <c r="V451" t="str">
        <f>IF(AND(ISNUMBER(L451),COUNTIF([3]Songs!$J:$J,L451)&gt;0),"YES","")</f>
        <v/>
      </c>
      <c r="W451" t="str">
        <f>IF(AND(ISNUMBER(L451),COUNTIF([1]Songs!$H:$H,L451)&gt;0),"YES","")</f>
        <v/>
      </c>
      <c r="X451" t="s">
        <v>526</v>
      </c>
      <c r="Y451">
        <v>95</v>
      </c>
      <c r="AA451" t="str">
        <f>I451
&amp;IF(H451=I451,""," "&amp;H451)
&amp;IF(OR(R451=I451,R451=H451),""," "&amp;R451)
&amp;IF(R451=S451,""," "&amp;S451)</f>
        <v/>
      </c>
    </row>
    <row r="452" spans="1:27" x14ac:dyDescent="0.25">
      <c r="A452">
        <v>8</v>
      </c>
      <c r="C452" t="s">
        <v>642</v>
      </c>
      <c r="E452" t="s">
        <v>636</v>
      </c>
      <c r="F452" t="s">
        <v>637</v>
      </c>
      <c r="G452" t="s">
        <v>610</v>
      </c>
      <c r="M452" s="4">
        <v>2017</v>
      </c>
      <c r="S452" t="s">
        <v>23</v>
      </c>
      <c r="U452" t="str">
        <f>IF(AND(ISNUMBER(L452),COUNTIF([2]Songs!$L:$L,L452)&gt;0),"YES","")</f>
        <v/>
      </c>
      <c r="V452" t="str">
        <f>IF(AND(ISNUMBER(L452),COUNTIF([3]Songs!$J:$J,L452)&gt;0),"YES","")</f>
        <v/>
      </c>
      <c r="W452" t="str">
        <f>IF(AND(ISNUMBER(L452),COUNTIF([1]Songs!$H:$H,L452)&gt;0),"YES","")</f>
        <v/>
      </c>
      <c r="X452" t="s">
        <v>529</v>
      </c>
      <c r="Y452">
        <v>79</v>
      </c>
      <c r="AA452" t="str">
        <f>I452
&amp;IF(H452=I452,""," "&amp;H452)
&amp;IF(OR(R452=I452,R452=H452),""," "&amp;R452)
&amp;IF(R452=S452,""," "&amp;S452)</f>
        <v/>
      </c>
    </row>
    <row r="453" spans="1:27" x14ac:dyDescent="0.25">
      <c r="A453">
        <v>8</v>
      </c>
      <c r="C453" t="s">
        <v>642</v>
      </c>
      <c r="E453" t="s">
        <v>611</v>
      </c>
      <c r="G453" t="s">
        <v>612</v>
      </c>
      <c r="S453" t="s">
        <v>23</v>
      </c>
      <c r="U453" t="str">
        <f>IF(AND(ISNUMBER(L453),COUNTIF([2]Songs!$L:$L,L453)&gt;0),"YES","")</f>
        <v/>
      </c>
      <c r="V453" t="str">
        <f>IF(AND(ISNUMBER(L453),COUNTIF([3]Songs!$J:$J,L453)&gt;0),"YES","")</f>
        <v/>
      </c>
      <c r="W453" t="str">
        <f>IF(AND(ISNUMBER(L453),COUNTIF([1]Songs!$H:$H,L453)&gt;0),"YES","")</f>
        <v/>
      </c>
      <c r="X453" t="s">
        <v>526</v>
      </c>
      <c r="Y453">
        <v>94</v>
      </c>
      <c r="AA453" t="str">
        <f>I453
&amp;IF(H453=I453,""," "&amp;H453)
&amp;IF(OR(R453=I453,R453=H453),""," "&amp;R453)
&amp;IF(R453=S453,""," "&amp;S453)</f>
        <v/>
      </c>
    </row>
    <row r="454" spans="1:27" x14ac:dyDescent="0.25">
      <c r="A454">
        <v>8</v>
      </c>
      <c r="C454" t="s">
        <v>642</v>
      </c>
      <c r="E454" t="s">
        <v>613</v>
      </c>
      <c r="G454" t="s">
        <v>606</v>
      </c>
      <c r="S454" t="s">
        <v>23</v>
      </c>
      <c r="U454" t="str">
        <f>IF(AND(ISNUMBER(L454),COUNTIF([2]Songs!$L:$L,L454)&gt;0),"YES","")</f>
        <v/>
      </c>
      <c r="V454" t="str">
        <f>IF(AND(ISNUMBER(L454),COUNTIF([3]Songs!$J:$J,L454)&gt;0),"YES","")</f>
        <v/>
      </c>
      <c r="W454" t="str">
        <f>IF(AND(ISNUMBER(L454),COUNTIF([1]Songs!$H:$H,L454)&gt;0),"YES","")</f>
        <v/>
      </c>
      <c r="X454" t="s">
        <v>526</v>
      </c>
      <c r="Y454">
        <v>52</v>
      </c>
      <c r="AA454" t="str">
        <f>I454
&amp;IF(H454=I454,""," "&amp;H454)
&amp;IF(OR(R454=I454,R454=H454),""," "&amp;R454)
&amp;IF(R454=S454,""," "&amp;S454)</f>
        <v/>
      </c>
    </row>
    <row r="455" spans="1:27" x14ac:dyDescent="0.25">
      <c r="A455">
        <v>8</v>
      </c>
      <c r="C455" t="s">
        <v>642</v>
      </c>
      <c r="E455" t="s">
        <v>614</v>
      </c>
      <c r="G455" t="s">
        <v>615</v>
      </c>
      <c r="S455" t="s">
        <v>23</v>
      </c>
      <c r="U455" t="str">
        <f>IF(AND(ISNUMBER(L455),COUNTIF([2]Songs!$L:$L,L455)&gt;0),"YES","")</f>
        <v/>
      </c>
      <c r="V455" t="str">
        <f>IF(AND(ISNUMBER(L455),COUNTIF([3]Songs!$J:$J,L455)&gt;0),"YES","")</f>
        <v/>
      </c>
      <c r="W455" t="str">
        <f>IF(AND(ISNUMBER(L455),COUNTIF([1]Songs!$H:$H,L455)&gt;0),"YES","")</f>
        <v/>
      </c>
      <c r="X455" t="s">
        <v>526</v>
      </c>
      <c r="Y455">
        <v>87</v>
      </c>
      <c r="AA455" t="str">
        <f>I455
&amp;IF(H455=I455,""," "&amp;H455)
&amp;IF(OR(R455=I455,R455=H455),""," "&amp;R455)
&amp;IF(R455=S455,""," "&amp;S455)</f>
        <v/>
      </c>
    </row>
    <row r="456" spans="1:27" x14ac:dyDescent="0.25">
      <c r="A456">
        <v>8</v>
      </c>
      <c r="C456" t="s">
        <v>642</v>
      </c>
      <c r="E456" t="s">
        <v>616</v>
      </c>
      <c r="G456" t="s">
        <v>617</v>
      </c>
      <c r="S456" t="s">
        <v>23</v>
      </c>
      <c r="U456" t="str">
        <f>IF(AND(ISNUMBER(L456),COUNTIF([2]Songs!$L:$L,L456)&gt;0),"YES","")</f>
        <v/>
      </c>
      <c r="V456" t="str">
        <f>IF(AND(ISNUMBER(L456),COUNTIF([3]Songs!$J:$J,L456)&gt;0),"YES","")</f>
        <v/>
      </c>
      <c r="W456" t="str">
        <f>IF(AND(ISNUMBER(L456),COUNTIF([1]Songs!$H:$H,L456)&gt;0),"YES","")</f>
        <v/>
      </c>
      <c r="X456" t="s">
        <v>540</v>
      </c>
      <c r="Y456">
        <v>92</v>
      </c>
      <c r="AA456" t="str">
        <f>I456
&amp;IF(H456=I456,""," "&amp;H456)
&amp;IF(OR(R456=I456,R456=H456),""," "&amp;R456)
&amp;IF(R456=S456,""," "&amp;S456)</f>
        <v/>
      </c>
    </row>
    <row r="457" spans="1:27" x14ac:dyDescent="0.25">
      <c r="A457">
        <v>8</v>
      </c>
      <c r="C457" t="s">
        <v>642</v>
      </c>
      <c r="E457" t="s">
        <v>618</v>
      </c>
      <c r="G457" t="s">
        <v>619</v>
      </c>
      <c r="S457" t="s">
        <v>23</v>
      </c>
      <c r="U457" t="str">
        <f>IF(AND(ISNUMBER(L457),COUNTIF([2]Songs!$L:$L,L457)&gt;0),"YES","")</f>
        <v/>
      </c>
      <c r="V457" t="str">
        <f>IF(AND(ISNUMBER(L457),COUNTIF([3]Songs!$J:$J,L457)&gt;0),"YES","")</f>
        <v/>
      </c>
      <c r="W457" t="str">
        <f>IF(AND(ISNUMBER(L457),COUNTIF([1]Songs!$H:$H,L457)&gt;0),"YES","")</f>
        <v/>
      </c>
      <c r="X457" t="s">
        <v>526</v>
      </c>
      <c r="Y457">
        <v>64</v>
      </c>
      <c r="AA457" t="str">
        <f>I457
&amp;IF(H457=I457,""," "&amp;H457)
&amp;IF(OR(R457=I457,R457=H457),""," "&amp;R457)
&amp;IF(R457=S457,""," "&amp;S457)</f>
        <v/>
      </c>
    </row>
    <row r="458" spans="1:27" x14ac:dyDescent="0.25">
      <c r="A458">
        <v>8</v>
      </c>
      <c r="C458" t="s">
        <v>642</v>
      </c>
      <c r="E458" t="s">
        <v>620</v>
      </c>
      <c r="P458" s="24" t="s">
        <v>589</v>
      </c>
      <c r="S458" t="s">
        <v>23</v>
      </c>
      <c r="U458" t="str">
        <f>IF(AND(ISNUMBER(L458),COUNTIF([2]Songs!$L:$L,L458)&gt;0),"YES","")</f>
        <v/>
      </c>
      <c r="V458" t="str">
        <f>IF(AND(ISNUMBER(L458),COUNTIF([3]Songs!$J:$J,L458)&gt;0),"YES","")</f>
        <v/>
      </c>
      <c r="W458" t="str">
        <f>IF(AND(ISNUMBER(L458),COUNTIF([1]Songs!$H:$H,L458)&gt;0),"YES","")</f>
        <v/>
      </c>
      <c r="X458" t="s">
        <v>548</v>
      </c>
      <c r="Y458">
        <v>62</v>
      </c>
      <c r="AA458" t="str">
        <f>I458
&amp;IF(H458=I458,""," "&amp;H458)
&amp;IF(OR(R458=I458,R458=H458),""," "&amp;R458)
&amp;IF(R458=S458,""," "&amp;S458)</f>
        <v/>
      </c>
    </row>
    <row r="459" spans="1:27" x14ac:dyDescent="0.25">
      <c r="A459">
        <v>8</v>
      </c>
      <c r="C459" t="s">
        <v>642</v>
      </c>
      <c r="E459" t="s">
        <v>621</v>
      </c>
      <c r="G459" t="s">
        <v>622</v>
      </c>
      <c r="S459" t="s">
        <v>23</v>
      </c>
      <c r="U459" t="str">
        <f>IF(AND(ISNUMBER(L459),COUNTIF([2]Songs!$L:$L,L459)&gt;0),"YES","")</f>
        <v/>
      </c>
      <c r="V459" t="str">
        <f>IF(AND(ISNUMBER(L459),COUNTIF([3]Songs!$J:$J,L459)&gt;0),"YES","")</f>
        <v/>
      </c>
      <c r="W459" t="str">
        <f>IF(AND(ISNUMBER(L459),COUNTIF([1]Songs!$H:$H,L459)&gt;0),"YES","")</f>
        <v/>
      </c>
      <c r="X459" t="s">
        <v>540</v>
      </c>
      <c r="Y459">
        <v>76</v>
      </c>
      <c r="AA459" t="str">
        <f>I459
&amp;IF(H459=I459,""," "&amp;H459)
&amp;IF(OR(R459=I459,R459=H459),""," "&amp;R459)
&amp;IF(R459=S459,""," "&amp;S459)</f>
        <v/>
      </c>
    </row>
    <row r="460" spans="1:27" x14ac:dyDescent="0.25">
      <c r="A460">
        <v>8</v>
      </c>
      <c r="C460" t="s">
        <v>642</v>
      </c>
      <c r="E460" t="s">
        <v>623</v>
      </c>
      <c r="G460" t="s">
        <v>624</v>
      </c>
      <c r="S460" t="s">
        <v>23</v>
      </c>
      <c r="U460" t="str">
        <f>IF(AND(ISNUMBER(L460),COUNTIF([2]Songs!$L:$L,L460)&gt;0),"YES","")</f>
        <v/>
      </c>
      <c r="V460" t="str">
        <f>IF(AND(ISNUMBER(L460),COUNTIF([3]Songs!$J:$J,L460)&gt;0),"YES","")</f>
        <v/>
      </c>
      <c r="W460" t="str">
        <f>IF(AND(ISNUMBER(L460),COUNTIF([1]Songs!$H:$H,L460)&gt;0),"YES","")</f>
        <v/>
      </c>
      <c r="X460" t="s">
        <v>526</v>
      </c>
      <c r="Y460">
        <v>88</v>
      </c>
      <c r="AA460" t="str">
        <f>I460
&amp;IF(H460=I460,""," "&amp;H460)
&amp;IF(OR(R460=I460,R460=H460),""," "&amp;R460)
&amp;IF(R460=S460,""," "&amp;S460)</f>
        <v/>
      </c>
    </row>
    <row r="461" spans="1:27" x14ac:dyDescent="0.25">
      <c r="A461">
        <v>8</v>
      </c>
      <c r="C461" t="s">
        <v>642</v>
      </c>
      <c r="E461" t="s">
        <v>625</v>
      </c>
      <c r="G461" t="s">
        <v>626</v>
      </c>
      <c r="M461" s="4">
        <v>2019</v>
      </c>
      <c r="S461" t="s">
        <v>23</v>
      </c>
      <c r="U461" t="str">
        <f>IF(AND(ISNUMBER(L461),COUNTIF([2]Songs!$L:$L,L461)&gt;0),"YES","")</f>
        <v/>
      </c>
      <c r="V461" t="str">
        <f>IF(AND(ISNUMBER(L461),COUNTIF([3]Songs!$J:$J,L461)&gt;0),"YES","")</f>
        <v/>
      </c>
      <c r="W461" t="str">
        <f>IF(AND(ISNUMBER(L461),COUNTIF([1]Songs!$H:$H,L461)&gt;0),"YES","")</f>
        <v/>
      </c>
      <c r="X461" t="s">
        <v>529</v>
      </c>
      <c r="Y461">
        <v>58</v>
      </c>
      <c r="AA461" t="str">
        <f>I461
&amp;IF(H461=I461,""," "&amp;H461)
&amp;IF(OR(R461=I461,R461=H461),""," "&amp;R461)
&amp;IF(R461=S461,""," "&amp;S461)</f>
        <v/>
      </c>
    </row>
    <row r="462" spans="1:27" x14ac:dyDescent="0.25">
      <c r="A462">
        <v>8</v>
      </c>
      <c r="C462" t="s">
        <v>642</v>
      </c>
      <c r="E462" t="s">
        <v>627</v>
      </c>
      <c r="G462" t="s">
        <v>628</v>
      </c>
      <c r="S462" t="s">
        <v>23</v>
      </c>
      <c r="U462" t="str">
        <f>IF(AND(ISNUMBER(L462),COUNTIF([2]Songs!$L:$L,L462)&gt;0),"YES","")</f>
        <v/>
      </c>
      <c r="V462" t="str">
        <f>IF(AND(ISNUMBER(L462),COUNTIF([3]Songs!$J:$J,L462)&gt;0),"YES","")</f>
        <v/>
      </c>
      <c r="W462" t="str">
        <f>IF(AND(ISNUMBER(L462),COUNTIF([1]Songs!$H:$H,L462)&gt;0),"YES","")</f>
        <v/>
      </c>
      <c r="X462" t="s">
        <v>540</v>
      </c>
      <c r="Y462">
        <v>70</v>
      </c>
      <c r="AA462" t="str">
        <f>I462
&amp;IF(H462=I462,""," "&amp;H462)
&amp;IF(OR(R462=I462,R462=H462),""," "&amp;R462)
&amp;IF(R462=S462,""," "&amp;S462)</f>
        <v/>
      </c>
    </row>
    <row r="463" spans="1:27" x14ac:dyDescent="0.25">
      <c r="A463">
        <v>8</v>
      </c>
      <c r="C463" t="s">
        <v>642</v>
      </c>
      <c r="E463" t="s">
        <v>629</v>
      </c>
      <c r="P463" s="24" t="s">
        <v>220</v>
      </c>
      <c r="S463" t="s">
        <v>23</v>
      </c>
      <c r="U463" t="str">
        <f>IF(AND(ISNUMBER(L463),COUNTIF([2]Songs!$L:$L,L463)&gt;0),"YES","")</f>
        <v/>
      </c>
      <c r="V463" t="str">
        <f>IF(AND(ISNUMBER(L463),COUNTIF([3]Songs!$J:$J,L463)&gt;0),"YES","")</f>
        <v/>
      </c>
      <c r="W463" t="str">
        <f>IF(AND(ISNUMBER(L463),COUNTIF([1]Songs!$H:$H,L463)&gt;0),"YES","")</f>
        <v/>
      </c>
      <c r="X463" t="s">
        <v>548</v>
      </c>
      <c r="Y463">
        <v>81</v>
      </c>
      <c r="AA463" t="str">
        <f>I463
&amp;IF(H463=I463,""," "&amp;H463)
&amp;IF(OR(R463=I463,R463=H463),""," "&amp;R463)
&amp;IF(R463=S463,""," "&amp;S463)</f>
        <v/>
      </c>
    </row>
    <row r="464" spans="1:27" x14ac:dyDescent="0.25">
      <c r="A464">
        <v>8</v>
      </c>
      <c r="C464" t="s">
        <v>642</v>
      </c>
      <c r="E464" t="s">
        <v>630</v>
      </c>
      <c r="G464" t="s">
        <v>382</v>
      </c>
      <c r="S464" t="s">
        <v>23</v>
      </c>
      <c r="U464" t="str">
        <f>IF(AND(ISNUMBER(L464),COUNTIF([2]Songs!$L:$L,L464)&gt;0),"YES","")</f>
        <v/>
      </c>
      <c r="V464" t="str">
        <f>IF(AND(ISNUMBER(L464),COUNTIF([3]Songs!$J:$J,L464)&gt;0),"YES","")</f>
        <v/>
      </c>
      <c r="W464" t="str">
        <f>IF(AND(ISNUMBER(L464),COUNTIF([1]Songs!$H:$H,L464)&gt;0),"YES","")</f>
        <v/>
      </c>
      <c r="X464" t="s">
        <v>526</v>
      </c>
      <c r="Y464">
        <v>67</v>
      </c>
      <c r="AA464" t="str">
        <f>I464
&amp;IF(H464=I464,""," "&amp;H464)
&amp;IF(OR(R464=I464,R464=H464),""," "&amp;R464)
&amp;IF(R464=S464,""," "&amp;S464)</f>
        <v/>
      </c>
    </row>
    <row r="465" spans="1:27" x14ac:dyDescent="0.25">
      <c r="A465">
        <v>8</v>
      </c>
      <c r="C465" t="s">
        <v>642</v>
      </c>
      <c r="E465" t="s">
        <v>631</v>
      </c>
      <c r="P465" s="24" t="s">
        <v>632</v>
      </c>
      <c r="S465" t="s">
        <v>23</v>
      </c>
      <c r="U465" t="str">
        <f>IF(AND(ISNUMBER(L465),COUNTIF([2]Songs!$L:$L,L465)&gt;0),"YES","")</f>
        <v/>
      </c>
      <c r="V465" t="str">
        <f>IF(AND(ISNUMBER(L465),COUNTIF([3]Songs!$J:$J,L465)&gt;0),"YES","")</f>
        <v/>
      </c>
      <c r="W465" t="str">
        <f>IF(AND(ISNUMBER(L465),COUNTIF([1]Songs!$H:$H,L465)&gt;0),"YES","")</f>
        <v/>
      </c>
      <c r="X465" t="s">
        <v>548</v>
      </c>
      <c r="Y465">
        <v>33</v>
      </c>
      <c r="AA465" t="str">
        <f>I465
&amp;IF(H465=I465,""," "&amp;H465)
&amp;IF(OR(R465=I465,R465=H465),""," "&amp;R465)
&amp;IF(R465=S465,""," "&amp;S465)</f>
        <v/>
      </c>
    </row>
  </sheetData>
  <autoFilter ref="A1:AB465" xr:uid="{2120240A-6AEB-4B0B-9C4B-AFD525A5CB3B}">
    <sortState xmlns:xlrd2="http://schemas.microsoft.com/office/spreadsheetml/2017/richdata2" ref="A2:AB465">
      <sortCondition ref="A2:A465"/>
      <sortCondition ref="B2:B465"/>
      <sortCondition ref="C2:C465"/>
      <sortCondition ref="D2:D465"/>
    </sortState>
  </autoFilter>
  <sortState xmlns:xlrd2="http://schemas.microsoft.com/office/spreadsheetml/2017/richdata2" ref="A2:AA465">
    <sortCondition ref="L2:L465"/>
  </sortState>
  <conditionalFormatting sqref="E279:E1048576 E1:E277">
    <cfRule type="duplicateValues" dxfId="44" priority="48"/>
  </conditionalFormatting>
  <conditionalFormatting sqref="L10">
    <cfRule type="duplicateValues" dxfId="43" priority="44"/>
  </conditionalFormatting>
  <conditionalFormatting sqref="L25">
    <cfRule type="duplicateValues" dxfId="42" priority="43"/>
  </conditionalFormatting>
  <conditionalFormatting sqref="L30">
    <cfRule type="duplicateValues" dxfId="41" priority="42"/>
  </conditionalFormatting>
  <conditionalFormatting sqref="L55">
    <cfRule type="duplicateValues" dxfId="40" priority="40"/>
  </conditionalFormatting>
  <conditionalFormatting sqref="L119">
    <cfRule type="duplicateValues" dxfId="39" priority="39"/>
  </conditionalFormatting>
  <conditionalFormatting sqref="L298">
    <cfRule type="duplicateValues" dxfId="38" priority="38"/>
  </conditionalFormatting>
  <conditionalFormatting sqref="L236">
    <cfRule type="duplicateValues" dxfId="37" priority="37"/>
  </conditionalFormatting>
  <conditionalFormatting sqref="L236">
    <cfRule type="duplicateValues" dxfId="36" priority="36"/>
  </conditionalFormatting>
  <conditionalFormatting sqref="L237">
    <cfRule type="duplicateValues" dxfId="35" priority="35"/>
  </conditionalFormatting>
  <conditionalFormatting sqref="L237">
    <cfRule type="duplicateValues" dxfId="34" priority="34"/>
  </conditionalFormatting>
  <conditionalFormatting sqref="L238">
    <cfRule type="duplicateValues" dxfId="33" priority="33"/>
  </conditionalFormatting>
  <conditionalFormatting sqref="L238">
    <cfRule type="duplicateValues" dxfId="32" priority="32"/>
  </conditionalFormatting>
  <conditionalFormatting sqref="L239">
    <cfRule type="duplicateValues" dxfId="31" priority="31"/>
  </conditionalFormatting>
  <conditionalFormatting sqref="L239">
    <cfRule type="duplicateValues" dxfId="30" priority="30"/>
  </conditionalFormatting>
  <conditionalFormatting sqref="L240">
    <cfRule type="duplicateValues" dxfId="29" priority="29"/>
  </conditionalFormatting>
  <conditionalFormatting sqref="L240">
    <cfRule type="duplicateValues" dxfId="28" priority="28"/>
  </conditionalFormatting>
  <conditionalFormatting sqref="L241">
    <cfRule type="duplicateValues" dxfId="27" priority="27"/>
  </conditionalFormatting>
  <conditionalFormatting sqref="L241">
    <cfRule type="duplicateValues" dxfId="26" priority="26"/>
  </conditionalFormatting>
  <conditionalFormatting sqref="L242">
    <cfRule type="duplicateValues" dxfId="25" priority="25"/>
  </conditionalFormatting>
  <conditionalFormatting sqref="L242">
    <cfRule type="duplicateValues" dxfId="24" priority="24"/>
  </conditionalFormatting>
  <conditionalFormatting sqref="L243">
    <cfRule type="duplicateValues" dxfId="23" priority="23"/>
  </conditionalFormatting>
  <conditionalFormatting sqref="L243">
    <cfRule type="duplicateValues" dxfId="22" priority="22"/>
  </conditionalFormatting>
  <conditionalFormatting sqref="L248">
    <cfRule type="duplicateValues" dxfId="21" priority="21"/>
  </conditionalFormatting>
  <conditionalFormatting sqref="L248">
    <cfRule type="duplicateValues" dxfId="20" priority="20"/>
  </conditionalFormatting>
  <conditionalFormatting sqref="L249">
    <cfRule type="duplicateValues" dxfId="19" priority="19"/>
  </conditionalFormatting>
  <conditionalFormatting sqref="L249">
    <cfRule type="duplicateValues" dxfId="18" priority="18"/>
  </conditionalFormatting>
  <conditionalFormatting sqref="L252">
    <cfRule type="duplicateValues" dxfId="17" priority="17"/>
  </conditionalFormatting>
  <conditionalFormatting sqref="L252">
    <cfRule type="duplicateValues" dxfId="16" priority="16"/>
  </conditionalFormatting>
  <conditionalFormatting sqref="L255">
    <cfRule type="duplicateValues" dxfId="15" priority="15"/>
  </conditionalFormatting>
  <conditionalFormatting sqref="L255">
    <cfRule type="duplicateValues" dxfId="14" priority="14"/>
  </conditionalFormatting>
  <conditionalFormatting sqref="L31">
    <cfRule type="duplicateValues" dxfId="13" priority="13"/>
  </conditionalFormatting>
  <conditionalFormatting sqref="L41">
    <cfRule type="duplicateValues" dxfId="12" priority="12"/>
  </conditionalFormatting>
  <conditionalFormatting sqref="L42">
    <cfRule type="duplicateValues" dxfId="11" priority="11"/>
  </conditionalFormatting>
  <conditionalFormatting sqref="L44">
    <cfRule type="duplicateValues" dxfId="10" priority="10"/>
  </conditionalFormatting>
  <conditionalFormatting sqref="L45">
    <cfRule type="duplicateValues" dxfId="9" priority="9"/>
  </conditionalFormatting>
  <conditionalFormatting sqref="L48">
    <cfRule type="duplicateValues" dxfId="8" priority="8"/>
  </conditionalFormatting>
  <conditionalFormatting sqref="L51">
    <cfRule type="duplicateValues" dxfId="7" priority="7"/>
  </conditionalFormatting>
  <conditionalFormatting sqref="L52">
    <cfRule type="duplicateValues" dxfId="6" priority="6"/>
  </conditionalFormatting>
  <conditionalFormatting sqref="L53">
    <cfRule type="duplicateValues" dxfId="5" priority="5"/>
  </conditionalFormatting>
  <conditionalFormatting sqref="L54">
    <cfRule type="duplicateValues" dxfId="4" priority="4"/>
  </conditionalFormatting>
  <conditionalFormatting sqref="L58">
    <cfRule type="duplicateValues" dxfId="3" priority="3"/>
  </conditionalFormatting>
  <conditionalFormatting sqref="L61">
    <cfRule type="duplicateValues" dxfId="2" priority="2"/>
  </conditionalFormatting>
  <conditionalFormatting sqref="L109">
    <cfRule type="duplicateValues" dxfId="1" priority="1"/>
  </conditionalFormatting>
  <conditionalFormatting sqref="L279:L465 L2:L277">
    <cfRule type="duplicateValues" dxfId="0" priority="5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Statistics</vt:lpstr>
      <vt:lpstr>Albums</vt:lpstr>
      <vt:lpstr>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2021-01-05T04:15:38Z</dcterms:created>
  <dcterms:modified xsi:type="dcterms:W3CDTF">2021-01-08T16:18:15Z</dcterms:modified>
</cp:coreProperties>
</file>