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ageOptimizer\Data\WorshipCreator.TestData\Source\Books\ShaneAndShane\"/>
    </mc:Choice>
  </mc:AlternateContent>
  <xr:revisionPtr revIDLastSave="0" documentId="13_ncr:1_{7765BC58-56AA-45CF-B463-124A2C4C7385}" xr6:coauthVersionLast="45" xr6:coauthVersionMax="45" xr10:uidLastSave="{00000000-0000-0000-0000-000000000000}"/>
  <bookViews>
    <workbookView xWindow="28680" yWindow="-120" windowWidth="29040" windowHeight="15990" activeTab="1" xr2:uid="{1898BBCD-4A5D-4B3F-9317-061045B18130}"/>
  </bookViews>
  <sheets>
    <sheet name="Statistics" sheetId="5" r:id="rId1"/>
    <sheet name="Albums" sheetId="4" r:id="rId2"/>
    <sheet name="Songs" sheetId="1" r:id="rId3"/>
  </sheets>
  <definedNames>
    <definedName name="_xlnm._FilterDatabase" localSheetId="1" hidden="1">Albums!$A$1:$J$37</definedName>
    <definedName name="_xlnm._FilterDatabase" localSheetId="2" hidden="1">Songs!$A$1:$V$314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7" i="4" l="1"/>
  <c r="E5" i="4"/>
  <c r="E6" i="4"/>
  <c r="E7" i="4"/>
  <c r="E8" i="4"/>
  <c r="E9" i="4"/>
  <c r="E10" i="4"/>
  <c r="E11" i="4"/>
  <c r="E12" i="4"/>
  <c r="E13" i="4"/>
  <c r="E15" i="4"/>
  <c r="E17" i="4"/>
  <c r="E20" i="4"/>
  <c r="E21" i="4"/>
  <c r="E22" i="4"/>
  <c r="E25" i="4"/>
  <c r="E26" i="4"/>
  <c r="E29" i="4"/>
  <c r="E30" i="4"/>
  <c r="E31" i="4"/>
  <c r="E32" i="4"/>
  <c r="E33" i="4"/>
  <c r="E34" i="4"/>
  <c r="E35" i="4"/>
  <c r="E2" i="4"/>
  <c r="E14" i="4"/>
  <c r="E16" i="4"/>
  <c r="E3" i="4"/>
  <c r="E18" i="4"/>
  <c r="E19" i="4"/>
  <c r="E28" i="4"/>
  <c r="E23" i="4"/>
  <c r="E27" i="4"/>
  <c r="E24" i="4"/>
  <c r="E36" i="4"/>
  <c r="E4" i="4"/>
  <c r="B18" i="5" l="1"/>
  <c r="F17" i="5"/>
  <c r="F13" i="5"/>
  <c r="F5" i="5"/>
  <c r="V270" i="1" l="1"/>
  <c r="V261" i="1"/>
  <c r="V253" i="1"/>
  <c r="V251" i="1"/>
  <c r="V246" i="1"/>
  <c r="V244" i="1"/>
  <c r="V242" i="1"/>
  <c r="V238" i="1"/>
  <c r="V236" i="1"/>
  <c r="V209" i="1"/>
  <c r="V206" i="1"/>
  <c r="V205" i="1"/>
  <c r="V204" i="1"/>
  <c r="V202" i="1"/>
  <c r="V201" i="1"/>
  <c r="V200" i="1"/>
  <c r="V198" i="1"/>
  <c r="V174" i="1"/>
  <c r="V171" i="1"/>
  <c r="V170" i="1"/>
  <c r="V167" i="1"/>
  <c r="V166" i="1"/>
  <c r="V165" i="1"/>
  <c r="V164" i="1"/>
  <c r="V161" i="1"/>
  <c r="V157" i="1"/>
  <c r="V131" i="1"/>
  <c r="V130" i="1"/>
  <c r="V127" i="1"/>
  <c r="V126" i="1"/>
  <c r="V124" i="1"/>
  <c r="V101" i="1"/>
  <c r="V100" i="1"/>
  <c r="V99" i="1"/>
  <c r="V98" i="1"/>
  <c r="V97" i="1"/>
  <c r="V96" i="1"/>
  <c r="V93" i="1"/>
  <c r="V86" i="1"/>
  <c r="V85" i="1"/>
  <c r="V84" i="1"/>
  <c r="V79" i="1"/>
  <c r="V72" i="1"/>
  <c r="V64" i="1"/>
  <c r="V63" i="1"/>
  <c r="V61" i="1"/>
  <c r="V60" i="1"/>
  <c r="V59" i="1"/>
  <c r="V58" i="1"/>
  <c r="V55" i="1"/>
  <c r="V54" i="1"/>
  <c r="V52" i="1"/>
  <c r="V51" i="1"/>
  <c r="V50" i="1"/>
  <c r="V49" i="1"/>
  <c r="V42" i="1"/>
  <c r="V39" i="1"/>
  <c r="V37" i="1"/>
  <c r="V31" i="1"/>
  <c r="V30" i="1"/>
  <c r="V29" i="1"/>
  <c r="V28" i="1"/>
  <c r="V23" i="1"/>
  <c r="V21" i="1"/>
  <c r="V20" i="1"/>
  <c r="V19" i="1"/>
  <c r="V17" i="1"/>
  <c r="V16" i="1"/>
  <c r="V15" i="1"/>
  <c r="V13" i="1"/>
  <c r="V10" i="1"/>
  <c r="V9" i="1"/>
  <c r="V6" i="1"/>
  <c r="V5" i="1"/>
  <c r="V4" i="1"/>
  <c r="V3" i="1"/>
  <c r="V2" i="1"/>
  <c r="V123" i="1"/>
  <c r="V122" i="1"/>
  <c r="V118" i="1"/>
  <c r="V117" i="1"/>
</calcChain>
</file>

<file path=xl/sharedStrings.xml><?xml version="1.0" encoding="utf-8"?>
<sst xmlns="http://schemas.openxmlformats.org/spreadsheetml/2006/main" count="2288" uniqueCount="642">
  <si>
    <t>G</t>
  </si>
  <si>
    <t>O Come All Ye Faithful</t>
  </si>
  <si>
    <t>C</t>
  </si>
  <si>
    <t>Angels We Have Heard On High</t>
  </si>
  <si>
    <t>B</t>
  </si>
  <si>
    <t>Go Tell It On The Mountain</t>
  </si>
  <si>
    <t>Silent Night</t>
  </si>
  <si>
    <t>E</t>
  </si>
  <si>
    <t>Joy To The World</t>
  </si>
  <si>
    <t>F#</t>
  </si>
  <si>
    <t>What Child Is This</t>
  </si>
  <si>
    <t>Come Thou Long Expected Jesus</t>
  </si>
  <si>
    <t>F</t>
  </si>
  <si>
    <t>O Little Town of Bethlehem</t>
  </si>
  <si>
    <t>Hark the Herald Angels Sing</t>
  </si>
  <si>
    <t>A</t>
  </si>
  <si>
    <t>Face of God</t>
  </si>
  <si>
    <t>Away in a Manger</t>
  </si>
  <si>
    <t>Bb</t>
  </si>
  <si>
    <t>It Came Upon A Midnight Clear</t>
  </si>
  <si>
    <t>D</t>
  </si>
  <si>
    <t>Eb</t>
  </si>
  <si>
    <t>Ab</t>
  </si>
  <si>
    <t>Crown Him With Many Crowns</t>
  </si>
  <si>
    <t>My Jesus I Love Thee</t>
  </si>
  <si>
    <t>All Hail The Power of Jesus Name</t>
  </si>
  <si>
    <t>Db</t>
  </si>
  <si>
    <t>Tempo</t>
  </si>
  <si>
    <t>Key</t>
  </si>
  <si>
    <t>The Worship Initiative</t>
  </si>
  <si>
    <t>Title</t>
  </si>
  <si>
    <t>Author</t>
  </si>
  <si>
    <t>Alt Title</t>
  </si>
  <si>
    <t>The Worship Initiative, Vol. 10</t>
  </si>
  <si>
    <t>The Worship Initiative, Vol. 11</t>
  </si>
  <si>
    <t>The Worship Initiative, Vol. 12</t>
  </si>
  <si>
    <t>The Worship Initiative, Vol. 13</t>
  </si>
  <si>
    <t>The Worship Initiative, Vol. 14</t>
  </si>
  <si>
    <t>The Worship Initiative, Vol. 15</t>
  </si>
  <si>
    <t>The Worship Initiative, Vol. 16</t>
  </si>
  <si>
    <t>The Worship Initiative, Vol. 17</t>
  </si>
  <si>
    <t>The Worship Initiative, Vol. 18</t>
  </si>
  <si>
    <t>The Worship Initiative, Vol. 19</t>
  </si>
  <si>
    <t>The Worship Initiative, Vol. 20</t>
  </si>
  <si>
    <t>The Worship Initiative, Vol. 21</t>
  </si>
  <si>
    <t>The Worship Initiative, Vol. 22</t>
  </si>
  <si>
    <t>The Worship Initiative, Vol. 23</t>
  </si>
  <si>
    <t>Done</t>
  </si>
  <si>
    <t>N/A</t>
  </si>
  <si>
    <t>NoNumber</t>
  </si>
  <si>
    <t>Status</t>
  </si>
  <si>
    <t>Joel Houston</t>
  </si>
  <si>
    <t>4/4</t>
  </si>
  <si>
    <t>Hillsong Music Publishing Australia</t>
  </si>
  <si>
    <t>Original Key</t>
  </si>
  <si>
    <t>Tempo (BPM)</t>
  </si>
  <si>
    <t>Time Signature</t>
  </si>
  <si>
    <t>CCLI Song #</t>
  </si>
  <si>
    <t>Publication Year</t>
  </si>
  <si>
    <t>Copyright Holder</t>
  </si>
  <si>
    <t>Chris Tomlin, John Newton</t>
  </si>
  <si>
    <t>sixsteps Music</t>
  </si>
  <si>
    <t>Matt Redman</t>
  </si>
  <si>
    <t>Thankyou Music</t>
  </si>
  <si>
    <t>Ben Fielding, Reuben Morgan</t>
  </si>
  <si>
    <t>3/4</t>
  </si>
  <si>
    <t>Anthony Skinner, Chris McClarney</t>
  </si>
  <si>
    <t>Martin Smith, Stuart Garrard</t>
  </si>
  <si>
    <t>Curious? Music UK</t>
  </si>
  <si>
    <t>Chris Tomlin, Daniel Carson</t>
  </si>
  <si>
    <t>Chris Tomlin, Jesse Reeves</t>
  </si>
  <si>
    <t>Marc Byrd, Steve Hindalong</t>
  </si>
  <si>
    <t>Ab,Bb</t>
  </si>
  <si>
    <t>Never Say Never Songs</t>
  </si>
  <si>
    <t>Billy J. Foote</t>
  </si>
  <si>
    <t>worshiptogether.com songs</t>
  </si>
  <si>
    <t>Stuart Townend</t>
  </si>
  <si>
    <t>Chris Brown, Mack Brock</t>
  </si>
  <si>
    <t>6/8</t>
  </si>
  <si>
    <t>Elevation Worship Publishing</t>
  </si>
  <si>
    <t>Brian Johnson, Hunter Thompson</t>
  </si>
  <si>
    <t>Bethel Music Publishing</t>
  </si>
  <si>
    <t>Anthony Brown, Pat Barrett</t>
  </si>
  <si>
    <t>Capitol CMG Paragon</t>
  </si>
  <si>
    <t>Jonathan D. Helser, Brian Johnson</t>
  </si>
  <si>
    <t>Chris Tomlin, Ed Cash</t>
  </si>
  <si>
    <t>Countless Wonder Publishing</t>
  </si>
  <si>
    <t>Brenton Brown, Brian Johnson</t>
  </si>
  <si>
    <t>Meaux Mercy</t>
  </si>
  <si>
    <t>Ben Fielding, Brooke Ligertwood</t>
  </si>
  <si>
    <t>Jason Ingram, Kristian Stanfill</t>
  </si>
  <si>
    <t>Chris Tomlin, Jason Ingram</t>
  </si>
  <si>
    <t>S. D. G. Publishing</t>
  </si>
  <si>
    <t>Jared Anderson</t>
  </si>
  <si>
    <t>Integrity Worship Music</t>
  </si>
  <si>
    <t>Benjamin Hastings, Dean Ussher</t>
  </si>
  <si>
    <t>Kristian Stanfill, Jason Ingram</t>
  </si>
  <si>
    <t>Kristian Stanfill Publishing Designee</t>
  </si>
  <si>
    <t>John M. McMillan, Sarah McMillan</t>
  </si>
  <si>
    <t>Meaux Jeaux Music</t>
  </si>
  <si>
    <t>Brett Younker, Karl Martin</t>
  </si>
  <si>
    <t>Kaple Music</t>
  </si>
  <si>
    <t>Cory Asbury, Caleb Culver</t>
  </si>
  <si>
    <t>Cory Asbury Publishing</t>
  </si>
  <si>
    <t>Jonas Myrin, Reuben Morgan</t>
  </si>
  <si>
    <t xml:space="preserve"> Hillsong Music Publishing Australia</t>
  </si>
  <si>
    <t>Andres Figueroa, Hank Bentley</t>
  </si>
  <si>
    <t>All Essential Music</t>
  </si>
  <si>
    <t>Phil Wickham, Brian Johnson</t>
  </si>
  <si>
    <t>Phil Wickham Music</t>
  </si>
  <si>
    <t>Joel Houston, Benjamin Hastings</t>
  </si>
  <si>
    <t>2/2</t>
  </si>
  <si>
    <t>Kristene DiMarco, Horatio Spafford</t>
  </si>
  <si>
    <t>3/4+4/4</t>
  </si>
  <si>
    <t>Brooke Ligertwood</t>
  </si>
  <si>
    <t>Joel Houston, Jonas Myrin</t>
  </si>
  <si>
    <t>Jonny Robinson, Rich Thompson</t>
  </si>
  <si>
    <t>CityAlight Music</t>
  </si>
  <si>
    <t>Brooke Ligertwood, Scott Ligertwood</t>
  </si>
  <si>
    <t>Jeff Pardo, Ben Glover</t>
  </si>
  <si>
    <t>9t One Songs</t>
  </si>
  <si>
    <t>Chris Davenport, Joel Houston</t>
  </si>
  <si>
    <t>John W. Chapman, Mark Hall</t>
  </si>
  <si>
    <t>My Refuge Music</t>
  </si>
  <si>
    <t>Joel Houston, Matt Crocker</t>
  </si>
  <si>
    <t>Jeremy Riddle, Josh Farro</t>
  </si>
  <si>
    <t>David Leonard, Leslie Jordan</t>
  </si>
  <si>
    <t>Integrity's Alleluia! Music</t>
  </si>
  <si>
    <t>Christy Nockels, Daniel Carson</t>
  </si>
  <si>
    <t>Keith Getty, Stuart Townend</t>
  </si>
  <si>
    <t>Jonas Myrin, Matt Redman</t>
  </si>
  <si>
    <t>Atlas Mountain Songs</t>
  </si>
  <si>
    <t>Alletrop Music</t>
  </si>
  <si>
    <t>Brenton Brown, Paul Baloche</t>
  </si>
  <si>
    <t>Matt Redman, Jonas Myrin</t>
  </si>
  <si>
    <t>Dennis Jernigan</t>
  </si>
  <si>
    <t>Shepherd's Heart Music, Inc.</t>
  </si>
  <si>
    <t>Paul Baloche</t>
  </si>
  <si>
    <t>Integrity's Hosanna! Music</t>
  </si>
  <si>
    <t>SHOUT! Music Publishing Australia</t>
  </si>
  <si>
    <t>Darlene Zschech</t>
  </si>
  <si>
    <t>Wondrous Worship</t>
  </si>
  <si>
    <t>Charitie L. Bancroft, Vikki Cook</t>
  </si>
  <si>
    <t>Sovereign Grace Worship</t>
  </si>
  <si>
    <t>Tim Hughes</t>
  </si>
  <si>
    <t>Beth Redman, Matt Redman</t>
  </si>
  <si>
    <t>Public Domain</t>
  </si>
  <si>
    <t>Mike Guglielmucci</t>
  </si>
  <si>
    <t>Planetshakers Ministries Int. Inc.</t>
  </si>
  <si>
    <t>Edward Mote, Eric Liljero</t>
  </si>
  <si>
    <t>Elvina M. Hall</t>
  </si>
  <si>
    <t>Krissy Nordhoff, Michael Neale</t>
  </si>
  <si>
    <t>Integrity's Praise! Music</t>
  </si>
  <si>
    <t>Chris Tomlin, Isaac Watts</t>
  </si>
  <si>
    <t>Gloria Gaither, William J. Gaither</t>
  </si>
  <si>
    <t>Hanna Street Music</t>
  </si>
  <si>
    <t>Jennie L. Riddle</t>
  </si>
  <si>
    <t>Gateway Create Publishing</t>
  </si>
  <si>
    <t>Thomas Chisholm, William Runyan</t>
  </si>
  <si>
    <t>Chris Tomlin</t>
  </si>
  <si>
    <t>Brian Johnson, Christa B. Gifford</t>
  </si>
  <si>
    <t>ChristaJoy Music Publishing</t>
  </si>
  <si>
    <t>Matt Maher</t>
  </si>
  <si>
    <t>CCWS?</t>
  </si>
  <si>
    <t>Yes</t>
  </si>
  <si>
    <t>Where You Are</t>
  </si>
  <si>
    <t>Better</t>
  </si>
  <si>
    <t>By The Grace of God</t>
  </si>
  <si>
    <t>Good Grace</t>
  </si>
  <si>
    <t>Make Room</t>
  </si>
  <si>
    <t>Psalm 13</t>
  </si>
  <si>
    <t>Notes</t>
  </si>
  <si>
    <t>Brian Johnson, Christa Black Gifford</t>
  </si>
  <si>
    <t>Kari Jobe Carnes Music</t>
  </si>
  <si>
    <t>David Leonard, Jason Ingram</t>
  </si>
  <si>
    <t> Integrity's Alleluia! Music</t>
  </si>
  <si>
    <t>Brooke Ligertwood, Matt Crocker</t>
  </si>
  <si>
    <t>Steven Furtick, Matt Redman</t>
  </si>
  <si>
    <t>Said And Done Music</t>
  </si>
  <si>
    <t>CCLI# Accurate</t>
  </si>
  <si>
    <t>Hymns, Vol. 1</t>
  </si>
  <si>
    <t>Hymns, Vol. 2</t>
  </si>
  <si>
    <t>Hymns Live</t>
  </si>
  <si>
    <t>TBD</t>
  </si>
  <si>
    <t>dup</t>
  </si>
  <si>
    <t>WI Lite</t>
  </si>
  <si>
    <t>Lite</t>
  </si>
  <si>
    <t>WI Singles</t>
  </si>
  <si>
    <t>Year</t>
  </si>
  <si>
    <t>Kickstarter Project</t>
  </si>
  <si>
    <t>Prerelease</t>
  </si>
  <si>
    <t>Psalms</t>
  </si>
  <si>
    <t>Not on TWI</t>
  </si>
  <si>
    <t>Psalms Live</t>
  </si>
  <si>
    <t>Glory in the Highest: A Christmas Record</t>
  </si>
  <si>
    <t>The Worship Initiative Christmas, Vol. 3</t>
  </si>
  <si>
    <t>Mainly duplicates of Vol. 1</t>
  </si>
  <si>
    <t>Hymns (Live)</t>
  </si>
  <si>
    <t>Lots of duplicates</t>
  </si>
  <si>
    <t>Played live but not included on any album</t>
  </si>
  <si>
    <t>Is He Worthy</t>
  </si>
  <si>
    <t>Tis So Sweet</t>
  </si>
  <si>
    <t>How Great Thou Art</t>
  </si>
  <si>
    <t>Come Thou Fount</t>
  </si>
  <si>
    <t>His Mercy is More</t>
  </si>
  <si>
    <t>Amazing Grace</t>
  </si>
  <si>
    <t>The Lord is My Salvation</t>
  </si>
  <si>
    <t>Holy, Holy, Holy</t>
  </si>
  <si>
    <t>He Will Hold Me Fast</t>
  </si>
  <si>
    <t>There is A Fountain</t>
  </si>
  <si>
    <t>My Worth Is Not In What I Own</t>
  </si>
  <si>
    <t>In Christ Alone</t>
  </si>
  <si>
    <t>Category</t>
  </si>
  <si>
    <t>Count</t>
  </si>
  <si>
    <t>Volume</t>
  </si>
  <si>
    <t>TWI Total</t>
  </si>
  <si>
    <t>Volume 1</t>
  </si>
  <si>
    <t>Vol. 1-12</t>
  </si>
  <si>
    <t>ALL CCWS</t>
  </si>
  <si>
    <t>Hymns</t>
  </si>
  <si>
    <t>ALL Other</t>
  </si>
  <si>
    <t>Volume 2</t>
  </si>
  <si>
    <t>Vol. 13-23</t>
  </si>
  <si>
    <t>TWI Special</t>
  </si>
  <si>
    <t>Christmas</t>
  </si>
  <si>
    <t>From CCWS Xmas</t>
  </si>
  <si>
    <t>From CCWS</t>
  </si>
  <si>
    <t>Extra</t>
  </si>
  <si>
    <t>Other</t>
  </si>
  <si>
    <t>Oceans</t>
  </si>
  <si>
    <t/>
  </si>
  <si>
    <t>Hillsong</t>
  </si>
  <si>
    <t>This Is Amazing Grace</t>
  </si>
  <si>
    <t>Phil Wickham</t>
  </si>
  <si>
    <t>All the Poor and Powerless</t>
  </si>
  <si>
    <t>All Sons &amp; Daughters</t>
  </si>
  <si>
    <t>Lord I Need You</t>
  </si>
  <si>
    <t>Passion</t>
  </si>
  <si>
    <t>Beautiful Things</t>
  </si>
  <si>
    <t>Gungor</t>
  </si>
  <si>
    <t>Vol. 1</t>
  </si>
  <si>
    <t>10,000 Reasons</t>
  </si>
  <si>
    <t>Whom Shall I Fear</t>
  </si>
  <si>
    <t>God of Angel Armies</t>
  </si>
  <si>
    <t>Happy Day</t>
  </si>
  <si>
    <t>Heart Starts Beating</t>
  </si>
  <si>
    <t>Tim Neufeld</t>
  </si>
  <si>
    <t>Hosanna</t>
  </si>
  <si>
    <t>Praise is Rising</t>
  </si>
  <si>
    <t>Forever Reign</t>
  </si>
  <si>
    <t>Mercy</t>
  </si>
  <si>
    <t>How Great Is Our God</t>
  </si>
  <si>
    <t>You Are My All In All</t>
  </si>
  <si>
    <t>We Exalt Thee</t>
  </si>
  <si>
    <t>Pete Sanchez Jr.</t>
  </si>
  <si>
    <t>Our God</t>
  </si>
  <si>
    <t>Open the Eyes of My Heart</t>
  </si>
  <si>
    <t>Better Is One Day</t>
  </si>
  <si>
    <t>So I Can Love</t>
  </si>
  <si>
    <t>I Will Follow</t>
  </si>
  <si>
    <t>Liberty</t>
  </si>
  <si>
    <t>Shane &amp; Shane</t>
  </si>
  <si>
    <t>Oh Lord, You're Beautiful</t>
  </si>
  <si>
    <t>Keith Green</t>
  </si>
  <si>
    <t>How He Loves</t>
  </si>
  <si>
    <t>John Mark McMillan</t>
  </si>
  <si>
    <t>Never Once</t>
  </si>
  <si>
    <t>Shout to the Lord</t>
  </si>
  <si>
    <t>Before The Throne of God Above</t>
  </si>
  <si>
    <t>Beautiful One</t>
  </si>
  <si>
    <t>Blessed Be Your Name</t>
  </si>
  <si>
    <t>I Stand Amazed</t>
  </si>
  <si>
    <t>How Marvelous</t>
  </si>
  <si>
    <t>Our God Is Love</t>
  </si>
  <si>
    <t>Holy Is The Lord</t>
  </si>
  <si>
    <t>Here For You</t>
  </si>
  <si>
    <t>Always</t>
  </si>
  <si>
    <t>Here I Am To Worship</t>
  </si>
  <si>
    <t>Worthy of Affection</t>
  </si>
  <si>
    <t>Healer</t>
  </si>
  <si>
    <t>It Is Well</t>
  </si>
  <si>
    <t>Hymn</t>
  </si>
  <si>
    <t>O Praise Him</t>
  </si>
  <si>
    <t>All This For a King</t>
  </si>
  <si>
    <t>Crowder</t>
  </si>
  <si>
    <t>Cornerstone</t>
  </si>
  <si>
    <t>Reign In Us</t>
  </si>
  <si>
    <t>Starfield</t>
  </si>
  <si>
    <t>Cannons</t>
  </si>
  <si>
    <t>Though You Slay Me</t>
  </si>
  <si>
    <t>Let My Words Be Few</t>
  </si>
  <si>
    <t>I Am Set Free</t>
  </si>
  <si>
    <t>Give Us Clean Hands</t>
  </si>
  <si>
    <t>Jesus Paid It All</t>
  </si>
  <si>
    <t>Your Great Name</t>
  </si>
  <si>
    <t>Natalie Grant</t>
  </si>
  <si>
    <t>The Wonderful Cross</t>
  </si>
  <si>
    <t>Because He Lives</t>
  </si>
  <si>
    <t>William Gaither</t>
  </si>
  <si>
    <t>Now and Always</t>
  </si>
  <si>
    <t>Revelation Song</t>
  </si>
  <si>
    <t>Kari Jobe</t>
  </si>
  <si>
    <t>Great Is Thy Faithfulness</t>
  </si>
  <si>
    <t>The Cross Stands</t>
  </si>
  <si>
    <t>Marvelous Light</t>
  </si>
  <si>
    <t>Charlie Hall</t>
  </si>
  <si>
    <t>Forever</t>
  </si>
  <si>
    <t>Sing Praise</t>
  </si>
  <si>
    <t>One Thing Remains</t>
  </si>
  <si>
    <t>Brian Johnson</t>
  </si>
  <si>
    <t>Lead Me to the Cross</t>
  </si>
  <si>
    <t>Your Grace is Enough</t>
  </si>
  <si>
    <t>You're Beautiful</t>
  </si>
  <si>
    <t>Mighty to Save</t>
  </si>
  <si>
    <t>Glorify Thy Name</t>
  </si>
  <si>
    <t>The Maranatha! Singers</t>
  </si>
  <si>
    <t>Desert Song</t>
  </si>
  <si>
    <t>Holy and Anointed One</t>
  </si>
  <si>
    <t>Brian Doerksen</t>
  </si>
  <si>
    <t>Where Would I Be</t>
  </si>
  <si>
    <t>Patrick Ryan Clark</t>
  </si>
  <si>
    <t>Everything is Different</t>
  </si>
  <si>
    <t>Everlasting God</t>
  </si>
  <si>
    <t>Brenton Brown</t>
  </si>
  <si>
    <t>I Will Exalt You</t>
  </si>
  <si>
    <t>The Stand</t>
  </si>
  <si>
    <t>Indescribable</t>
  </si>
  <si>
    <t>I Give You My Heart</t>
  </si>
  <si>
    <t>Nothing But The Blood</t>
  </si>
  <si>
    <t>No Sweeter Name</t>
  </si>
  <si>
    <t>You Never Let Go</t>
  </si>
  <si>
    <t>Enough</t>
  </si>
  <si>
    <t>My Chains Are Gone</t>
  </si>
  <si>
    <t>Alive Again</t>
  </si>
  <si>
    <t>Yearn</t>
  </si>
  <si>
    <t>Your Love Is Strong</t>
  </si>
  <si>
    <t>Jon Foreman</t>
  </si>
  <si>
    <t>I'm Yours</t>
  </si>
  <si>
    <t>Heart of Worship</t>
  </si>
  <si>
    <t>From The Inside Out</t>
  </si>
  <si>
    <t>Stronger</t>
  </si>
  <si>
    <t>That's How You Forgive</t>
  </si>
  <si>
    <t>Christ Is Risen</t>
  </si>
  <si>
    <t>He is Exalted</t>
  </si>
  <si>
    <t>Twila Paris</t>
  </si>
  <si>
    <t>When the Stars Burn Down</t>
  </si>
  <si>
    <t>Phillips Craig &amp; Dean</t>
  </si>
  <si>
    <t>Your Name</t>
  </si>
  <si>
    <t>God is Able</t>
  </si>
  <si>
    <t>Your Love Never Fails</t>
  </si>
  <si>
    <t>Chris McClarney</t>
  </si>
  <si>
    <t>Your Grace Finds Me</t>
  </si>
  <si>
    <t>I Found It All</t>
  </si>
  <si>
    <t>Majesty</t>
  </si>
  <si>
    <t>Delirious</t>
  </si>
  <si>
    <t>Jesus Messiah</t>
  </si>
  <si>
    <t>I Will Rise</t>
  </si>
  <si>
    <t>God of Wonders</t>
  </si>
  <si>
    <t>Third Day</t>
  </si>
  <si>
    <t>You Are My King</t>
  </si>
  <si>
    <t>Amazing Love</t>
  </si>
  <si>
    <t>How Deep the Father's Love for Us</t>
  </si>
  <si>
    <t>God of Ages Past</t>
  </si>
  <si>
    <t>Seas of Crimson</t>
  </si>
  <si>
    <t>This I Believe</t>
  </si>
  <si>
    <t>Scandal of Grace</t>
  </si>
  <si>
    <t>Hillsong United</t>
  </si>
  <si>
    <t>We Sing Hallelujah</t>
  </si>
  <si>
    <t>Jesus Loves Me</t>
  </si>
  <si>
    <t>Christ Be All Around Me</t>
  </si>
  <si>
    <t>You Make Me Brave</t>
  </si>
  <si>
    <t>Amanda Cook</t>
  </si>
  <si>
    <t>Great Are You Lord</t>
  </si>
  <si>
    <t>Man of Sorrows</t>
  </si>
  <si>
    <t>O Come To The Altar</t>
  </si>
  <si>
    <t>Elevation Worship</t>
  </si>
  <si>
    <t>Open Up The Heavens</t>
  </si>
  <si>
    <t>Vertical</t>
  </si>
  <si>
    <t>Be Enthroned</t>
  </si>
  <si>
    <t>Jeremy Riddle</t>
  </si>
  <si>
    <t>Good Good Father</t>
  </si>
  <si>
    <t>HouseFires</t>
  </si>
  <si>
    <t>Holy Spirit</t>
  </si>
  <si>
    <t>Bryan &amp; Katie Torwalt</t>
  </si>
  <si>
    <t>Girls</t>
  </si>
  <si>
    <t>No Longer Slaves</t>
  </si>
  <si>
    <t>Jonathan David &amp; Melissa Helser</t>
  </si>
  <si>
    <t>At The Cross</t>
  </si>
  <si>
    <t>Love Ran Red</t>
  </si>
  <si>
    <t>Praise The King</t>
  </si>
  <si>
    <t>Corey Voss</t>
  </si>
  <si>
    <t>Sovereign Over Us</t>
  </si>
  <si>
    <t>Aaron Keyes</t>
  </si>
  <si>
    <t>Trust You</t>
  </si>
  <si>
    <t>You're Worthy of It All</t>
  </si>
  <si>
    <t>Jesus We Love You</t>
  </si>
  <si>
    <t>Paul McClure</t>
  </si>
  <si>
    <t>Lion and The Lamb</t>
  </si>
  <si>
    <t>Leeland</t>
  </si>
  <si>
    <t>Alive</t>
  </si>
  <si>
    <t>Hillsong Young &amp; Free</t>
  </si>
  <si>
    <t>Ever Be</t>
  </si>
  <si>
    <t>Kalley Heiligenthal</t>
  </si>
  <si>
    <t>Guys</t>
  </si>
  <si>
    <t>What A Beautiful Name</t>
  </si>
  <si>
    <t>Hillsong Worship</t>
  </si>
  <si>
    <t>Once For All</t>
  </si>
  <si>
    <t>Come As You Are</t>
  </si>
  <si>
    <t>The Lord Our God</t>
  </si>
  <si>
    <t>Even So Come</t>
  </si>
  <si>
    <t>Great I Am</t>
  </si>
  <si>
    <t>O Praise The Name</t>
  </si>
  <si>
    <t>How Can It Be</t>
  </si>
  <si>
    <t>Lauren Daigle</t>
  </si>
  <si>
    <t>Love So Great</t>
  </si>
  <si>
    <t>Glorious Day</t>
  </si>
  <si>
    <t>King of My Heart</t>
  </si>
  <si>
    <t>John Mark &amp; Sarah McMillan</t>
  </si>
  <si>
    <t>God I Look To You</t>
  </si>
  <si>
    <t>Jenn Johnson</t>
  </si>
  <si>
    <t>Worthy of Your Name</t>
  </si>
  <si>
    <t>Build My Life</t>
  </si>
  <si>
    <t>Housefires</t>
  </si>
  <si>
    <t>Lamb of God</t>
  </si>
  <si>
    <t>Here's My Heart</t>
  </si>
  <si>
    <t>Death Was Arrested</t>
  </si>
  <si>
    <t>North Point InsideOut</t>
  </si>
  <si>
    <t>Reckless Love</t>
  </si>
  <si>
    <t>Cory Asbury</t>
  </si>
  <si>
    <t>Your Love Awakens Me</t>
  </si>
  <si>
    <t>Christ Is Enough</t>
  </si>
  <si>
    <t>Tremble</t>
  </si>
  <si>
    <t>Mosaic MSC</t>
  </si>
  <si>
    <t>Resurrecting</t>
  </si>
  <si>
    <t>Elevation</t>
  </si>
  <si>
    <t>Life Defined</t>
  </si>
  <si>
    <t>Do It Again</t>
  </si>
  <si>
    <t>Living Hope</t>
  </si>
  <si>
    <t>Who You Say I Am</t>
  </si>
  <si>
    <t>This We Know</t>
  </si>
  <si>
    <t>Behold</t>
  </si>
  <si>
    <t>Then Sings My Soul</t>
  </si>
  <si>
    <t>So Will I</t>
  </si>
  <si>
    <t>100 Billion X</t>
  </si>
  <si>
    <t>Let It Be Jesus</t>
  </si>
  <si>
    <t>Look To The Son</t>
  </si>
  <si>
    <t>Chain Breaker</t>
  </si>
  <si>
    <t>Zach Williams</t>
  </si>
  <si>
    <t>Goodness of God</t>
  </si>
  <si>
    <t>Touch the Sky</t>
  </si>
  <si>
    <t>Lean Back</t>
  </si>
  <si>
    <t>Capital City Worship</t>
  </si>
  <si>
    <t>Give Us Your Heart</t>
  </si>
  <si>
    <t>Melanie Tierce-Slay</t>
  </si>
  <si>
    <t>Isn't He</t>
  </si>
  <si>
    <t>The Belonging Co.</t>
  </si>
  <si>
    <t>Kristene DiMarco</t>
  </si>
  <si>
    <t>Jesus is Better</t>
  </si>
  <si>
    <t>Austin Stone Worship</t>
  </si>
  <si>
    <t>New Wine</t>
  </si>
  <si>
    <t>I Shall Not Want</t>
  </si>
  <si>
    <t>Audrey Assad</t>
  </si>
  <si>
    <t>Holy Ground</t>
  </si>
  <si>
    <t>Defender</t>
  </si>
  <si>
    <t>Rita Springer</t>
  </si>
  <si>
    <t>Broken Vessels</t>
  </si>
  <si>
    <t>All Hail King Jesus</t>
  </si>
  <si>
    <t>Yet Not I But Through Christ in Me</t>
  </si>
  <si>
    <t>CityAlight</t>
  </si>
  <si>
    <t>How Great is Your Love</t>
  </si>
  <si>
    <t>King of Kings</t>
  </si>
  <si>
    <t>Jesus You Alone</t>
  </si>
  <si>
    <t>Highlands Worship</t>
  </si>
  <si>
    <t>Stand in Your Love</t>
  </si>
  <si>
    <t>Josh Baldwin</t>
  </si>
  <si>
    <t>The Way</t>
  </si>
  <si>
    <t>New Horizon</t>
  </si>
  <si>
    <t>Pat Barrett</t>
  </si>
  <si>
    <t>Yes I Will</t>
  </si>
  <si>
    <t>Vertical Worship</t>
  </si>
  <si>
    <t>Hallelujah For The Cross</t>
  </si>
  <si>
    <t>Great Things</t>
  </si>
  <si>
    <t>Another In the Fire</t>
  </si>
  <si>
    <t>Alabaster Heart</t>
  </si>
  <si>
    <t>Kalley</t>
  </si>
  <si>
    <t>Yes and Amen</t>
  </si>
  <si>
    <t>Heart of God</t>
  </si>
  <si>
    <t>Only A Holy God</t>
  </si>
  <si>
    <t>Christ Is Mine Forevermore</t>
  </si>
  <si>
    <t>All I Have Is Christ</t>
  </si>
  <si>
    <t>Jordan Kauflin</t>
  </si>
  <si>
    <t>Faithful</t>
  </si>
  <si>
    <t>Erik Nieder</t>
  </si>
  <si>
    <t>Blessed Assurance</t>
  </si>
  <si>
    <t>King of Glory</t>
  </si>
  <si>
    <t>Passion Music</t>
  </si>
  <si>
    <t>Behold the Lamb</t>
  </si>
  <si>
    <t>The Passion</t>
  </si>
  <si>
    <t>You Cannot Be Stopped</t>
  </si>
  <si>
    <t>Phil Wickham and Chris Quilala</t>
  </si>
  <si>
    <t>His Heart Beats</t>
  </si>
  <si>
    <t>Andrew Peterson</t>
  </si>
  <si>
    <t>Jesus, Only Jesus</t>
  </si>
  <si>
    <t>Christ Our Hope in Life and Death</t>
  </si>
  <si>
    <t>Getty Music</t>
  </si>
  <si>
    <t>My Victory</t>
  </si>
  <si>
    <t>Living He Loved Me</t>
  </si>
  <si>
    <t>Casting Crowns</t>
  </si>
  <si>
    <t>Overcome</t>
  </si>
  <si>
    <t>There's A River</t>
  </si>
  <si>
    <t>Bethany Barnard</t>
  </si>
  <si>
    <t>Doxology//Amen</t>
  </si>
  <si>
    <t>Graves Into Gardens</t>
  </si>
  <si>
    <t>What A Friend We Have In Jesus</t>
  </si>
  <si>
    <t>Sing To Jesus</t>
  </si>
  <si>
    <t>Fernando Ortega</t>
  </si>
  <si>
    <t>Faithful To the End</t>
  </si>
  <si>
    <t>Paul and Hannah McClure</t>
  </si>
  <si>
    <t>Hymn of Surrender</t>
  </si>
  <si>
    <t>I Surrender All</t>
  </si>
  <si>
    <t>All I Am</t>
  </si>
  <si>
    <t>There's Nothing That Our God Can't Do</t>
  </si>
  <si>
    <t>The Blessing</t>
  </si>
  <si>
    <t>Kari Jobe, Cody Carnes, Elevation Worship</t>
  </si>
  <si>
    <t>Come Ye Sinners</t>
  </si>
  <si>
    <t>New Jerusalem</t>
  </si>
  <si>
    <t>Jon Guerra</t>
  </si>
  <si>
    <t>Promises</t>
  </si>
  <si>
    <t>Maverick City</t>
  </si>
  <si>
    <t>Nothing Without You</t>
  </si>
  <si>
    <t>United Pursuit</t>
  </si>
  <si>
    <t>Such An Awesome God</t>
  </si>
  <si>
    <t>Maverick City, Anthony Evans</t>
  </si>
  <si>
    <t>At Your Name</t>
  </si>
  <si>
    <t>You Keep On Getting Better</t>
  </si>
  <si>
    <t>The Story I'll Tell</t>
  </si>
  <si>
    <t>Jesus, Firm Foundation</t>
  </si>
  <si>
    <t>Robbie Seay</t>
  </si>
  <si>
    <t>Crowns</t>
  </si>
  <si>
    <t>My Truest Praise</t>
  </si>
  <si>
    <t>Run To the Father</t>
  </si>
  <si>
    <t>Cody Carnes</t>
  </si>
  <si>
    <t>You Keep Hope Alive</t>
  </si>
  <si>
    <t>Jon Reddick, Mandisa</t>
  </si>
  <si>
    <t>Miracle Or Not</t>
  </si>
  <si>
    <t>Alisa Turner</t>
  </si>
  <si>
    <t>No One Ever Cared For Me Like Jesus</t>
  </si>
  <si>
    <t>Steffany Gretzinger</t>
  </si>
  <si>
    <t>Give Me Jesus</t>
  </si>
  <si>
    <t>Above All Else</t>
  </si>
  <si>
    <t>Keith &amp; Kristyn Getty</t>
  </si>
  <si>
    <t>We Bow Before Thee</t>
  </si>
  <si>
    <t>In Christ Alone [Hymns]</t>
  </si>
  <si>
    <t>Keith Getty</t>
  </si>
  <si>
    <t>There Is A Fountain</t>
  </si>
  <si>
    <t>Full of Love</t>
  </si>
  <si>
    <t>I Will Wait For You</t>
  </si>
  <si>
    <t>Psalm 130</t>
  </si>
  <si>
    <t>Be Thou My Vision</t>
  </si>
  <si>
    <t>Lord You Are</t>
  </si>
  <si>
    <t>Turn Your Eyes Upon Jesus</t>
  </si>
  <si>
    <t>Praise to the Lord</t>
  </si>
  <si>
    <t>Joyful, Joyful</t>
  </si>
  <si>
    <t>Oh Lord Almighty</t>
  </si>
  <si>
    <t>Power of the Cross</t>
  </si>
  <si>
    <t>Keith and Kristyn Getty</t>
  </si>
  <si>
    <t>Come Behold the Wondrous Mystery</t>
  </si>
  <si>
    <t>Matt Boswell</t>
  </si>
  <si>
    <t>Living Waters</t>
  </si>
  <si>
    <t>As the Deer</t>
  </si>
  <si>
    <t>O Holy Night</t>
  </si>
  <si>
    <t>The First Noel</t>
  </si>
  <si>
    <t>O Come O Come Emmanuel</t>
  </si>
  <si>
    <t>Little Drummer Boy</t>
  </si>
  <si>
    <t>Love Comes Down</t>
  </si>
  <si>
    <t>Michael Farren</t>
  </si>
  <si>
    <t>Joy to the World</t>
  </si>
  <si>
    <t>Breath of Heaven</t>
  </si>
  <si>
    <t>Amy Grant</t>
  </si>
  <si>
    <t>Winter Snow</t>
  </si>
  <si>
    <t>Sing We The Song of Emmanuel</t>
  </si>
  <si>
    <t>Vol. 3</t>
  </si>
  <si>
    <t>Oh Holy Night</t>
  </si>
  <si>
    <t>Psalm 46</t>
  </si>
  <si>
    <t>Lord of Hosts</t>
  </si>
  <si>
    <t>Psalm 45</t>
  </si>
  <si>
    <t>Fairest of All</t>
  </si>
  <si>
    <t>Psalm 34</t>
  </si>
  <si>
    <t>Taste and See</t>
  </si>
  <si>
    <t>Psalm 51</t>
  </si>
  <si>
    <t>Wisdom in the Secret Heart</t>
  </si>
  <si>
    <t>Psalm 139</t>
  </si>
  <si>
    <t>Far Too Wonderful</t>
  </si>
  <si>
    <t>Psalm 98</t>
  </si>
  <si>
    <t>Sing Unto The Lord</t>
  </si>
  <si>
    <t>Psalm 91</t>
  </si>
  <si>
    <t>On Eagles' Wings</t>
  </si>
  <si>
    <t>Psalm 63</t>
  </si>
  <si>
    <t>Better than Life</t>
  </si>
  <si>
    <t>Psalm 16</t>
  </si>
  <si>
    <t>Fullness of Joy</t>
  </si>
  <si>
    <t>Take Over</t>
  </si>
  <si>
    <t>Psalm 27</t>
  </si>
  <si>
    <t>One Thing</t>
  </si>
  <si>
    <t>Psalm 23</t>
  </si>
  <si>
    <t>Surely Goodness, Surely Mercy</t>
  </si>
  <si>
    <t>Battle Belongs</t>
  </si>
  <si>
    <t>Raise A Hallelujah</t>
  </si>
  <si>
    <t>Peace</t>
  </si>
  <si>
    <t>Bigger Than I Thought</t>
  </si>
  <si>
    <t>Sinking Deep</t>
  </si>
  <si>
    <t>Psalm 145</t>
  </si>
  <si>
    <t>The One You'll Find</t>
  </si>
  <si>
    <t>Great Reward</t>
  </si>
  <si>
    <t>Run</t>
  </si>
  <si>
    <t>Liberty Worship Collective</t>
  </si>
  <si>
    <t>CCLI#</t>
  </si>
  <si>
    <t>Album</t>
  </si>
  <si>
    <t>Band</t>
  </si>
  <si>
    <t>Type</t>
  </si>
  <si>
    <t>TWI</t>
  </si>
  <si>
    <t>Unreleased</t>
  </si>
  <si>
    <t>Live</t>
  </si>
  <si>
    <t>Tracks</t>
  </si>
  <si>
    <t>Studio</t>
  </si>
  <si>
    <t>In List?</t>
  </si>
  <si>
    <t>The Worship Initiative Christmas, Vol. 2</t>
  </si>
  <si>
    <t>The Worship Initiative Christmas, Vol. 1</t>
  </si>
  <si>
    <t>The Worship Initiative, Vol. 01</t>
  </si>
  <si>
    <t>The Worship Initiative, Vol. 02</t>
  </si>
  <si>
    <t>The Worship Initiative, Vol. 03</t>
  </si>
  <si>
    <t>The Worship Initiative, Vol. 04</t>
  </si>
  <si>
    <t>The Worship Initiative, Vol. 05</t>
  </si>
  <si>
    <t>The Worship Initiative, Vol. 06</t>
  </si>
  <si>
    <t>The Worship Initiative, Vol. 07</t>
  </si>
  <si>
    <t>The Worship Initiative, Vol. 08</t>
  </si>
  <si>
    <t>The Worship Initiative, Vol. 09</t>
  </si>
  <si>
    <t>Release Date</t>
  </si>
  <si>
    <t>Psalms, Vol. 2</t>
  </si>
  <si>
    <t>Psalms, Vol. 1</t>
  </si>
  <si>
    <t>Number</t>
  </si>
  <si>
    <t>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</si>
</sst>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C2A29"/>
      <name val="Calibri"/>
      <family val="2"/>
      <scheme val="minor"/>
    </font>
    <font>
      <sz val="10"/>
      <color rgb="FF999999"/>
      <name val="Adelle"/>
    </font>
    <font>
      <sz val="8"/>
      <name val="Calibri"/>
      <family val="2"/>
      <scheme val="minor"/>
    </font>
    <font>
      <sz val="11"/>
      <color rgb="FF202122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0" fillId="0" borderId="0" xfId="0" applyFont="1"/>
    <xf numFmtId="16" fontId="0" fillId="0" borderId="0" xfId="0" quotePrefix="1" applyNumberFormat="1" applyAlignment="1">
      <alignment horizontal="left"/>
    </xf>
    <xf numFmtId="0" fontId="0" fillId="0" borderId="0" xfId="0" applyFont="1" applyAlignment="1">
      <alignment horizontal="left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1" fillId="0" borderId="4" xfId="0" applyFont="1" applyBorder="1"/>
    <xf numFmtId="0" fontId="0" fillId="0" borderId="6" xfId="0" applyBorder="1"/>
    <xf numFmtId="0" fontId="0" fillId="0" borderId="7" xfId="0" applyBorder="1"/>
    <xf numFmtId="0" fontId="1" fillId="0" borderId="5" xfId="0" applyFont="1" applyBorder="1"/>
    <xf numFmtId="0" fontId="0" fillId="0" borderId="8" xfId="0" applyBorder="1"/>
    <xf numFmtId="0" fontId="1" fillId="0" borderId="9" xfId="0" applyFont="1" applyBorder="1"/>
    <xf numFmtId="0" fontId="0" fillId="0" borderId="9" xfId="0" applyBorder="1"/>
    <xf numFmtId="0" fontId="0" fillId="0" borderId="9" xfId="0" applyFont="1" applyBorder="1"/>
    <xf numFmtId="15" fontId="6" fillId="0" borderId="9" xfId="0" applyNumberFormat="1" applyFont="1" applyBorder="1"/>
    <xf numFmtId="15" fontId="7" fillId="0" borderId="9" xfId="0" applyNumberFormat="1" applyFont="1" applyBorder="1"/>
    <xf numFmtId="0" fontId="1" fillId="0" borderId="0" xfId="0" applyFont="1" applyBorder="1"/>
    <xf numFmtId="0" fontId="0" fillId="0" borderId="0" xfId="0" applyBorder="1"/>
    <xf numFmtId="0" fontId="0" fillId="0" borderId="0" xfId="0" applyFont="1" applyBorder="1"/>
    <xf numFmtId="0" fontId="4" fillId="0" borderId="9" xfId="0" applyFont="1" applyBorder="1"/>
  </cellXfs>
  <cellStyles count="1">
    <cellStyle name="Normal" xfId="0" builtinId="0"/>
  </cellStyles>
  <dxfs count="30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CC93B-3F7D-4E4A-86E4-184C84FED0D7}">
  <dimension ref="A1:F18"/>
  <sheetViews>
    <sheetView workbookViewId="0"/>
  </sheetViews>
  <sheetFormatPr defaultRowHeight="15"/>
  <cols>
    <col min="1" max="1" width="16.42578125" bestFit="1" customWidth="1"/>
    <col min="2" max="2" width="6.28515625" bestFit="1" customWidth="1"/>
    <col min="4" max="4" width="9.42578125" bestFit="1" customWidth="1"/>
    <col min="5" max="5" width="16.42578125" bestFit="1" customWidth="1"/>
    <col min="6" max="6" width="6.28515625" bestFit="1" customWidth="1"/>
  </cols>
  <sheetData>
    <row r="1" spans="1:6">
      <c r="A1" s="11" t="s">
        <v>212</v>
      </c>
      <c r="B1" s="12" t="s">
        <v>213</v>
      </c>
      <c r="D1" s="11" t="s">
        <v>214</v>
      </c>
      <c r="E1" s="13" t="s">
        <v>212</v>
      </c>
      <c r="F1" s="12" t="s">
        <v>213</v>
      </c>
    </row>
    <row r="2" spans="1:6">
      <c r="A2" s="14" t="s">
        <v>215</v>
      </c>
      <c r="B2" s="15">
        <v>232</v>
      </c>
      <c r="D2" s="16" t="s">
        <v>216</v>
      </c>
      <c r="E2" t="s">
        <v>217</v>
      </c>
      <c r="F2" s="15">
        <v>124</v>
      </c>
    </row>
    <row r="3" spans="1:6">
      <c r="A3" s="14" t="s">
        <v>218</v>
      </c>
      <c r="B3" s="15">
        <v>186</v>
      </c>
      <c r="D3" s="14"/>
      <c r="E3" t="s">
        <v>219</v>
      </c>
      <c r="F3" s="15">
        <v>20</v>
      </c>
    </row>
    <row r="4" spans="1:6">
      <c r="A4" s="17" t="s">
        <v>220</v>
      </c>
      <c r="B4" s="18">
        <v>163</v>
      </c>
      <c r="D4" s="14"/>
      <c r="E4" t="s">
        <v>191</v>
      </c>
      <c r="F4" s="15">
        <v>12</v>
      </c>
    </row>
    <row r="5" spans="1:6">
      <c r="D5" s="14"/>
      <c r="F5" s="19">
        <f>SUM(F2:F4)</f>
        <v>156</v>
      </c>
    </row>
    <row r="6" spans="1:6">
      <c r="A6" s="11" t="s">
        <v>212</v>
      </c>
      <c r="B6" s="12" t="s">
        <v>213</v>
      </c>
      <c r="D6" s="14"/>
      <c r="F6" s="15"/>
    </row>
    <row r="7" spans="1:6">
      <c r="A7" s="14" t="s">
        <v>217</v>
      </c>
      <c r="B7" s="15">
        <v>124</v>
      </c>
      <c r="D7" s="16" t="s">
        <v>221</v>
      </c>
      <c r="E7" t="s">
        <v>222</v>
      </c>
      <c r="F7" s="15">
        <v>98</v>
      </c>
    </row>
    <row r="8" spans="1:6">
      <c r="A8" s="14" t="s">
        <v>222</v>
      </c>
      <c r="B8" s="15">
        <v>98</v>
      </c>
      <c r="D8" s="14"/>
      <c r="E8" t="s">
        <v>223</v>
      </c>
      <c r="F8" s="15">
        <v>10</v>
      </c>
    </row>
    <row r="9" spans="1:6">
      <c r="A9" s="14" t="s">
        <v>223</v>
      </c>
      <c r="B9" s="15">
        <v>10</v>
      </c>
      <c r="D9" s="14"/>
      <c r="E9" t="s">
        <v>185</v>
      </c>
      <c r="F9" s="15">
        <v>10</v>
      </c>
    </row>
    <row r="10" spans="1:6">
      <c r="A10" s="14" t="s">
        <v>185</v>
      </c>
      <c r="B10" s="15">
        <v>10</v>
      </c>
      <c r="D10" s="14"/>
      <c r="E10" t="s">
        <v>187</v>
      </c>
      <c r="F10" s="15">
        <v>1</v>
      </c>
    </row>
    <row r="11" spans="1:6">
      <c r="A11" s="14" t="s">
        <v>187</v>
      </c>
      <c r="B11" s="15">
        <v>1</v>
      </c>
      <c r="D11" s="14"/>
      <c r="E11" t="s">
        <v>224</v>
      </c>
      <c r="F11" s="15">
        <v>20</v>
      </c>
    </row>
    <row r="12" spans="1:6">
      <c r="A12" s="14" t="s">
        <v>219</v>
      </c>
      <c r="B12" s="15">
        <v>20</v>
      </c>
      <c r="D12" s="14"/>
      <c r="E12" t="s">
        <v>225</v>
      </c>
      <c r="F12" s="15">
        <v>6</v>
      </c>
    </row>
    <row r="13" spans="1:6">
      <c r="A13" s="14" t="s">
        <v>224</v>
      </c>
      <c r="B13" s="15">
        <v>20</v>
      </c>
      <c r="D13" s="14"/>
      <c r="F13" s="19">
        <f>SUM(F7:F12)</f>
        <v>145</v>
      </c>
    </row>
    <row r="14" spans="1:6">
      <c r="A14" s="14" t="s">
        <v>191</v>
      </c>
      <c r="B14" s="15">
        <v>12</v>
      </c>
      <c r="D14" s="14"/>
      <c r="F14" s="15"/>
    </row>
    <row r="15" spans="1:6">
      <c r="A15" s="14" t="s">
        <v>226</v>
      </c>
      <c r="B15" s="15">
        <v>94</v>
      </c>
      <c r="D15" s="16" t="s">
        <v>227</v>
      </c>
      <c r="E15" t="s">
        <v>226</v>
      </c>
      <c r="F15" s="15">
        <v>94</v>
      </c>
    </row>
    <row r="16" spans="1:6">
      <c r="A16" s="14" t="s">
        <v>225</v>
      </c>
      <c r="B16" s="15">
        <v>6</v>
      </c>
      <c r="D16" s="17"/>
      <c r="E16" s="20" t="s">
        <v>228</v>
      </c>
      <c r="F16" s="18">
        <v>69</v>
      </c>
    </row>
    <row r="17" spans="1:6">
      <c r="A17" s="17" t="s">
        <v>228</v>
      </c>
      <c r="B17" s="18">
        <v>69</v>
      </c>
      <c r="F17" s="1">
        <f>SUM(F15:F16)</f>
        <v>163</v>
      </c>
    </row>
    <row r="18" spans="1:6">
      <c r="B18">
        <f>SUM(B7:B17)</f>
        <v>464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538DB-1163-456B-BC9E-225A80C0FB38}">
  <sheetPr filterMode="1"/>
  <dimension ref="A1:J3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3" max="3" width="37.28515625" bestFit="1" customWidth="1"/>
    <col min="4" max="5" width="9.140625" customWidth="1"/>
    <col min="7" max="8" width="9.140625" customWidth="1"/>
    <col min="9" max="9" width="9.140625" style="22" customWidth="1"/>
  </cols>
  <sheetData>
    <row r="1" spans="1:10" s="1" customFormat="1">
      <c r="A1" s="1" t="s">
        <v>640</v>
      </c>
      <c r="B1" s="1" t="s">
        <v>188</v>
      </c>
      <c r="C1" s="1" t="s">
        <v>30</v>
      </c>
      <c r="D1" s="1" t="s">
        <v>623</v>
      </c>
      <c r="E1" s="1" t="s">
        <v>625</v>
      </c>
      <c r="F1" s="1" t="s">
        <v>618</v>
      </c>
      <c r="G1" s="1" t="s">
        <v>619</v>
      </c>
      <c r="H1" s="1" t="s">
        <v>212</v>
      </c>
      <c r="I1" s="21" t="s">
        <v>637</v>
      </c>
      <c r="J1" s="1" t="s">
        <v>171</v>
      </c>
    </row>
    <row r="2" spans="1:10" hidden="1">
      <c r="B2">
        <v>2002</v>
      </c>
      <c r="C2" t="s">
        <v>639</v>
      </c>
      <c r="D2">
        <v>13</v>
      </c>
      <c r="E2" t="str">
        <f>IF(COUNTIF(Songs!$C:$C,C2)&gt;0,"","NO")</f>
        <v>NO</v>
      </c>
      <c r="G2" t="s">
        <v>624</v>
      </c>
      <c r="H2" t="s">
        <v>191</v>
      </c>
      <c r="I2" s="24">
        <v>37411</v>
      </c>
      <c r="J2" t="s">
        <v>192</v>
      </c>
    </row>
    <row r="3" spans="1:10" hidden="1">
      <c r="B3">
        <v>2008</v>
      </c>
      <c r="C3" t="s">
        <v>194</v>
      </c>
      <c r="D3">
        <v>10</v>
      </c>
      <c r="E3" t="str">
        <f>IF(COUNTIF(Songs!$C:$C,C3)&gt;0,"","NO")</f>
        <v>NO</v>
      </c>
      <c r="G3" t="s">
        <v>624</v>
      </c>
      <c r="H3" t="s">
        <v>224</v>
      </c>
      <c r="I3" s="24">
        <v>39735</v>
      </c>
      <c r="J3" t="s">
        <v>192</v>
      </c>
    </row>
    <row r="4" spans="1:10">
      <c r="B4">
        <v>2014</v>
      </c>
      <c r="C4" t="s">
        <v>628</v>
      </c>
      <c r="D4">
        <v>10</v>
      </c>
      <c r="E4" t="str">
        <f>IF(COUNTIF(Songs!$C:$C,C4)&gt;0,"","NO")</f>
        <v/>
      </c>
      <c r="F4" t="s">
        <v>620</v>
      </c>
      <c r="G4" t="s">
        <v>624</v>
      </c>
      <c r="I4" s="24">
        <v>41765</v>
      </c>
    </row>
    <row r="5" spans="1:10">
      <c r="B5">
        <v>2014</v>
      </c>
      <c r="C5" t="s">
        <v>629</v>
      </c>
      <c r="D5">
        <v>10</v>
      </c>
      <c r="E5" t="str">
        <f>IF(COUNTIF(Songs!$C:$C,C5)&gt;0,"","NO")</f>
        <v/>
      </c>
      <c r="F5" t="s">
        <v>620</v>
      </c>
      <c r="G5" t="s">
        <v>624</v>
      </c>
      <c r="I5" s="24">
        <v>41786</v>
      </c>
    </row>
    <row r="6" spans="1:10">
      <c r="B6">
        <v>2014</v>
      </c>
      <c r="C6" t="s">
        <v>630</v>
      </c>
      <c r="D6">
        <v>10</v>
      </c>
      <c r="E6" t="str">
        <f>IF(COUNTIF(Songs!$C:$C,C6)&gt;0,"","NO")</f>
        <v/>
      </c>
      <c r="F6" t="s">
        <v>620</v>
      </c>
      <c r="G6" t="s">
        <v>624</v>
      </c>
      <c r="I6" s="24">
        <v>41807</v>
      </c>
    </row>
    <row r="7" spans="1:10">
      <c r="B7">
        <v>2014</v>
      </c>
      <c r="C7" t="s">
        <v>631</v>
      </c>
      <c r="D7">
        <v>10</v>
      </c>
      <c r="E7" t="str">
        <f>IF(COUNTIF(Songs!$C:$C,C7)&gt;0,"","NO")</f>
        <v/>
      </c>
      <c r="F7" t="s">
        <v>620</v>
      </c>
      <c r="G7" t="s">
        <v>624</v>
      </c>
      <c r="I7" s="24">
        <v>41828</v>
      </c>
    </row>
    <row r="8" spans="1:10">
      <c r="B8">
        <v>2014</v>
      </c>
      <c r="C8" t="s">
        <v>632</v>
      </c>
      <c r="D8">
        <v>10</v>
      </c>
      <c r="E8" t="str">
        <f>IF(COUNTIF(Songs!$C:$C,C8)&gt;0,"","NO")</f>
        <v/>
      </c>
      <c r="F8" t="s">
        <v>620</v>
      </c>
      <c r="G8" t="s">
        <v>624</v>
      </c>
      <c r="I8" s="24">
        <v>41849</v>
      </c>
    </row>
    <row r="9" spans="1:10">
      <c r="B9">
        <v>2014</v>
      </c>
      <c r="C9" t="s">
        <v>633</v>
      </c>
      <c r="D9">
        <v>10</v>
      </c>
      <c r="E9" t="str">
        <f>IF(COUNTIF(Songs!$C:$C,C9)&gt;0,"","NO")</f>
        <v/>
      </c>
      <c r="F9" t="s">
        <v>620</v>
      </c>
      <c r="G9" t="s">
        <v>624</v>
      </c>
      <c r="I9" s="24">
        <v>41872</v>
      </c>
    </row>
    <row r="10" spans="1:10">
      <c r="B10">
        <v>2014</v>
      </c>
      <c r="C10" t="s">
        <v>634</v>
      </c>
      <c r="D10">
        <v>10</v>
      </c>
      <c r="E10" t="str">
        <f>IF(COUNTIF(Songs!$C:$C,C10)&gt;0,"","NO")</f>
        <v/>
      </c>
      <c r="F10" t="s">
        <v>620</v>
      </c>
      <c r="G10" t="s">
        <v>624</v>
      </c>
      <c r="I10" s="24">
        <v>41891</v>
      </c>
    </row>
    <row r="11" spans="1:10">
      <c r="B11">
        <v>2014</v>
      </c>
      <c r="C11" t="s">
        <v>635</v>
      </c>
      <c r="D11">
        <v>10</v>
      </c>
      <c r="E11" t="str">
        <f>IF(COUNTIF(Songs!$C:$C,C11)&gt;0,"","NO")</f>
        <v/>
      </c>
      <c r="F11" t="s">
        <v>620</v>
      </c>
      <c r="G11" t="s">
        <v>624</v>
      </c>
      <c r="I11" s="24">
        <v>41912</v>
      </c>
    </row>
    <row r="12" spans="1:10">
      <c r="B12">
        <v>2014</v>
      </c>
      <c r="C12" t="s">
        <v>636</v>
      </c>
      <c r="D12">
        <v>10</v>
      </c>
      <c r="E12" t="str">
        <f>IF(COUNTIF(Songs!$C:$C,C12)&gt;0,"","NO")</f>
        <v/>
      </c>
      <c r="F12" t="s">
        <v>620</v>
      </c>
      <c r="G12" t="s">
        <v>624</v>
      </c>
      <c r="I12" s="24">
        <v>41933</v>
      </c>
    </row>
    <row r="13" spans="1:10">
      <c r="B13">
        <v>2014</v>
      </c>
      <c r="C13" t="s">
        <v>33</v>
      </c>
      <c r="D13">
        <v>10</v>
      </c>
      <c r="E13" t="str">
        <f>IF(COUNTIF(Songs!$C:$C,C13)&gt;0,"","NO")</f>
        <v/>
      </c>
      <c r="F13" t="s">
        <v>620</v>
      </c>
      <c r="G13" t="s">
        <v>624</v>
      </c>
      <c r="I13" s="24">
        <v>41961</v>
      </c>
    </row>
    <row r="14" spans="1:10">
      <c r="B14">
        <v>2015</v>
      </c>
      <c r="C14" t="s">
        <v>638</v>
      </c>
      <c r="D14">
        <v>12</v>
      </c>
      <c r="E14" t="str">
        <f>IF(COUNTIF(Songs!$C:$C,C14)&gt;0,"","NO")</f>
        <v/>
      </c>
      <c r="G14" t="s">
        <v>624</v>
      </c>
      <c r="H14" t="s">
        <v>191</v>
      </c>
      <c r="I14" s="24">
        <v>42300</v>
      </c>
    </row>
    <row r="15" spans="1:10">
      <c r="B15">
        <v>2015</v>
      </c>
      <c r="C15" t="s">
        <v>29</v>
      </c>
      <c r="D15">
        <v>10</v>
      </c>
      <c r="E15" t="str">
        <f>IF(COUNTIF(Songs!$C:$C,C15)&gt;0,"","NO")</f>
        <v/>
      </c>
      <c r="F15" t="s">
        <v>620</v>
      </c>
      <c r="G15" t="s">
        <v>624</v>
      </c>
      <c r="I15" s="24">
        <v>42122</v>
      </c>
      <c r="J15" t="s">
        <v>189</v>
      </c>
    </row>
    <row r="16" spans="1:10" hidden="1">
      <c r="B16">
        <v>2016</v>
      </c>
      <c r="C16" t="s">
        <v>193</v>
      </c>
      <c r="D16">
        <v>13</v>
      </c>
      <c r="E16" t="str">
        <f>IF(COUNTIF(Songs!$C:$C,C16)&gt;0,"","NO")</f>
        <v>NO</v>
      </c>
      <c r="G16" t="s">
        <v>622</v>
      </c>
      <c r="H16" t="s">
        <v>191</v>
      </c>
      <c r="I16" s="24">
        <v>42698</v>
      </c>
      <c r="J16" t="s">
        <v>192</v>
      </c>
    </row>
    <row r="17" spans="2:10">
      <c r="B17">
        <v>2016</v>
      </c>
      <c r="C17" t="s">
        <v>34</v>
      </c>
      <c r="D17">
        <v>11</v>
      </c>
      <c r="E17" t="str">
        <f>IF(COUNTIF(Songs!$C:$C,C17)&gt;0,"","NO")</f>
        <v/>
      </c>
      <c r="F17" t="s">
        <v>620</v>
      </c>
      <c r="G17" t="s">
        <v>624</v>
      </c>
      <c r="I17" s="24">
        <v>42643</v>
      </c>
    </row>
    <row r="18" spans="2:10">
      <c r="B18">
        <v>2017</v>
      </c>
      <c r="C18" s="8" t="s">
        <v>627</v>
      </c>
      <c r="D18">
        <v>10</v>
      </c>
      <c r="E18" t="str">
        <f>IF(COUNTIF(Songs!$C:$C,C18)&gt;0,"","NO")</f>
        <v/>
      </c>
      <c r="G18" t="s">
        <v>624</v>
      </c>
      <c r="H18" t="s">
        <v>224</v>
      </c>
      <c r="I18" s="24">
        <v>42839</v>
      </c>
    </row>
    <row r="19" spans="2:10">
      <c r="B19">
        <v>2017</v>
      </c>
      <c r="C19" t="s">
        <v>626</v>
      </c>
      <c r="D19">
        <v>10</v>
      </c>
      <c r="E19" t="str">
        <f>IF(COUNTIF(Songs!$C:$C,C19)&gt;0,"","NO")</f>
        <v/>
      </c>
      <c r="G19" t="s">
        <v>624</v>
      </c>
      <c r="H19" t="s">
        <v>224</v>
      </c>
      <c r="I19" s="24">
        <v>42839</v>
      </c>
    </row>
    <row r="20" spans="2:10">
      <c r="B20">
        <v>2017</v>
      </c>
      <c r="C20" t="s">
        <v>35</v>
      </c>
      <c r="D20">
        <v>13</v>
      </c>
      <c r="E20" t="str">
        <f>IF(COUNTIF(Songs!$C:$C,C20)&gt;0,"","NO")</f>
        <v/>
      </c>
      <c r="F20" t="s">
        <v>620</v>
      </c>
      <c r="G20" t="s">
        <v>624</v>
      </c>
      <c r="I20" s="24">
        <v>42839</v>
      </c>
    </row>
    <row r="21" spans="2:10">
      <c r="B21">
        <v>2017</v>
      </c>
      <c r="C21" t="s">
        <v>36</v>
      </c>
      <c r="D21">
        <v>5</v>
      </c>
      <c r="E21" t="str">
        <f>IF(COUNTIF(Songs!$C:$C,C21)&gt;0,"","NO")</f>
        <v/>
      </c>
      <c r="F21" t="s">
        <v>620</v>
      </c>
      <c r="G21" t="s">
        <v>624</v>
      </c>
      <c r="I21" s="24">
        <v>43000</v>
      </c>
    </row>
    <row r="22" spans="2:10">
      <c r="B22">
        <v>2017</v>
      </c>
      <c r="C22" t="s">
        <v>37</v>
      </c>
      <c r="D22">
        <v>5</v>
      </c>
      <c r="E22" t="str">
        <f>IF(COUNTIF(Songs!$C:$C,C22)&gt;0,"","NO")</f>
        <v/>
      </c>
      <c r="F22" t="s">
        <v>620</v>
      </c>
      <c r="G22" t="s">
        <v>624</v>
      </c>
      <c r="I22" s="24">
        <v>43039</v>
      </c>
    </row>
    <row r="23" spans="2:10">
      <c r="B23">
        <v>2018</v>
      </c>
      <c r="C23" t="s">
        <v>180</v>
      </c>
      <c r="D23">
        <v>10</v>
      </c>
      <c r="E23" t="str">
        <f>IF(COUNTIF(Songs!$C:$C,C23)&gt;0,"","NO")</f>
        <v/>
      </c>
      <c r="G23" t="s">
        <v>624</v>
      </c>
      <c r="H23" t="s">
        <v>219</v>
      </c>
      <c r="I23" s="24">
        <v>43350</v>
      </c>
    </row>
    <row r="24" spans="2:10">
      <c r="B24">
        <v>2018</v>
      </c>
      <c r="C24" t="s">
        <v>181</v>
      </c>
      <c r="D24">
        <v>10</v>
      </c>
      <c r="E24" t="str">
        <f>IF(COUNTIF(Songs!$C:$C,C24)&gt;0,"","NO")</f>
        <v/>
      </c>
      <c r="G24" t="s">
        <v>624</v>
      </c>
      <c r="H24" t="s">
        <v>219</v>
      </c>
      <c r="I24" s="24">
        <v>43700</v>
      </c>
    </row>
    <row r="25" spans="2:10">
      <c r="B25">
        <v>2018</v>
      </c>
      <c r="C25" t="s">
        <v>38</v>
      </c>
      <c r="D25">
        <v>5</v>
      </c>
      <c r="E25" t="str">
        <f>IF(COUNTIF(Songs!$C:$C,C25)&gt;0,"","NO")</f>
        <v/>
      </c>
      <c r="F25" t="s">
        <v>620</v>
      </c>
      <c r="G25" t="s">
        <v>624</v>
      </c>
      <c r="I25" s="24">
        <v>43145</v>
      </c>
    </row>
    <row r="26" spans="2:10">
      <c r="B26">
        <v>2018</v>
      </c>
      <c r="C26" t="s">
        <v>39</v>
      </c>
      <c r="D26">
        <v>10</v>
      </c>
      <c r="E26" t="str">
        <f>IF(COUNTIF(Songs!$C:$C,C26)&gt;0,"","NO")</f>
        <v/>
      </c>
      <c r="F26" t="s">
        <v>620</v>
      </c>
      <c r="G26" t="s">
        <v>624</v>
      </c>
      <c r="I26" s="24">
        <v>43297</v>
      </c>
    </row>
    <row r="27" spans="2:10" hidden="1">
      <c r="B27">
        <v>2019</v>
      </c>
      <c r="C27" t="s">
        <v>197</v>
      </c>
      <c r="D27">
        <v>13</v>
      </c>
      <c r="E27" t="str">
        <f>IF(COUNTIF(Songs!$C:$C,C27)&gt;0,"","NO")</f>
        <v>NO</v>
      </c>
      <c r="G27" t="s">
        <v>622</v>
      </c>
      <c r="H27" t="s">
        <v>219</v>
      </c>
      <c r="I27" s="24">
        <v>43504</v>
      </c>
      <c r="J27" t="s">
        <v>198</v>
      </c>
    </row>
    <row r="28" spans="2:10">
      <c r="B28">
        <v>2019</v>
      </c>
      <c r="C28" t="s">
        <v>195</v>
      </c>
      <c r="D28">
        <v>5</v>
      </c>
      <c r="E28" t="str">
        <f>IF(COUNTIF(Songs!$C:$C,C28)&gt;0,"","NO")</f>
        <v/>
      </c>
      <c r="G28" t="s">
        <v>624</v>
      </c>
      <c r="H28" t="s">
        <v>224</v>
      </c>
      <c r="I28" s="24">
        <v>43797</v>
      </c>
      <c r="J28" t="s">
        <v>196</v>
      </c>
    </row>
    <row r="29" spans="2:10">
      <c r="B29">
        <v>2019</v>
      </c>
      <c r="C29" t="s">
        <v>40</v>
      </c>
      <c r="D29">
        <v>12</v>
      </c>
      <c r="E29" t="str">
        <f>IF(COUNTIF(Songs!$C:$C,C29)&gt;0,"","NO")</f>
        <v/>
      </c>
      <c r="F29" t="s">
        <v>620</v>
      </c>
      <c r="G29" t="s">
        <v>624</v>
      </c>
      <c r="I29" s="24">
        <v>43630</v>
      </c>
    </row>
    <row r="30" spans="2:10">
      <c r="B30">
        <v>2020</v>
      </c>
      <c r="C30" t="s">
        <v>41</v>
      </c>
      <c r="D30">
        <v>10</v>
      </c>
      <c r="E30" t="str">
        <f>IF(COUNTIF(Songs!$C:$C,C30)&gt;0,"","NO")</f>
        <v/>
      </c>
      <c r="F30" t="s">
        <v>620</v>
      </c>
      <c r="G30" t="s">
        <v>624</v>
      </c>
      <c r="I30" s="24">
        <v>43847</v>
      </c>
    </row>
    <row r="31" spans="2:10">
      <c r="B31">
        <v>2020</v>
      </c>
      <c r="C31" t="s">
        <v>42</v>
      </c>
      <c r="D31">
        <v>10</v>
      </c>
      <c r="E31" t="str">
        <f>IF(COUNTIF(Songs!$C:$C,C31)&gt;0,"","NO")</f>
        <v/>
      </c>
      <c r="F31" t="s">
        <v>620</v>
      </c>
      <c r="G31" t="s">
        <v>624</v>
      </c>
      <c r="I31" s="24">
        <v>43889</v>
      </c>
    </row>
    <row r="32" spans="2:10">
      <c r="B32">
        <v>2020</v>
      </c>
      <c r="C32" t="s">
        <v>43</v>
      </c>
      <c r="D32">
        <v>10</v>
      </c>
      <c r="E32" t="str">
        <f>IF(COUNTIF(Songs!$C:$C,C32)&gt;0,"","NO")</f>
        <v/>
      </c>
      <c r="F32" t="s">
        <v>620</v>
      </c>
      <c r="G32" t="s">
        <v>624</v>
      </c>
      <c r="I32" s="25">
        <v>43924</v>
      </c>
    </row>
    <row r="33" spans="2:10">
      <c r="B33">
        <v>2020</v>
      </c>
      <c r="C33" t="s">
        <v>44</v>
      </c>
      <c r="D33">
        <v>10</v>
      </c>
      <c r="E33" t="str">
        <f>IF(COUNTIF(Songs!$C:$C,C33)&gt;0,"","NO")</f>
        <v/>
      </c>
      <c r="F33" t="s">
        <v>620</v>
      </c>
      <c r="G33" t="s">
        <v>624</v>
      </c>
      <c r="I33" s="25">
        <v>44001</v>
      </c>
    </row>
    <row r="34" spans="2:10">
      <c r="B34">
        <v>2020</v>
      </c>
      <c r="C34" t="s">
        <v>45</v>
      </c>
      <c r="D34">
        <v>11</v>
      </c>
      <c r="E34" t="str">
        <f>IF(COUNTIF(Songs!$C:$C,C34)&gt;0,"","NO")</f>
        <v/>
      </c>
      <c r="F34" t="s">
        <v>620</v>
      </c>
      <c r="G34" t="s">
        <v>624</v>
      </c>
      <c r="I34" s="25">
        <v>44099</v>
      </c>
    </row>
    <row r="35" spans="2:10">
      <c r="B35">
        <v>2021</v>
      </c>
      <c r="C35" t="s">
        <v>46</v>
      </c>
      <c r="D35">
        <v>10</v>
      </c>
      <c r="E35" t="str">
        <f>IF(COUNTIF(Songs!$C:$C,C35)&gt;0,"","NO")</f>
        <v/>
      </c>
      <c r="F35" t="s">
        <v>620</v>
      </c>
      <c r="G35" t="s">
        <v>624</v>
      </c>
      <c r="I35" s="24">
        <v>44204</v>
      </c>
      <c r="J35" t="s">
        <v>190</v>
      </c>
    </row>
    <row r="36" spans="2:10">
      <c r="B36">
        <v>2100</v>
      </c>
      <c r="C36" t="s">
        <v>185</v>
      </c>
      <c r="D36">
        <v>10</v>
      </c>
      <c r="E36" t="str">
        <f>IF(COUNTIF(Songs!$C:$C,C36)&gt;0,"","NO")</f>
        <v/>
      </c>
      <c r="G36" t="s">
        <v>621</v>
      </c>
      <c r="H36" t="s">
        <v>621</v>
      </c>
      <c r="J36" t="s">
        <v>199</v>
      </c>
    </row>
    <row r="37" spans="2:10">
      <c r="B37">
        <v>2100</v>
      </c>
      <c r="C37" t="s">
        <v>187</v>
      </c>
      <c r="D37">
        <v>1</v>
      </c>
      <c r="E37" t="str">
        <f>IF(COUNTIF(Songs!$C:$C,C37)&gt;0,"","NO")</f>
        <v/>
      </c>
      <c r="G37" t="s">
        <v>621</v>
      </c>
      <c r="H37" t="s">
        <v>621</v>
      </c>
    </row>
  </sheetData>
  <autoFilter ref="A1:J37" xr:uid="{C2B7C73A-AD39-4708-9801-15C9CC79D2BB}">
    <filterColumn colId="4">
      <filters blank="1"/>
    </filterColumn>
    <sortState xmlns:xlrd2="http://schemas.microsoft.com/office/spreadsheetml/2017/richdata2" ref="A2:J37">
      <sortCondition ref="B2:B37"/>
      <sortCondition ref="C2:C3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5710C-65C8-40EA-B639-B1B45687620A}">
  <dimension ref="A1:V314"/>
  <sheetViews>
    <sheetView zoomScaleNormal="100" workbookViewId="0">
      <pane ySplit="1" topLeftCell="A2" activePane="bottomLeft" state="frozen"/>
      <selection activeCell="D1" sqref="D1"/>
      <selection pane="bottomLeft"/>
    </sheetView>
  </sheetViews>
  <sheetFormatPr defaultRowHeight="15"/>
  <cols>
    <col min="2" max="2" width="9.140625" customWidth="1"/>
    <col min="3" max="3" width="29.5703125" customWidth="1"/>
    <col min="5" max="5" width="35.5703125" bestFit="1" customWidth="1"/>
    <col min="6" max="7" width="9.140625" customWidth="1"/>
    <col min="8" max="10" width="9.140625" style="8" customWidth="1"/>
    <col min="11" max="11" width="9.140625" style="23" customWidth="1"/>
    <col min="12" max="12" width="9.140625" style="27"/>
  </cols>
  <sheetData>
    <row r="1" spans="1:22" s="1" customFormat="1">
      <c r="A1" s="1" t="s">
        <v>640</v>
      </c>
      <c r="B1" s="1" t="s">
        <v>188</v>
      </c>
      <c r="C1" s="1" t="s">
        <v>617</v>
      </c>
      <c r="D1" s="1" t="s">
        <v>641</v>
      </c>
      <c r="E1" s="1" t="s">
        <v>30</v>
      </c>
      <c r="F1" s="1" t="s">
        <v>32</v>
      </c>
      <c r="G1" s="1" t="s">
        <v>31</v>
      </c>
      <c r="H1" s="1" t="s">
        <v>28</v>
      </c>
      <c r="I1" s="1" t="s">
        <v>27</v>
      </c>
      <c r="J1" s="1" t="s">
        <v>616</v>
      </c>
      <c r="K1" s="21" t="s">
        <v>171</v>
      </c>
      <c r="L1" s="26" t="s">
        <v>50</v>
      </c>
      <c r="M1" s="1" t="s">
        <v>163</v>
      </c>
      <c r="N1" s="6" t="s">
        <v>31</v>
      </c>
      <c r="O1" s="6" t="s">
        <v>28</v>
      </c>
      <c r="P1" s="6" t="s">
        <v>54</v>
      </c>
      <c r="Q1" s="6" t="s">
        <v>55</v>
      </c>
      <c r="R1" s="6" t="s">
        <v>56</v>
      </c>
      <c r="S1" s="6" t="s">
        <v>57</v>
      </c>
      <c r="T1" s="6" t="s">
        <v>58</v>
      </c>
      <c r="U1" s="6" t="s">
        <v>59</v>
      </c>
      <c r="V1" s="1" t="s">
        <v>179</v>
      </c>
    </row>
    <row r="2" spans="1:22">
      <c r="B2">
        <v>2014</v>
      </c>
      <c r="C2" t="s">
        <v>628</v>
      </c>
      <c r="D2">
        <v>1</v>
      </c>
      <c r="E2" t="s">
        <v>229</v>
      </c>
      <c r="F2" t="s">
        <v>230</v>
      </c>
      <c r="G2" t="s">
        <v>231</v>
      </c>
      <c r="H2" s="8" t="s">
        <v>0</v>
      </c>
      <c r="I2" s="8">
        <v>130</v>
      </c>
      <c r="J2" s="8">
        <v>6428767</v>
      </c>
      <c r="K2" s="29"/>
      <c r="L2" s="27" t="s">
        <v>47</v>
      </c>
      <c r="M2" t="s">
        <v>164</v>
      </c>
      <c r="N2" t="s">
        <v>124</v>
      </c>
      <c r="O2" s="2" t="s">
        <v>20</v>
      </c>
      <c r="P2" s="2" t="s">
        <v>20</v>
      </c>
      <c r="Q2" s="3">
        <v>60</v>
      </c>
      <c r="R2" s="4" t="s">
        <v>52</v>
      </c>
      <c r="S2" s="5">
        <v>6428767</v>
      </c>
      <c r="T2" s="3">
        <v>2012</v>
      </c>
      <c r="U2" s="3" t="s">
        <v>53</v>
      </c>
      <c r="V2" s="1" t="str">
        <f>IF(J2=S2,"Yes","")</f>
        <v>Yes</v>
      </c>
    </row>
    <row r="3" spans="1:22">
      <c r="B3">
        <v>2014</v>
      </c>
      <c r="C3" t="s">
        <v>628</v>
      </c>
      <c r="D3">
        <v>2</v>
      </c>
      <c r="E3" t="s">
        <v>232</v>
      </c>
      <c r="F3" t="s">
        <v>230</v>
      </c>
      <c r="G3" t="s">
        <v>233</v>
      </c>
      <c r="H3" s="8" t="s">
        <v>18</v>
      </c>
      <c r="I3" s="8">
        <v>99</v>
      </c>
      <c r="J3" s="8">
        <v>6333821</v>
      </c>
      <c r="K3" s="29"/>
      <c r="L3" s="27" t="s">
        <v>47</v>
      </c>
      <c r="M3" t="s">
        <v>164</v>
      </c>
      <c r="N3" t="s">
        <v>125</v>
      </c>
      <c r="O3" s="2" t="s">
        <v>0</v>
      </c>
      <c r="P3" s="2" t="s">
        <v>18</v>
      </c>
      <c r="Q3" s="3">
        <v>100</v>
      </c>
      <c r="R3" s="4" t="s">
        <v>52</v>
      </c>
      <c r="S3" s="5">
        <v>6333821</v>
      </c>
      <c r="T3" s="3">
        <v>2012</v>
      </c>
      <c r="U3" s="3" t="s">
        <v>109</v>
      </c>
      <c r="V3" s="1" t="str">
        <f>IF(J3=S3,"Yes","")</f>
        <v>Yes</v>
      </c>
    </row>
    <row r="4" spans="1:22">
      <c r="B4">
        <v>2014</v>
      </c>
      <c r="C4" t="s">
        <v>628</v>
      </c>
      <c r="D4">
        <v>3</v>
      </c>
      <c r="E4" t="s">
        <v>234</v>
      </c>
      <c r="F4" t="s">
        <v>230</v>
      </c>
      <c r="G4" t="s">
        <v>235</v>
      </c>
      <c r="H4" s="8" t="s">
        <v>4</v>
      </c>
      <c r="I4" s="8">
        <v>72</v>
      </c>
      <c r="J4" s="8">
        <v>5881130</v>
      </c>
      <c r="K4" s="29"/>
      <c r="L4" s="27" t="s">
        <v>47</v>
      </c>
      <c r="M4" t="s">
        <v>164</v>
      </c>
      <c r="N4" t="s">
        <v>126</v>
      </c>
      <c r="O4" s="2" t="s">
        <v>15</v>
      </c>
      <c r="P4" s="2" t="s">
        <v>15</v>
      </c>
      <c r="Q4" s="3">
        <v>76</v>
      </c>
      <c r="R4" s="4" t="s">
        <v>52</v>
      </c>
      <c r="S4" s="5">
        <v>5881130</v>
      </c>
      <c r="T4" s="3">
        <v>2011</v>
      </c>
      <c r="U4" s="7" t="s">
        <v>127</v>
      </c>
      <c r="V4" s="1" t="str">
        <f>IF(J4=S4,"Yes","")</f>
        <v>Yes</v>
      </c>
    </row>
    <row r="5" spans="1:22">
      <c r="B5">
        <v>2014</v>
      </c>
      <c r="C5" t="s">
        <v>628</v>
      </c>
      <c r="D5">
        <v>4</v>
      </c>
      <c r="E5" t="s">
        <v>236</v>
      </c>
      <c r="F5" t="s">
        <v>230</v>
      </c>
      <c r="G5" t="s">
        <v>162</v>
      </c>
      <c r="H5" s="8" t="s">
        <v>4</v>
      </c>
      <c r="I5" s="8">
        <v>72</v>
      </c>
      <c r="J5" s="8">
        <v>5925687</v>
      </c>
      <c r="K5" s="29"/>
      <c r="L5" s="27" t="s">
        <v>47</v>
      </c>
      <c r="M5" t="s">
        <v>164</v>
      </c>
      <c r="N5" t="s">
        <v>128</v>
      </c>
      <c r="O5" s="2" t="s">
        <v>4</v>
      </c>
      <c r="P5" s="2" t="s">
        <v>4</v>
      </c>
      <c r="Q5" s="3">
        <v>74</v>
      </c>
      <c r="R5" s="3" t="s">
        <v>52</v>
      </c>
      <c r="S5" s="5">
        <v>5925687</v>
      </c>
      <c r="T5" s="3">
        <v>2011</v>
      </c>
      <c r="U5" s="3" t="s">
        <v>61</v>
      </c>
      <c r="V5" s="1" t="str">
        <f>IF(J5=S5,"Yes","")</f>
        <v>Yes</v>
      </c>
    </row>
    <row r="6" spans="1:22">
      <c r="B6">
        <v>2014</v>
      </c>
      <c r="C6" t="s">
        <v>628</v>
      </c>
      <c r="D6">
        <v>5</v>
      </c>
      <c r="E6" t="s">
        <v>211</v>
      </c>
      <c r="F6" t="s">
        <v>237</v>
      </c>
      <c r="G6" t="s">
        <v>237</v>
      </c>
      <c r="H6" s="8" t="s">
        <v>7</v>
      </c>
      <c r="I6" s="8">
        <v>64</v>
      </c>
      <c r="J6" s="8">
        <v>3350395</v>
      </c>
      <c r="K6" s="29"/>
      <c r="L6" s="27" t="s">
        <v>47</v>
      </c>
      <c r="M6" t="s">
        <v>164</v>
      </c>
      <c r="N6" t="s">
        <v>129</v>
      </c>
      <c r="O6" s="2" t="s">
        <v>20</v>
      </c>
      <c r="P6" s="2" t="s">
        <v>20</v>
      </c>
      <c r="Q6" s="3">
        <v>60</v>
      </c>
      <c r="R6" s="4" t="s">
        <v>65</v>
      </c>
      <c r="S6" s="5">
        <v>3350395</v>
      </c>
      <c r="T6" s="3">
        <v>2001</v>
      </c>
      <c r="U6" s="3" t="s">
        <v>63</v>
      </c>
      <c r="V6" s="1" t="str">
        <f>IF(J6=S6,"Yes","")</f>
        <v>Yes</v>
      </c>
    </row>
    <row r="7" spans="1:22">
      <c r="B7">
        <v>2014</v>
      </c>
      <c r="C7" t="s">
        <v>628</v>
      </c>
      <c r="D7">
        <v>6</v>
      </c>
      <c r="E7" t="s">
        <v>238</v>
      </c>
      <c r="F7" t="s">
        <v>230</v>
      </c>
      <c r="G7" t="s">
        <v>239</v>
      </c>
      <c r="H7" s="8" t="s">
        <v>20</v>
      </c>
      <c r="I7" s="8">
        <v>78</v>
      </c>
      <c r="J7" s="8">
        <v>5665521</v>
      </c>
      <c r="K7" s="29"/>
      <c r="L7" s="27" t="s">
        <v>47</v>
      </c>
    </row>
    <row r="8" spans="1:22">
      <c r="B8">
        <v>2014</v>
      </c>
      <c r="C8" t="s">
        <v>628</v>
      </c>
      <c r="D8">
        <v>7</v>
      </c>
      <c r="E8" t="s">
        <v>203</v>
      </c>
      <c r="F8" t="s">
        <v>240</v>
      </c>
      <c r="G8" t="s">
        <v>29</v>
      </c>
      <c r="H8" s="8" t="s">
        <v>20</v>
      </c>
      <c r="I8" s="8">
        <v>68</v>
      </c>
      <c r="J8" s="8">
        <v>7029505</v>
      </c>
      <c r="K8" s="29"/>
      <c r="L8" s="27" t="s">
        <v>47</v>
      </c>
    </row>
    <row r="9" spans="1:22">
      <c r="B9">
        <v>2014</v>
      </c>
      <c r="C9" t="s">
        <v>628</v>
      </c>
      <c r="D9">
        <v>8</v>
      </c>
      <c r="E9" t="s">
        <v>241</v>
      </c>
      <c r="F9" t="s">
        <v>230</v>
      </c>
      <c r="G9" t="s">
        <v>62</v>
      </c>
      <c r="H9" s="8" t="s">
        <v>0</v>
      </c>
      <c r="I9" s="8">
        <v>70</v>
      </c>
      <c r="J9" s="8">
        <v>6016351</v>
      </c>
      <c r="K9" s="29"/>
      <c r="L9" s="27" t="s">
        <v>47</v>
      </c>
      <c r="M9" t="s">
        <v>164</v>
      </c>
      <c r="N9" t="s">
        <v>130</v>
      </c>
      <c r="O9" s="2" t="s">
        <v>0</v>
      </c>
      <c r="P9" s="2" t="s">
        <v>0</v>
      </c>
      <c r="Q9" s="3">
        <v>73</v>
      </c>
      <c r="R9" s="4" t="s">
        <v>52</v>
      </c>
      <c r="S9" s="5">
        <v>6016351</v>
      </c>
      <c r="T9" s="3">
        <v>2011</v>
      </c>
      <c r="U9" s="7" t="s">
        <v>131</v>
      </c>
      <c r="V9" s="1" t="str">
        <f>IF(J9=S9,"Yes","")</f>
        <v>Yes</v>
      </c>
    </row>
    <row r="10" spans="1:22">
      <c r="B10">
        <v>2014</v>
      </c>
      <c r="C10" t="s">
        <v>628</v>
      </c>
      <c r="D10">
        <v>9</v>
      </c>
      <c r="E10" t="s">
        <v>242</v>
      </c>
      <c r="F10" t="s">
        <v>243</v>
      </c>
      <c r="G10" t="s">
        <v>159</v>
      </c>
      <c r="H10" s="8" t="s">
        <v>2</v>
      </c>
      <c r="I10" s="8">
        <v>74</v>
      </c>
      <c r="J10" s="8">
        <v>6440288</v>
      </c>
      <c r="K10" s="29"/>
      <c r="L10" s="27" t="s">
        <v>47</v>
      </c>
      <c r="M10" t="s">
        <v>164</v>
      </c>
      <c r="N10" t="s">
        <v>85</v>
      </c>
      <c r="O10" s="2" t="s">
        <v>2</v>
      </c>
      <c r="P10" s="2" t="s">
        <v>2</v>
      </c>
      <c r="Q10" s="3">
        <v>75</v>
      </c>
      <c r="R10" s="4" t="s">
        <v>52</v>
      </c>
      <c r="S10" s="5">
        <v>6440288</v>
      </c>
      <c r="T10" s="3">
        <v>2012</v>
      </c>
      <c r="U10" s="7" t="s">
        <v>132</v>
      </c>
      <c r="V10" s="1" t="str">
        <f>IF(J10=S10,"Yes","")</f>
        <v>Yes</v>
      </c>
    </row>
    <row r="11" spans="1:22">
      <c r="B11">
        <v>2014</v>
      </c>
      <c r="C11" t="s">
        <v>628</v>
      </c>
      <c r="D11">
        <v>10</v>
      </c>
      <c r="E11" t="s">
        <v>244</v>
      </c>
      <c r="F11" t="s">
        <v>230</v>
      </c>
      <c r="G11" t="s">
        <v>144</v>
      </c>
      <c r="H11" s="8" t="s">
        <v>2</v>
      </c>
      <c r="I11" s="8">
        <v>132</v>
      </c>
      <c r="J11" s="8">
        <v>4847027</v>
      </c>
      <c r="K11" s="29"/>
      <c r="L11" s="27" t="s">
        <v>47</v>
      </c>
    </row>
    <row r="12" spans="1:22">
      <c r="B12">
        <v>2014</v>
      </c>
      <c r="C12" t="s">
        <v>629</v>
      </c>
      <c r="D12">
        <v>1</v>
      </c>
      <c r="E12" t="s">
        <v>245</v>
      </c>
      <c r="F12" t="s">
        <v>230</v>
      </c>
      <c r="G12" t="s">
        <v>246</v>
      </c>
      <c r="H12" s="8" t="s">
        <v>15</v>
      </c>
      <c r="I12" s="8">
        <v>112</v>
      </c>
      <c r="J12" s="8">
        <v>6578772</v>
      </c>
      <c r="K12" s="29"/>
      <c r="L12" s="27" t="s">
        <v>48</v>
      </c>
    </row>
    <row r="13" spans="1:22">
      <c r="B13">
        <v>2014</v>
      </c>
      <c r="C13" t="s">
        <v>629</v>
      </c>
      <c r="D13">
        <v>2</v>
      </c>
      <c r="E13" t="s">
        <v>247</v>
      </c>
      <c r="F13" t="s">
        <v>248</v>
      </c>
      <c r="G13" t="s">
        <v>137</v>
      </c>
      <c r="H13" s="8" t="s">
        <v>15</v>
      </c>
      <c r="I13" s="8">
        <v>106</v>
      </c>
      <c r="J13" s="8">
        <v>4662491</v>
      </c>
      <c r="K13" s="29"/>
      <c r="L13" s="27" t="s">
        <v>47</v>
      </c>
      <c r="M13" t="s">
        <v>164</v>
      </c>
      <c r="N13" t="s">
        <v>133</v>
      </c>
      <c r="O13" s="2" t="s">
        <v>0</v>
      </c>
      <c r="P13" s="2" t="s">
        <v>0</v>
      </c>
      <c r="Q13" s="3">
        <v>114</v>
      </c>
      <c r="R13" s="4" t="s">
        <v>52</v>
      </c>
      <c r="S13" s="5">
        <v>4662491</v>
      </c>
      <c r="T13" s="3">
        <v>2006</v>
      </c>
      <c r="U13" s="7" t="s">
        <v>63</v>
      </c>
      <c r="V13" s="1" t="str">
        <f>IF(J13=S13,"Yes","")</f>
        <v>Yes</v>
      </c>
    </row>
    <row r="14" spans="1:22">
      <c r="B14">
        <v>2014</v>
      </c>
      <c r="C14" t="s">
        <v>629</v>
      </c>
      <c r="D14">
        <v>3</v>
      </c>
      <c r="E14" t="s">
        <v>249</v>
      </c>
      <c r="F14" t="s">
        <v>230</v>
      </c>
      <c r="G14" t="s">
        <v>231</v>
      </c>
      <c r="H14" s="8" t="s">
        <v>2</v>
      </c>
      <c r="I14" s="8">
        <v>83</v>
      </c>
      <c r="J14" s="8">
        <v>5639997</v>
      </c>
      <c r="K14" s="29"/>
      <c r="L14" s="27" t="s">
        <v>47</v>
      </c>
    </row>
    <row r="15" spans="1:22">
      <c r="B15">
        <v>2014</v>
      </c>
      <c r="C15" t="s">
        <v>629</v>
      </c>
      <c r="D15">
        <v>4</v>
      </c>
      <c r="E15" t="s">
        <v>250</v>
      </c>
      <c r="F15" t="s">
        <v>230</v>
      </c>
      <c r="G15" t="s">
        <v>62</v>
      </c>
      <c r="H15" s="8" t="s">
        <v>2</v>
      </c>
      <c r="I15" s="8">
        <v>73</v>
      </c>
      <c r="J15" s="8">
        <v>7000689</v>
      </c>
      <c r="K15" s="29"/>
      <c r="L15" s="27" t="s">
        <v>47</v>
      </c>
      <c r="M15" t="s">
        <v>164</v>
      </c>
      <c r="N15" t="s">
        <v>134</v>
      </c>
      <c r="O15" s="2" t="s">
        <v>2</v>
      </c>
      <c r="P15" s="2" t="s">
        <v>2</v>
      </c>
      <c r="Q15" s="3">
        <v>73</v>
      </c>
      <c r="R15" s="3" t="s">
        <v>52</v>
      </c>
      <c r="S15" s="5">
        <v>7000689</v>
      </c>
      <c r="T15" s="3">
        <v>2013</v>
      </c>
      <c r="U15" s="7" t="s">
        <v>131</v>
      </c>
      <c r="V15" s="1" t="str">
        <f>IF(J15=S15,"Yes","")</f>
        <v>Yes</v>
      </c>
    </row>
    <row r="16" spans="1:22">
      <c r="B16">
        <v>2014</v>
      </c>
      <c r="C16" t="s">
        <v>629</v>
      </c>
      <c r="D16">
        <v>5</v>
      </c>
      <c r="E16" t="s">
        <v>251</v>
      </c>
      <c r="F16" t="s">
        <v>230</v>
      </c>
      <c r="G16" t="s">
        <v>159</v>
      </c>
      <c r="H16" s="8" t="s">
        <v>2</v>
      </c>
      <c r="I16" s="8">
        <v>84</v>
      </c>
      <c r="J16" s="8">
        <v>4348399</v>
      </c>
      <c r="K16" s="29"/>
      <c r="L16" s="27" t="s">
        <v>47</v>
      </c>
      <c r="M16" t="s">
        <v>164</v>
      </c>
      <c r="N16" t="s">
        <v>85</v>
      </c>
      <c r="O16" s="2" t="s">
        <v>2</v>
      </c>
      <c r="P16" s="2" t="s">
        <v>2</v>
      </c>
      <c r="Q16" s="3">
        <v>76</v>
      </c>
      <c r="R16" s="3" t="s">
        <v>52</v>
      </c>
      <c r="S16" s="5">
        <v>4348399</v>
      </c>
      <c r="T16" s="3">
        <v>2004</v>
      </c>
      <c r="U16" s="3" t="s">
        <v>61</v>
      </c>
      <c r="V16" s="1" t="str">
        <f>IF(J16=S16,"Yes","")</f>
        <v>Yes</v>
      </c>
    </row>
    <row r="17" spans="2:22">
      <c r="B17">
        <v>2014</v>
      </c>
      <c r="C17" t="s">
        <v>629</v>
      </c>
      <c r="D17">
        <v>6</v>
      </c>
      <c r="E17" t="s">
        <v>252</v>
      </c>
      <c r="F17" t="s">
        <v>230</v>
      </c>
      <c r="G17" t="s">
        <v>135</v>
      </c>
      <c r="H17" s="8" t="s">
        <v>0</v>
      </c>
      <c r="I17" s="8">
        <v>128</v>
      </c>
      <c r="J17" s="8">
        <v>825356</v>
      </c>
      <c r="K17" s="29"/>
      <c r="L17" s="27" t="s">
        <v>47</v>
      </c>
      <c r="M17" t="s">
        <v>164</v>
      </c>
      <c r="N17" t="s">
        <v>135</v>
      </c>
      <c r="O17" s="2" t="s">
        <v>12</v>
      </c>
      <c r="P17" s="2" t="s">
        <v>12</v>
      </c>
      <c r="Q17" s="3">
        <v>80</v>
      </c>
      <c r="R17" s="4" t="s">
        <v>52</v>
      </c>
      <c r="S17" s="5">
        <v>825356</v>
      </c>
      <c r="T17" s="3">
        <v>1991</v>
      </c>
      <c r="U17" s="7" t="s">
        <v>136</v>
      </c>
      <c r="V17" s="1" t="str">
        <f>IF(J17=S17,"Yes","")</f>
        <v>Yes</v>
      </c>
    </row>
    <row r="18" spans="2:22">
      <c r="B18">
        <v>2014</v>
      </c>
      <c r="C18" t="s">
        <v>629</v>
      </c>
      <c r="D18">
        <v>7</v>
      </c>
      <c r="E18" t="s">
        <v>253</v>
      </c>
      <c r="F18" t="s">
        <v>230</v>
      </c>
      <c r="G18" t="s">
        <v>254</v>
      </c>
      <c r="H18" s="8" t="s">
        <v>0</v>
      </c>
      <c r="I18" s="8">
        <v>68</v>
      </c>
      <c r="J18" s="8">
        <v>17803</v>
      </c>
      <c r="K18" s="29"/>
      <c r="L18" s="27" t="s">
        <v>48</v>
      </c>
    </row>
    <row r="19" spans="2:22">
      <c r="B19">
        <v>2014</v>
      </c>
      <c r="C19" t="s">
        <v>629</v>
      </c>
      <c r="D19">
        <v>8</v>
      </c>
      <c r="E19" t="s">
        <v>255</v>
      </c>
      <c r="F19" t="s">
        <v>230</v>
      </c>
      <c r="G19" t="s">
        <v>159</v>
      </c>
      <c r="H19" s="8" t="s">
        <v>4</v>
      </c>
      <c r="I19" s="8">
        <v>106</v>
      </c>
      <c r="J19" s="8">
        <v>5677416</v>
      </c>
      <c r="K19" s="29"/>
      <c r="L19" s="27" t="s">
        <v>47</v>
      </c>
      <c r="M19" t="s">
        <v>164</v>
      </c>
      <c r="N19" t="s">
        <v>70</v>
      </c>
      <c r="O19" s="2" t="s">
        <v>4</v>
      </c>
      <c r="P19" s="2" t="s">
        <v>4</v>
      </c>
      <c r="Q19" s="3">
        <v>105</v>
      </c>
      <c r="R19" s="4" t="s">
        <v>52</v>
      </c>
      <c r="S19" s="5">
        <v>5677416</v>
      </c>
      <c r="T19" s="3">
        <v>2010</v>
      </c>
      <c r="U19" s="7" t="s">
        <v>131</v>
      </c>
      <c r="V19" s="1" t="str">
        <f>IF(J19=S19,"Yes","")</f>
        <v>Yes</v>
      </c>
    </row>
    <row r="20" spans="2:22">
      <c r="B20">
        <v>2014</v>
      </c>
      <c r="C20" t="s">
        <v>629</v>
      </c>
      <c r="D20">
        <v>9</v>
      </c>
      <c r="E20" t="s">
        <v>256</v>
      </c>
      <c r="F20" t="s">
        <v>230</v>
      </c>
      <c r="G20" t="s">
        <v>137</v>
      </c>
      <c r="H20" s="8" t="s">
        <v>4</v>
      </c>
      <c r="I20" s="8">
        <v>110</v>
      </c>
      <c r="J20" s="8">
        <v>2298355</v>
      </c>
      <c r="K20" s="29"/>
      <c r="L20" s="27" t="s">
        <v>47</v>
      </c>
      <c r="M20" t="s">
        <v>164</v>
      </c>
      <c r="N20" t="s">
        <v>137</v>
      </c>
      <c r="O20" s="2" t="s">
        <v>7</v>
      </c>
      <c r="P20" s="2" t="s">
        <v>7</v>
      </c>
      <c r="Q20" s="3">
        <v>112</v>
      </c>
      <c r="R20" s="4" t="s">
        <v>52</v>
      </c>
      <c r="S20" s="5">
        <v>2298355</v>
      </c>
      <c r="T20" s="3">
        <v>1997</v>
      </c>
      <c r="U20" s="3" t="s">
        <v>138</v>
      </c>
      <c r="V20" s="1" t="str">
        <f>IF(J20=S20,"Yes","")</f>
        <v>Yes</v>
      </c>
    </row>
    <row r="21" spans="2:22">
      <c r="B21">
        <v>2014</v>
      </c>
      <c r="C21" t="s">
        <v>629</v>
      </c>
      <c r="D21">
        <v>10</v>
      </c>
      <c r="E21" t="s">
        <v>257</v>
      </c>
      <c r="F21" t="s">
        <v>230</v>
      </c>
      <c r="G21" t="s">
        <v>62</v>
      </c>
      <c r="H21" s="8" t="s">
        <v>7</v>
      </c>
      <c r="I21" s="8">
        <v>79</v>
      </c>
      <c r="J21" s="8">
        <v>1097451</v>
      </c>
      <c r="K21" s="29"/>
      <c r="L21" s="27" t="s">
        <v>47</v>
      </c>
      <c r="M21" t="s">
        <v>164</v>
      </c>
      <c r="N21" t="s">
        <v>62</v>
      </c>
      <c r="O21" s="2" t="s">
        <v>7</v>
      </c>
      <c r="P21" s="2" t="s">
        <v>7</v>
      </c>
      <c r="Q21" s="3">
        <v>77</v>
      </c>
      <c r="R21" s="3" t="s">
        <v>52</v>
      </c>
      <c r="S21" s="5">
        <v>1097451</v>
      </c>
      <c r="T21" s="3">
        <v>1995</v>
      </c>
      <c r="U21" s="7" t="s">
        <v>63</v>
      </c>
      <c r="V21" s="1" t="str">
        <f>IF(J21=S21,"Yes","")</f>
        <v>Yes</v>
      </c>
    </row>
    <row r="22" spans="2:22">
      <c r="B22">
        <v>2014</v>
      </c>
      <c r="C22" t="s">
        <v>630</v>
      </c>
      <c r="D22">
        <v>1</v>
      </c>
      <c r="E22" t="s">
        <v>258</v>
      </c>
      <c r="F22" t="s">
        <v>230</v>
      </c>
      <c r="G22" t="s">
        <v>29</v>
      </c>
      <c r="H22" s="8" t="s">
        <v>22</v>
      </c>
      <c r="I22" s="8">
        <v>124</v>
      </c>
      <c r="J22" s="8">
        <v>7031125</v>
      </c>
      <c r="L22" s="27" t="s">
        <v>48</v>
      </c>
    </row>
    <row r="23" spans="2:22">
      <c r="B23">
        <v>2014</v>
      </c>
      <c r="C23" t="s">
        <v>630</v>
      </c>
      <c r="D23">
        <v>2</v>
      </c>
      <c r="E23" t="s">
        <v>259</v>
      </c>
      <c r="F23" t="s">
        <v>230</v>
      </c>
      <c r="G23" t="s">
        <v>159</v>
      </c>
      <c r="H23" s="8" t="s">
        <v>0</v>
      </c>
      <c r="I23" s="8">
        <v>96</v>
      </c>
      <c r="J23" s="8">
        <v>5806878</v>
      </c>
      <c r="L23" s="27" t="s">
        <v>47</v>
      </c>
      <c r="M23" t="s">
        <v>164</v>
      </c>
      <c r="N23" t="s">
        <v>91</v>
      </c>
      <c r="O23" s="2" t="s">
        <v>15</v>
      </c>
      <c r="P23" s="2" t="s">
        <v>18</v>
      </c>
      <c r="Q23" s="3">
        <v>96</v>
      </c>
      <c r="R23" s="3" t="s">
        <v>52</v>
      </c>
      <c r="S23" s="5">
        <v>5806878</v>
      </c>
      <c r="T23" s="3">
        <v>2010</v>
      </c>
      <c r="U23" s="3" t="s">
        <v>139</v>
      </c>
      <c r="V23" s="1" t="str">
        <f>IF(J23=S23,"Yes","")</f>
        <v>Yes</v>
      </c>
    </row>
    <row r="24" spans="2:22">
      <c r="B24">
        <v>2014</v>
      </c>
      <c r="C24" t="s">
        <v>630</v>
      </c>
      <c r="D24">
        <v>3</v>
      </c>
      <c r="E24" t="s">
        <v>260</v>
      </c>
      <c r="F24" t="s">
        <v>230</v>
      </c>
      <c r="G24" t="s">
        <v>261</v>
      </c>
      <c r="H24" s="8" t="s">
        <v>0</v>
      </c>
      <c r="I24" s="8">
        <v>111</v>
      </c>
      <c r="J24" s="8">
        <v>6186872</v>
      </c>
      <c r="L24" s="27" t="s">
        <v>48</v>
      </c>
    </row>
    <row r="25" spans="2:22">
      <c r="B25">
        <v>2014</v>
      </c>
      <c r="C25" t="s">
        <v>630</v>
      </c>
      <c r="D25">
        <v>4</v>
      </c>
      <c r="E25" t="s">
        <v>262</v>
      </c>
      <c r="F25" t="s">
        <v>230</v>
      </c>
      <c r="G25" t="s">
        <v>263</v>
      </c>
      <c r="H25" s="8" t="s">
        <v>0</v>
      </c>
      <c r="I25" s="8">
        <v>56</v>
      </c>
      <c r="J25" s="8">
        <v>14514</v>
      </c>
      <c r="L25" s="27" t="s">
        <v>47</v>
      </c>
    </row>
    <row r="26" spans="2:22">
      <c r="B26">
        <v>2014</v>
      </c>
      <c r="C26" t="s">
        <v>630</v>
      </c>
      <c r="D26">
        <v>5</v>
      </c>
      <c r="E26" t="s">
        <v>264</v>
      </c>
      <c r="F26" t="s">
        <v>230</v>
      </c>
      <c r="G26" t="s">
        <v>265</v>
      </c>
      <c r="H26" s="8" t="s">
        <v>2</v>
      </c>
      <c r="I26" s="8">
        <v>72.5</v>
      </c>
      <c r="J26" s="8">
        <v>5032549</v>
      </c>
      <c r="L26" s="27" t="s">
        <v>47</v>
      </c>
    </row>
    <row r="27" spans="2:22">
      <c r="B27">
        <v>2014</v>
      </c>
      <c r="C27" t="s">
        <v>630</v>
      </c>
      <c r="D27">
        <v>6</v>
      </c>
      <c r="E27" t="s">
        <v>266</v>
      </c>
      <c r="F27" t="s">
        <v>230</v>
      </c>
      <c r="G27" t="s">
        <v>62</v>
      </c>
      <c r="H27" s="8" t="s">
        <v>2</v>
      </c>
      <c r="I27" s="8">
        <v>70</v>
      </c>
      <c r="J27" s="8">
        <v>5997055</v>
      </c>
      <c r="L27" s="27" t="s">
        <v>47</v>
      </c>
    </row>
    <row r="28" spans="2:22">
      <c r="B28">
        <v>2014</v>
      </c>
      <c r="C28" t="s">
        <v>630</v>
      </c>
      <c r="D28">
        <v>7</v>
      </c>
      <c r="E28" t="s">
        <v>267</v>
      </c>
      <c r="F28" t="s">
        <v>230</v>
      </c>
      <c r="G28" t="s">
        <v>231</v>
      </c>
      <c r="H28" s="8" t="s">
        <v>4</v>
      </c>
      <c r="I28" s="8">
        <v>80</v>
      </c>
      <c r="J28" s="8">
        <v>1406918</v>
      </c>
      <c r="L28" s="27" t="s">
        <v>47</v>
      </c>
      <c r="M28" t="s">
        <v>164</v>
      </c>
      <c r="N28" t="s">
        <v>140</v>
      </c>
      <c r="O28" s="2" t="s">
        <v>15</v>
      </c>
      <c r="P28" s="2" t="s">
        <v>15</v>
      </c>
      <c r="Q28" s="3">
        <v>76</v>
      </c>
      <c r="R28" s="4" t="s">
        <v>52</v>
      </c>
      <c r="S28" s="5">
        <v>1406918</v>
      </c>
      <c r="T28" s="3">
        <v>1993</v>
      </c>
      <c r="U28" s="7" t="s">
        <v>141</v>
      </c>
      <c r="V28" s="1" t="str">
        <f>IF(J28=S28,"Yes","")</f>
        <v>Yes</v>
      </c>
    </row>
    <row r="29" spans="2:22">
      <c r="B29">
        <v>2014</v>
      </c>
      <c r="C29" t="s">
        <v>630</v>
      </c>
      <c r="D29">
        <v>8</v>
      </c>
      <c r="E29" t="s">
        <v>268</v>
      </c>
      <c r="F29" t="s">
        <v>230</v>
      </c>
      <c r="G29" t="s">
        <v>261</v>
      </c>
      <c r="H29" s="8" t="s">
        <v>21</v>
      </c>
      <c r="I29" s="8">
        <v>68</v>
      </c>
      <c r="J29" s="8">
        <v>2306412</v>
      </c>
      <c r="L29" s="27" t="s">
        <v>47</v>
      </c>
      <c r="M29" t="s">
        <v>164</v>
      </c>
      <c r="N29" t="s">
        <v>142</v>
      </c>
      <c r="O29" s="2" t="s">
        <v>20</v>
      </c>
      <c r="P29" s="2" t="s">
        <v>20</v>
      </c>
      <c r="Q29" s="3">
        <v>76</v>
      </c>
      <c r="R29" s="3" t="s">
        <v>65</v>
      </c>
      <c r="S29" s="3">
        <v>2306412</v>
      </c>
      <c r="T29" s="3">
        <v>1997</v>
      </c>
      <c r="U29" s="3" t="s">
        <v>143</v>
      </c>
      <c r="V29" s="1" t="str">
        <f>IF(J29=S29,"Yes","")</f>
        <v>Yes</v>
      </c>
    </row>
    <row r="30" spans="2:22">
      <c r="B30">
        <v>2014</v>
      </c>
      <c r="C30" t="s">
        <v>630</v>
      </c>
      <c r="D30">
        <v>9</v>
      </c>
      <c r="E30" t="s">
        <v>269</v>
      </c>
      <c r="F30" t="s">
        <v>230</v>
      </c>
      <c r="G30" t="s">
        <v>144</v>
      </c>
      <c r="H30" s="8" t="s">
        <v>21</v>
      </c>
      <c r="I30" s="8">
        <v>120</v>
      </c>
      <c r="J30" s="8">
        <v>3915912</v>
      </c>
      <c r="L30" s="27" t="s">
        <v>47</v>
      </c>
      <c r="M30" t="s">
        <v>164</v>
      </c>
      <c r="N30" t="s">
        <v>144</v>
      </c>
      <c r="O30" s="2" t="s">
        <v>20</v>
      </c>
      <c r="P30" s="2" t="s">
        <v>20</v>
      </c>
      <c r="Q30" s="3">
        <v>122</v>
      </c>
      <c r="R30" s="4" t="s">
        <v>52</v>
      </c>
      <c r="S30" s="3">
        <v>3915912</v>
      </c>
      <c r="T30" s="3">
        <v>2002</v>
      </c>
      <c r="U30" s="3" t="s">
        <v>63</v>
      </c>
      <c r="V30" s="1" t="str">
        <f>IF(J30=S30,"Yes","")</f>
        <v>Yes</v>
      </c>
    </row>
    <row r="31" spans="2:22">
      <c r="B31">
        <v>2014</v>
      </c>
      <c r="C31" t="s">
        <v>630</v>
      </c>
      <c r="D31">
        <v>10</v>
      </c>
      <c r="E31" t="s">
        <v>270</v>
      </c>
      <c r="F31" t="s">
        <v>230</v>
      </c>
      <c r="G31" t="s">
        <v>62</v>
      </c>
      <c r="H31" s="8" t="s">
        <v>4</v>
      </c>
      <c r="I31" s="8">
        <v>114</v>
      </c>
      <c r="J31" s="8">
        <v>3798438</v>
      </c>
      <c r="L31" s="27" t="s">
        <v>47</v>
      </c>
      <c r="M31" t="s">
        <v>164</v>
      </c>
      <c r="N31" t="s">
        <v>145</v>
      </c>
      <c r="O31" s="2" t="s">
        <v>4</v>
      </c>
      <c r="P31" s="2" t="s">
        <v>4</v>
      </c>
      <c r="Q31" s="3">
        <v>116</v>
      </c>
      <c r="R31" s="3" t="s">
        <v>52</v>
      </c>
      <c r="S31" s="5">
        <v>3798438</v>
      </c>
      <c r="T31" s="3">
        <v>2002</v>
      </c>
      <c r="U31" s="7" t="s">
        <v>63</v>
      </c>
      <c r="V31" s="1" t="str">
        <f>IF(J31=S31,"Yes","")</f>
        <v>Yes</v>
      </c>
    </row>
    <row r="32" spans="2:22">
      <c r="B32">
        <v>2014</v>
      </c>
      <c r="C32" t="s">
        <v>631</v>
      </c>
      <c r="D32">
        <v>1</v>
      </c>
      <c r="E32" t="s">
        <v>271</v>
      </c>
      <c r="F32" t="s">
        <v>272</v>
      </c>
      <c r="G32" t="s">
        <v>159</v>
      </c>
      <c r="H32" s="8" t="s">
        <v>15</v>
      </c>
      <c r="I32" s="8">
        <v>104</v>
      </c>
      <c r="J32" s="8">
        <v>7029507</v>
      </c>
      <c r="L32" s="27" t="s">
        <v>47</v>
      </c>
    </row>
    <row r="33" spans="2:22">
      <c r="B33">
        <v>2014</v>
      </c>
      <c r="C33" t="s">
        <v>631</v>
      </c>
      <c r="D33">
        <v>2</v>
      </c>
      <c r="E33" t="s">
        <v>273</v>
      </c>
      <c r="F33" t="s">
        <v>230</v>
      </c>
      <c r="G33" t="s">
        <v>231</v>
      </c>
      <c r="H33" s="8" t="s">
        <v>9</v>
      </c>
      <c r="I33" s="8">
        <v>118</v>
      </c>
      <c r="J33" s="8">
        <v>5636866</v>
      </c>
      <c r="L33" s="27" t="s">
        <v>47</v>
      </c>
    </row>
    <row r="34" spans="2:22">
      <c r="B34">
        <v>2014</v>
      </c>
      <c r="C34" t="s">
        <v>631</v>
      </c>
      <c r="D34">
        <v>3</v>
      </c>
      <c r="E34" t="s">
        <v>274</v>
      </c>
      <c r="F34" t="s">
        <v>230</v>
      </c>
      <c r="G34" t="s">
        <v>159</v>
      </c>
      <c r="H34" s="8" t="s">
        <v>0</v>
      </c>
      <c r="I34" s="8">
        <v>77</v>
      </c>
      <c r="J34" s="8">
        <v>4158039</v>
      </c>
      <c r="L34" s="27" t="s">
        <v>47</v>
      </c>
    </row>
    <row r="35" spans="2:22">
      <c r="B35">
        <v>2014</v>
      </c>
      <c r="C35" t="s">
        <v>631</v>
      </c>
      <c r="D35">
        <v>4</v>
      </c>
      <c r="E35" t="s">
        <v>275</v>
      </c>
      <c r="F35" t="s">
        <v>230</v>
      </c>
      <c r="G35" t="s">
        <v>62</v>
      </c>
      <c r="H35" s="8" t="s">
        <v>2</v>
      </c>
      <c r="I35" s="8">
        <v>86</v>
      </c>
      <c r="J35" s="8">
        <v>5925649</v>
      </c>
      <c r="L35" s="27" t="s">
        <v>47</v>
      </c>
    </row>
    <row r="36" spans="2:22">
      <c r="B36">
        <v>2014</v>
      </c>
      <c r="C36" t="s">
        <v>631</v>
      </c>
      <c r="D36">
        <v>5</v>
      </c>
      <c r="E36" t="s">
        <v>276</v>
      </c>
      <c r="F36" t="s">
        <v>230</v>
      </c>
      <c r="G36" t="s">
        <v>237</v>
      </c>
      <c r="H36" s="8" t="s">
        <v>2</v>
      </c>
      <c r="I36" s="8">
        <v>72</v>
      </c>
      <c r="J36" s="8">
        <v>5881037</v>
      </c>
      <c r="L36" s="27" t="s">
        <v>47</v>
      </c>
    </row>
    <row r="37" spans="2:22">
      <c r="B37">
        <v>2014</v>
      </c>
      <c r="C37" t="s">
        <v>631</v>
      </c>
      <c r="D37">
        <v>6</v>
      </c>
      <c r="E37" t="s">
        <v>277</v>
      </c>
      <c r="F37" t="s">
        <v>230</v>
      </c>
      <c r="G37" t="s">
        <v>144</v>
      </c>
      <c r="H37" s="8" t="s">
        <v>2</v>
      </c>
      <c r="I37" s="8">
        <v>69</v>
      </c>
      <c r="J37" s="8">
        <v>3266032</v>
      </c>
      <c r="L37" s="27" t="s">
        <v>47</v>
      </c>
      <c r="M37" t="s">
        <v>164</v>
      </c>
      <c r="N37" t="s">
        <v>144</v>
      </c>
      <c r="O37" s="2" t="s">
        <v>7</v>
      </c>
      <c r="P37" s="2" t="s">
        <v>7</v>
      </c>
      <c r="Q37" s="3">
        <v>75</v>
      </c>
      <c r="R37" s="3" t="s">
        <v>52</v>
      </c>
      <c r="S37" s="5">
        <v>3266032</v>
      </c>
      <c r="T37" s="3">
        <v>2000</v>
      </c>
      <c r="U37" s="7" t="s">
        <v>63</v>
      </c>
      <c r="V37" s="1" t="str">
        <f>IF(J37=S37,"Yes","")</f>
        <v>Yes</v>
      </c>
    </row>
    <row r="38" spans="2:22">
      <c r="B38">
        <v>2014</v>
      </c>
      <c r="C38" t="s">
        <v>631</v>
      </c>
      <c r="D38">
        <v>7</v>
      </c>
      <c r="E38" t="s">
        <v>278</v>
      </c>
      <c r="F38" t="s">
        <v>230</v>
      </c>
      <c r="G38" t="s">
        <v>261</v>
      </c>
      <c r="H38" s="8" t="s">
        <v>2</v>
      </c>
      <c r="I38" s="8">
        <v>58</v>
      </c>
      <c r="J38" s="8">
        <v>5627772</v>
      </c>
      <c r="L38" s="27" t="s">
        <v>49</v>
      </c>
    </row>
    <row r="39" spans="2:22">
      <c r="B39">
        <v>2014</v>
      </c>
      <c r="C39" t="s">
        <v>631</v>
      </c>
      <c r="D39">
        <v>8</v>
      </c>
      <c r="E39" t="s">
        <v>279</v>
      </c>
      <c r="F39" t="s">
        <v>230</v>
      </c>
      <c r="G39" t="s">
        <v>231</v>
      </c>
      <c r="H39" s="8" t="s">
        <v>15</v>
      </c>
      <c r="I39" s="8">
        <v>77</v>
      </c>
      <c r="J39" s="8">
        <v>4873981</v>
      </c>
      <c r="L39" s="27" t="s">
        <v>47</v>
      </c>
      <c r="M39" t="s">
        <v>164</v>
      </c>
      <c r="N39" t="s">
        <v>147</v>
      </c>
      <c r="O39" s="2" t="s">
        <v>4</v>
      </c>
      <c r="P39" s="2" t="s">
        <v>4</v>
      </c>
      <c r="Q39" s="3">
        <v>80</v>
      </c>
      <c r="R39" s="3" t="s">
        <v>52</v>
      </c>
      <c r="S39" s="5">
        <v>4873981</v>
      </c>
      <c r="T39" s="3">
        <v>2007</v>
      </c>
      <c r="U39" s="7" t="s">
        <v>148</v>
      </c>
      <c r="V39" s="1" t="str">
        <f>IF(J39=S39,"Yes","")</f>
        <v>Yes</v>
      </c>
    </row>
    <row r="40" spans="2:22">
      <c r="B40">
        <v>2014</v>
      </c>
      <c r="C40" t="s">
        <v>631</v>
      </c>
      <c r="D40">
        <v>9</v>
      </c>
      <c r="E40" t="s">
        <v>280</v>
      </c>
      <c r="F40" t="s">
        <v>281</v>
      </c>
      <c r="G40" t="s">
        <v>29</v>
      </c>
      <c r="H40" s="8" t="s">
        <v>26</v>
      </c>
      <c r="I40" s="8">
        <v>68</v>
      </c>
      <c r="J40" s="8">
        <v>7029513</v>
      </c>
      <c r="L40" s="27" t="s">
        <v>47</v>
      </c>
    </row>
    <row r="41" spans="2:22">
      <c r="B41">
        <v>2014</v>
      </c>
      <c r="C41" t="s">
        <v>631</v>
      </c>
      <c r="D41">
        <v>10</v>
      </c>
      <c r="E41" t="s">
        <v>282</v>
      </c>
      <c r="F41" t="s">
        <v>283</v>
      </c>
      <c r="G41" t="s">
        <v>284</v>
      </c>
      <c r="H41" s="8" t="s">
        <v>18</v>
      </c>
      <c r="I41" s="8">
        <v>115</v>
      </c>
      <c r="J41" s="8">
        <v>4158022</v>
      </c>
      <c r="L41" s="27" t="s">
        <v>47</v>
      </c>
    </row>
    <row r="42" spans="2:22">
      <c r="B42">
        <v>2014</v>
      </c>
      <c r="C42" t="s">
        <v>632</v>
      </c>
      <c r="D42">
        <v>1</v>
      </c>
      <c r="E42" t="s">
        <v>285</v>
      </c>
      <c r="F42" t="s">
        <v>230</v>
      </c>
      <c r="G42" t="s">
        <v>231</v>
      </c>
      <c r="H42" s="8" t="s">
        <v>2</v>
      </c>
      <c r="I42" s="8">
        <v>68</v>
      </c>
      <c r="J42" s="8">
        <v>6158927</v>
      </c>
      <c r="L42" s="27" t="s">
        <v>47</v>
      </c>
      <c r="M42" t="s">
        <v>164</v>
      </c>
      <c r="N42" t="s">
        <v>149</v>
      </c>
      <c r="O42" s="2" t="s">
        <v>2</v>
      </c>
      <c r="P42" s="2" t="s">
        <v>2</v>
      </c>
      <c r="Q42" s="3">
        <v>71</v>
      </c>
      <c r="R42" s="3" t="s">
        <v>52</v>
      </c>
      <c r="S42" s="5">
        <v>6158927</v>
      </c>
      <c r="T42" s="3">
        <v>2011</v>
      </c>
      <c r="U42" s="7" t="s">
        <v>53</v>
      </c>
      <c r="V42" s="1" t="str">
        <f>IF(J42=S42,"Yes","")</f>
        <v>Yes</v>
      </c>
    </row>
    <row r="43" spans="2:22">
      <c r="B43">
        <v>2014</v>
      </c>
      <c r="C43" t="s">
        <v>632</v>
      </c>
      <c r="D43">
        <v>2</v>
      </c>
      <c r="E43" t="s">
        <v>286</v>
      </c>
      <c r="F43" t="s">
        <v>230</v>
      </c>
      <c r="G43" t="s">
        <v>287</v>
      </c>
      <c r="H43" s="8" t="s">
        <v>2</v>
      </c>
      <c r="I43" s="8">
        <v>71</v>
      </c>
      <c r="J43" s="8">
        <v>5207587</v>
      </c>
      <c r="L43" s="27" t="s">
        <v>47</v>
      </c>
    </row>
    <row r="44" spans="2:22">
      <c r="B44">
        <v>2014</v>
      </c>
      <c r="C44" t="s">
        <v>632</v>
      </c>
      <c r="D44">
        <v>3</v>
      </c>
      <c r="E44" t="s">
        <v>288</v>
      </c>
      <c r="F44" t="s">
        <v>230</v>
      </c>
      <c r="G44" t="s">
        <v>233</v>
      </c>
      <c r="H44" s="8" t="s">
        <v>0</v>
      </c>
      <c r="I44" s="8">
        <v>79</v>
      </c>
      <c r="J44" s="8">
        <v>5124055</v>
      </c>
      <c r="L44" s="27" t="s">
        <v>47</v>
      </c>
    </row>
    <row r="45" spans="2:22">
      <c r="B45">
        <v>2014</v>
      </c>
      <c r="C45" t="s">
        <v>632</v>
      </c>
      <c r="D45">
        <v>4</v>
      </c>
      <c r="E45" t="s">
        <v>289</v>
      </c>
      <c r="F45" t="s">
        <v>230</v>
      </c>
      <c r="G45" t="s">
        <v>261</v>
      </c>
      <c r="H45" s="8" t="s">
        <v>0</v>
      </c>
      <c r="I45" s="8">
        <v>58</v>
      </c>
      <c r="J45" s="8">
        <v>6590798</v>
      </c>
      <c r="L45" s="27" t="s">
        <v>47</v>
      </c>
    </row>
    <row r="46" spans="2:22">
      <c r="B46">
        <v>2014</v>
      </c>
      <c r="C46" t="s">
        <v>632</v>
      </c>
      <c r="D46">
        <v>5</v>
      </c>
      <c r="E46" t="s">
        <v>290</v>
      </c>
      <c r="F46" t="s">
        <v>230</v>
      </c>
      <c r="G46" t="s">
        <v>62</v>
      </c>
      <c r="H46" s="8" t="s">
        <v>15</v>
      </c>
      <c r="I46" s="8">
        <v>71</v>
      </c>
      <c r="J46" s="8">
        <v>3040980</v>
      </c>
      <c r="L46" s="27" t="s">
        <v>47</v>
      </c>
    </row>
    <row r="47" spans="2:22">
      <c r="B47">
        <v>2014</v>
      </c>
      <c r="C47" t="s">
        <v>632</v>
      </c>
      <c r="D47">
        <v>6</v>
      </c>
      <c r="E47" t="s">
        <v>291</v>
      </c>
      <c r="F47" t="s">
        <v>230</v>
      </c>
      <c r="G47" t="s">
        <v>235</v>
      </c>
      <c r="H47" s="8" t="s">
        <v>15</v>
      </c>
      <c r="I47" s="8">
        <v>78</v>
      </c>
      <c r="J47" s="8">
        <v>5880784</v>
      </c>
      <c r="L47" s="27" t="s">
        <v>47</v>
      </c>
    </row>
    <row r="48" spans="2:22">
      <c r="B48">
        <v>2014</v>
      </c>
      <c r="C48" t="s">
        <v>632</v>
      </c>
      <c r="D48">
        <v>7</v>
      </c>
      <c r="E48" t="s">
        <v>292</v>
      </c>
      <c r="F48" t="s">
        <v>230</v>
      </c>
      <c r="G48" t="s">
        <v>159</v>
      </c>
      <c r="H48" s="8" t="s">
        <v>15</v>
      </c>
      <c r="I48" s="8">
        <v>73</v>
      </c>
      <c r="J48" s="8">
        <v>2060208</v>
      </c>
      <c r="L48" s="27" t="s">
        <v>47</v>
      </c>
    </row>
    <row r="49" spans="2:22">
      <c r="B49">
        <v>2014</v>
      </c>
      <c r="C49" t="s">
        <v>632</v>
      </c>
      <c r="D49">
        <v>8</v>
      </c>
      <c r="E49" t="s">
        <v>293</v>
      </c>
      <c r="F49" t="s">
        <v>230</v>
      </c>
      <c r="G49" t="s">
        <v>237</v>
      </c>
      <c r="H49" s="8" t="s">
        <v>20</v>
      </c>
      <c r="I49" s="8">
        <v>70</v>
      </c>
      <c r="J49" s="8">
        <v>4689508</v>
      </c>
      <c r="L49" s="27" t="s">
        <v>47</v>
      </c>
      <c r="M49" t="s">
        <v>164</v>
      </c>
      <c r="N49" t="s">
        <v>150</v>
      </c>
      <c r="O49" s="2" t="s">
        <v>2</v>
      </c>
      <c r="P49" s="2" t="s">
        <v>26</v>
      </c>
      <c r="Q49" s="3">
        <v>76</v>
      </c>
      <c r="R49" s="4" t="s">
        <v>65</v>
      </c>
      <c r="S49" s="3">
        <v>22331</v>
      </c>
      <c r="T49" s="3">
        <v>1865</v>
      </c>
      <c r="U49" s="7" t="s">
        <v>146</v>
      </c>
      <c r="V49" s="1" t="str">
        <f>IF(J49=S49,"Yes","")</f>
        <v/>
      </c>
    </row>
    <row r="50" spans="2:22">
      <c r="B50">
        <v>2014</v>
      </c>
      <c r="C50" t="s">
        <v>632</v>
      </c>
      <c r="D50">
        <v>9</v>
      </c>
      <c r="E50" t="s">
        <v>294</v>
      </c>
      <c r="F50" t="s">
        <v>230</v>
      </c>
      <c r="G50" t="s">
        <v>295</v>
      </c>
      <c r="H50" s="8" t="s">
        <v>9</v>
      </c>
      <c r="I50" s="8">
        <v>75</v>
      </c>
      <c r="J50" s="8">
        <v>5393329</v>
      </c>
      <c r="L50" s="27" t="s">
        <v>47</v>
      </c>
      <c r="M50" t="s">
        <v>164</v>
      </c>
      <c r="N50" t="s">
        <v>151</v>
      </c>
      <c r="O50" s="2" t="s">
        <v>2</v>
      </c>
      <c r="P50" s="2" t="s">
        <v>2</v>
      </c>
      <c r="Q50" s="3">
        <v>75</v>
      </c>
      <c r="R50" s="4" t="s">
        <v>52</v>
      </c>
      <c r="S50" s="5">
        <v>5393329</v>
      </c>
      <c r="T50" s="3">
        <v>2008</v>
      </c>
      <c r="U50" s="3" t="s">
        <v>152</v>
      </c>
      <c r="V50" s="1" t="str">
        <f>IF(J50=S50,"Yes","")</f>
        <v>Yes</v>
      </c>
    </row>
    <row r="51" spans="2:22">
      <c r="B51">
        <v>2014</v>
      </c>
      <c r="C51" t="s">
        <v>632</v>
      </c>
      <c r="D51">
        <v>10</v>
      </c>
      <c r="E51" t="s">
        <v>296</v>
      </c>
      <c r="F51" t="s">
        <v>230</v>
      </c>
      <c r="G51" t="s">
        <v>159</v>
      </c>
      <c r="H51" s="8" t="s">
        <v>7</v>
      </c>
      <c r="I51" s="8">
        <v>88</v>
      </c>
      <c r="J51" s="8">
        <v>3148435</v>
      </c>
      <c r="L51" s="27" t="s">
        <v>47</v>
      </c>
      <c r="M51" t="s">
        <v>164</v>
      </c>
      <c r="N51" t="s">
        <v>153</v>
      </c>
      <c r="O51" s="2" t="s">
        <v>20</v>
      </c>
      <c r="P51" s="2" t="s">
        <v>20</v>
      </c>
      <c r="Q51" s="3">
        <v>88</v>
      </c>
      <c r="R51" s="4" t="s">
        <v>52</v>
      </c>
      <c r="S51" s="5">
        <v>3148435</v>
      </c>
      <c r="T51" s="3">
        <v>2000</v>
      </c>
      <c r="U51" s="3" t="s">
        <v>61</v>
      </c>
      <c r="V51" s="1" t="str">
        <f>IF(J51=S51,"Yes","")</f>
        <v>Yes</v>
      </c>
    </row>
    <row r="52" spans="2:22">
      <c r="B52">
        <v>2014</v>
      </c>
      <c r="C52" t="s">
        <v>633</v>
      </c>
      <c r="D52">
        <v>1</v>
      </c>
      <c r="E52" t="s">
        <v>297</v>
      </c>
      <c r="F52" t="s">
        <v>230</v>
      </c>
      <c r="G52" t="s">
        <v>298</v>
      </c>
      <c r="H52" s="8" t="s">
        <v>15</v>
      </c>
      <c r="I52" s="8">
        <v>118</v>
      </c>
      <c r="J52" s="8">
        <v>16880</v>
      </c>
      <c r="L52" s="27" t="s">
        <v>47</v>
      </c>
      <c r="M52" t="s">
        <v>164</v>
      </c>
      <c r="N52" t="s">
        <v>154</v>
      </c>
      <c r="O52" s="2" t="s">
        <v>0</v>
      </c>
      <c r="P52" s="2" t="s">
        <v>22</v>
      </c>
      <c r="Q52" s="3">
        <v>96</v>
      </c>
      <c r="R52" s="4" t="s">
        <v>52</v>
      </c>
      <c r="S52" s="3">
        <v>16880</v>
      </c>
      <c r="T52" s="3">
        <v>1971</v>
      </c>
      <c r="U52" s="3" t="s">
        <v>155</v>
      </c>
      <c r="V52" s="1" t="str">
        <f>IF(J52=S52,"Yes","")</f>
        <v>Yes</v>
      </c>
    </row>
    <row r="53" spans="2:22">
      <c r="B53">
        <v>2014</v>
      </c>
      <c r="C53" t="s">
        <v>633</v>
      </c>
      <c r="D53">
        <v>2</v>
      </c>
      <c r="E53" t="s">
        <v>299</v>
      </c>
      <c r="F53" t="s">
        <v>230</v>
      </c>
      <c r="G53" t="s">
        <v>261</v>
      </c>
      <c r="H53" s="8" t="s">
        <v>15</v>
      </c>
      <c r="I53" s="8">
        <v>70</v>
      </c>
      <c r="J53" s="8">
        <v>7029241</v>
      </c>
      <c r="L53" s="27" t="s">
        <v>48</v>
      </c>
    </row>
    <row r="54" spans="2:22">
      <c r="B54">
        <v>2014</v>
      </c>
      <c r="C54" t="s">
        <v>633</v>
      </c>
      <c r="D54">
        <v>3</v>
      </c>
      <c r="E54" t="s">
        <v>300</v>
      </c>
      <c r="F54" t="s">
        <v>230</v>
      </c>
      <c r="G54" t="s">
        <v>301</v>
      </c>
      <c r="H54" s="8" t="s">
        <v>7</v>
      </c>
      <c r="I54" s="8">
        <v>64</v>
      </c>
      <c r="J54" s="8">
        <v>4447960</v>
      </c>
      <c r="L54" s="27" t="s">
        <v>47</v>
      </c>
      <c r="M54" t="s">
        <v>164</v>
      </c>
      <c r="N54" t="s">
        <v>156</v>
      </c>
      <c r="O54" s="2" t="s">
        <v>20</v>
      </c>
      <c r="P54" s="2" t="s">
        <v>20</v>
      </c>
      <c r="Q54" s="3">
        <v>60</v>
      </c>
      <c r="R54" s="4" t="s">
        <v>52</v>
      </c>
      <c r="S54" s="3">
        <v>4447960</v>
      </c>
      <c r="T54" s="3">
        <v>2004</v>
      </c>
      <c r="U54" s="7" t="s">
        <v>157</v>
      </c>
      <c r="V54" s="1" t="str">
        <f>IF(J54=S54,"Yes","")</f>
        <v>Yes</v>
      </c>
    </row>
    <row r="55" spans="2:22">
      <c r="B55">
        <v>2014</v>
      </c>
      <c r="C55" t="s">
        <v>633</v>
      </c>
      <c r="D55">
        <v>4</v>
      </c>
      <c r="E55" t="s">
        <v>302</v>
      </c>
      <c r="F55" t="s">
        <v>230</v>
      </c>
      <c r="G55" t="s">
        <v>29</v>
      </c>
      <c r="H55" s="8" t="s">
        <v>7</v>
      </c>
      <c r="I55" s="8">
        <v>85</v>
      </c>
      <c r="J55" s="8">
        <v>18723</v>
      </c>
      <c r="L55" s="27" t="s">
        <v>47</v>
      </c>
      <c r="M55" t="s">
        <v>164</v>
      </c>
      <c r="N55" t="s">
        <v>158</v>
      </c>
      <c r="O55" s="2" t="s">
        <v>20</v>
      </c>
      <c r="P55" s="2" t="s">
        <v>20</v>
      </c>
      <c r="Q55" s="3">
        <v>75</v>
      </c>
      <c r="R55" s="4" t="s">
        <v>65</v>
      </c>
      <c r="S55" s="3">
        <v>18723</v>
      </c>
      <c r="T55" s="3">
        <v>1923</v>
      </c>
      <c r="U55" s="7" t="s">
        <v>146</v>
      </c>
      <c r="V55" s="1" t="str">
        <f>IF(J55=S55,"Yes","")</f>
        <v>Yes</v>
      </c>
    </row>
    <row r="56" spans="2:22">
      <c r="B56">
        <v>2014</v>
      </c>
      <c r="C56" t="s">
        <v>633</v>
      </c>
      <c r="D56">
        <v>5</v>
      </c>
      <c r="E56" t="s">
        <v>303</v>
      </c>
      <c r="F56" t="s">
        <v>230</v>
      </c>
      <c r="G56" t="s">
        <v>144</v>
      </c>
      <c r="H56" s="8" t="s">
        <v>18</v>
      </c>
      <c r="I56" s="8">
        <v>74</v>
      </c>
      <c r="J56" s="8">
        <v>6521035</v>
      </c>
      <c r="L56" s="27" t="s">
        <v>49</v>
      </c>
    </row>
    <row r="57" spans="2:22">
      <c r="B57">
        <v>2014</v>
      </c>
      <c r="C57" t="s">
        <v>633</v>
      </c>
      <c r="D57">
        <v>6</v>
      </c>
      <c r="E57" t="s">
        <v>304</v>
      </c>
      <c r="F57" t="s">
        <v>230</v>
      </c>
      <c r="G57" t="s">
        <v>305</v>
      </c>
      <c r="H57" s="8" t="s">
        <v>18</v>
      </c>
      <c r="I57" s="8">
        <v>113</v>
      </c>
      <c r="J57" s="8">
        <v>4491002</v>
      </c>
      <c r="L57" s="27" t="s">
        <v>47</v>
      </c>
    </row>
    <row r="58" spans="2:22">
      <c r="B58">
        <v>2014</v>
      </c>
      <c r="C58" t="s">
        <v>633</v>
      </c>
      <c r="D58">
        <v>7</v>
      </c>
      <c r="E58" t="s">
        <v>306</v>
      </c>
      <c r="F58" t="s">
        <v>307</v>
      </c>
      <c r="G58" t="s">
        <v>159</v>
      </c>
      <c r="H58" s="8" t="s">
        <v>18</v>
      </c>
      <c r="I58" s="8">
        <v>123</v>
      </c>
      <c r="J58" s="8">
        <v>3148428</v>
      </c>
      <c r="L58" s="27" t="s">
        <v>47</v>
      </c>
      <c r="M58" t="s">
        <v>164</v>
      </c>
      <c r="N58" t="s">
        <v>159</v>
      </c>
      <c r="O58" s="2" t="s">
        <v>15</v>
      </c>
      <c r="P58" s="2" t="s">
        <v>15</v>
      </c>
      <c r="Q58" s="3">
        <v>120</v>
      </c>
      <c r="R58" s="4" t="s">
        <v>52</v>
      </c>
      <c r="S58" s="5">
        <v>3148428</v>
      </c>
      <c r="T58" s="3">
        <v>2001</v>
      </c>
      <c r="U58" s="7" t="s">
        <v>61</v>
      </c>
      <c r="V58" s="1" t="str">
        <f>IF(J58=S58,"Yes","")</f>
        <v>Yes</v>
      </c>
    </row>
    <row r="59" spans="2:22">
      <c r="B59">
        <v>2014</v>
      </c>
      <c r="C59" t="s">
        <v>633</v>
      </c>
      <c r="D59">
        <v>8</v>
      </c>
      <c r="E59" t="s">
        <v>308</v>
      </c>
      <c r="F59" t="s">
        <v>230</v>
      </c>
      <c r="G59" t="s">
        <v>309</v>
      </c>
      <c r="H59" s="8" t="s">
        <v>26</v>
      </c>
      <c r="I59" s="8">
        <v>71</v>
      </c>
      <c r="J59" s="8">
        <v>5508444</v>
      </c>
      <c r="L59" s="27" t="s">
        <v>47</v>
      </c>
      <c r="M59" t="s">
        <v>164</v>
      </c>
      <c r="N59" t="s">
        <v>160</v>
      </c>
      <c r="O59" s="2" t="s">
        <v>0</v>
      </c>
      <c r="P59" s="2" t="s">
        <v>18</v>
      </c>
      <c r="Q59" s="3">
        <v>78</v>
      </c>
      <c r="R59" s="4" t="s">
        <v>52</v>
      </c>
      <c r="S59" s="5">
        <v>5508444</v>
      </c>
      <c r="T59" s="3">
        <v>2010</v>
      </c>
      <c r="U59" s="7" t="s">
        <v>161</v>
      </c>
      <c r="V59" s="1" t="str">
        <f>IF(J59=S59,"Yes","")</f>
        <v>Yes</v>
      </c>
    </row>
    <row r="60" spans="2:22">
      <c r="B60">
        <v>2014</v>
      </c>
      <c r="C60" t="s">
        <v>633</v>
      </c>
      <c r="D60">
        <v>9</v>
      </c>
      <c r="E60" t="s">
        <v>310</v>
      </c>
      <c r="F60" t="s">
        <v>230</v>
      </c>
      <c r="G60" t="s">
        <v>231</v>
      </c>
      <c r="H60" s="8" t="s">
        <v>0</v>
      </c>
      <c r="I60" s="8">
        <v>72</v>
      </c>
      <c r="J60" s="8">
        <v>4785828</v>
      </c>
      <c r="L60" s="27" t="s">
        <v>47</v>
      </c>
      <c r="M60" t="s">
        <v>164</v>
      </c>
      <c r="N60" t="s">
        <v>114</v>
      </c>
      <c r="O60" s="2" t="s">
        <v>20</v>
      </c>
      <c r="P60" s="2" t="s">
        <v>20</v>
      </c>
      <c r="Q60" s="3">
        <v>75</v>
      </c>
      <c r="R60" s="4" t="s">
        <v>52</v>
      </c>
      <c r="S60" s="5">
        <v>4785828</v>
      </c>
      <c r="T60" s="3">
        <v>2006</v>
      </c>
      <c r="U60" s="3" t="s">
        <v>53</v>
      </c>
      <c r="V60" s="1" t="str">
        <f>IF(J60=S60,"Yes","")</f>
        <v>Yes</v>
      </c>
    </row>
    <row r="61" spans="2:22">
      <c r="B61">
        <v>2014</v>
      </c>
      <c r="C61" t="s">
        <v>633</v>
      </c>
      <c r="D61">
        <v>10</v>
      </c>
      <c r="E61" t="s">
        <v>311</v>
      </c>
      <c r="F61" t="s">
        <v>230</v>
      </c>
      <c r="G61" t="s">
        <v>162</v>
      </c>
      <c r="H61" s="8" t="s">
        <v>0</v>
      </c>
      <c r="I61" s="8">
        <v>114</v>
      </c>
      <c r="J61" s="8">
        <v>4477026</v>
      </c>
      <c r="L61" s="27" t="s">
        <v>47</v>
      </c>
      <c r="M61" t="s">
        <v>164</v>
      </c>
      <c r="N61" t="s">
        <v>162</v>
      </c>
      <c r="O61" s="2" t="s">
        <v>0</v>
      </c>
      <c r="P61" s="2" t="s">
        <v>0</v>
      </c>
      <c r="Q61" s="3">
        <v>116</v>
      </c>
      <c r="R61" s="4" t="s">
        <v>52</v>
      </c>
      <c r="S61" s="5">
        <v>4477026</v>
      </c>
      <c r="T61" s="3">
        <v>2003</v>
      </c>
      <c r="U61" s="7" t="s">
        <v>63</v>
      </c>
      <c r="V61" s="1" t="str">
        <f>IF(J61=S61,"Yes","")</f>
        <v>Yes</v>
      </c>
    </row>
    <row r="62" spans="2:22">
      <c r="B62">
        <v>2014</v>
      </c>
      <c r="C62" t="s">
        <v>634</v>
      </c>
      <c r="D62">
        <v>1</v>
      </c>
      <c r="E62" t="s">
        <v>312</v>
      </c>
      <c r="F62" t="s">
        <v>230</v>
      </c>
      <c r="G62" t="s">
        <v>233</v>
      </c>
      <c r="H62" s="8" t="s">
        <v>21</v>
      </c>
      <c r="I62" s="8">
        <v>80</v>
      </c>
      <c r="J62" s="8">
        <v>5124024</v>
      </c>
      <c r="L62" s="27" t="s">
        <v>47</v>
      </c>
    </row>
    <row r="63" spans="2:22">
      <c r="B63">
        <v>2014</v>
      </c>
      <c r="C63" t="s">
        <v>634</v>
      </c>
      <c r="D63">
        <v>2</v>
      </c>
      <c r="E63" t="s">
        <v>247</v>
      </c>
      <c r="F63" t="s">
        <v>230</v>
      </c>
      <c r="G63" t="s">
        <v>231</v>
      </c>
      <c r="H63" s="8" t="s">
        <v>7</v>
      </c>
      <c r="I63" s="8">
        <v>73.5</v>
      </c>
      <c r="J63" s="8">
        <v>4785835</v>
      </c>
      <c r="L63" s="27" t="s">
        <v>47</v>
      </c>
      <c r="M63" t="s">
        <v>164</v>
      </c>
      <c r="N63" t="s">
        <v>114</v>
      </c>
      <c r="O63" s="2" t="s">
        <v>7</v>
      </c>
      <c r="P63" s="2" t="s">
        <v>7</v>
      </c>
      <c r="Q63" s="3">
        <v>75</v>
      </c>
      <c r="R63" s="4" t="s">
        <v>52</v>
      </c>
      <c r="S63" s="5">
        <v>4785835</v>
      </c>
      <c r="T63" s="3">
        <v>2006</v>
      </c>
      <c r="U63" s="3" t="s">
        <v>53</v>
      </c>
      <c r="V63" s="1" t="str">
        <f>IF(J63=S63,"Yes","")</f>
        <v>Yes</v>
      </c>
    </row>
    <row r="64" spans="2:22">
      <c r="B64">
        <v>2014</v>
      </c>
      <c r="C64" t="s">
        <v>634</v>
      </c>
      <c r="D64">
        <v>3</v>
      </c>
      <c r="E64" t="s">
        <v>313</v>
      </c>
      <c r="F64" t="s">
        <v>230</v>
      </c>
      <c r="G64" t="s">
        <v>231</v>
      </c>
      <c r="H64" s="8" t="s">
        <v>2</v>
      </c>
      <c r="I64" s="8">
        <v>75</v>
      </c>
      <c r="J64" s="8">
        <v>4591782</v>
      </c>
      <c r="L64" s="27" t="s">
        <v>47</v>
      </c>
      <c r="M64" t="s">
        <v>164</v>
      </c>
      <c r="N64" t="s">
        <v>64</v>
      </c>
      <c r="O64" s="2" t="s">
        <v>15</v>
      </c>
      <c r="P64" s="2" t="s">
        <v>15</v>
      </c>
      <c r="Q64" s="3">
        <v>74</v>
      </c>
      <c r="R64" s="3" t="s">
        <v>52</v>
      </c>
      <c r="S64" s="5">
        <v>4591782</v>
      </c>
      <c r="T64" s="3">
        <v>2006</v>
      </c>
      <c r="U64" s="3" t="s">
        <v>53</v>
      </c>
      <c r="V64" s="1" t="str">
        <f>IF(J64=S64,"Yes","")</f>
        <v>Yes</v>
      </c>
    </row>
    <row r="65" spans="2:22">
      <c r="B65">
        <v>2014</v>
      </c>
      <c r="C65" t="s">
        <v>634</v>
      </c>
      <c r="D65">
        <v>4</v>
      </c>
      <c r="E65" t="s">
        <v>314</v>
      </c>
      <c r="F65" t="s">
        <v>230</v>
      </c>
      <c r="G65" t="s">
        <v>315</v>
      </c>
      <c r="H65" s="8" t="s">
        <v>2</v>
      </c>
      <c r="I65" s="8">
        <v>68</v>
      </c>
      <c r="J65" s="8">
        <v>1383</v>
      </c>
    </row>
    <row r="66" spans="2:22">
      <c r="B66">
        <v>2014</v>
      </c>
      <c r="C66" t="s">
        <v>634</v>
      </c>
      <c r="D66">
        <v>5</v>
      </c>
      <c r="E66" t="s">
        <v>316</v>
      </c>
      <c r="F66" t="s">
        <v>230</v>
      </c>
      <c r="G66" t="s">
        <v>231</v>
      </c>
      <c r="H66" s="8" t="s">
        <v>0</v>
      </c>
      <c r="I66" s="8">
        <v>109</v>
      </c>
      <c r="J66" s="8">
        <v>5060793</v>
      </c>
    </row>
    <row r="67" spans="2:22">
      <c r="B67">
        <v>2014</v>
      </c>
      <c r="C67" t="s">
        <v>634</v>
      </c>
      <c r="D67">
        <v>6</v>
      </c>
      <c r="E67" t="s">
        <v>317</v>
      </c>
      <c r="F67" t="s">
        <v>230</v>
      </c>
      <c r="G67" t="s">
        <v>318</v>
      </c>
      <c r="H67" s="8" t="s">
        <v>0</v>
      </c>
      <c r="I67" s="8">
        <v>65</v>
      </c>
      <c r="J67" s="8">
        <v>164361</v>
      </c>
    </row>
    <row r="68" spans="2:22">
      <c r="B68">
        <v>2014</v>
      </c>
      <c r="C68" t="s">
        <v>634</v>
      </c>
      <c r="D68">
        <v>7</v>
      </c>
      <c r="E68" t="s">
        <v>319</v>
      </c>
      <c r="F68" t="s">
        <v>230</v>
      </c>
      <c r="G68" t="s">
        <v>320</v>
      </c>
      <c r="H68" s="8" t="s">
        <v>15</v>
      </c>
      <c r="I68" s="8">
        <v>65</v>
      </c>
      <c r="J68" s="8">
        <v>5710744</v>
      </c>
    </row>
    <row r="69" spans="2:22">
      <c r="B69">
        <v>2014</v>
      </c>
      <c r="C69" t="s">
        <v>634</v>
      </c>
      <c r="D69">
        <v>8</v>
      </c>
      <c r="E69" t="s">
        <v>321</v>
      </c>
      <c r="F69" t="s">
        <v>230</v>
      </c>
      <c r="G69" t="s">
        <v>261</v>
      </c>
      <c r="H69" s="8" t="s">
        <v>22</v>
      </c>
      <c r="I69" s="8">
        <v>124</v>
      </c>
      <c r="J69" s="8">
        <v>5627758</v>
      </c>
    </row>
    <row r="70" spans="2:22">
      <c r="B70">
        <v>2014</v>
      </c>
      <c r="C70" t="s">
        <v>634</v>
      </c>
      <c r="D70">
        <v>9</v>
      </c>
      <c r="E70" t="s">
        <v>322</v>
      </c>
      <c r="F70" t="s">
        <v>230</v>
      </c>
      <c r="G70" t="s">
        <v>323</v>
      </c>
      <c r="H70" s="8" t="s">
        <v>4</v>
      </c>
      <c r="I70" s="8">
        <v>113</v>
      </c>
      <c r="J70" s="8">
        <v>4556538</v>
      </c>
    </row>
    <row r="71" spans="2:22">
      <c r="B71">
        <v>2014</v>
      </c>
      <c r="C71" t="s">
        <v>634</v>
      </c>
      <c r="D71">
        <v>10</v>
      </c>
      <c r="E71" t="s">
        <v>324</v>
      </c>
      <c r="F71" t="s">
        <v>230</v>
      </c>
      <c r="G71" t="s">
        <v>231</v>
      </c>
      <c r="H71" s="8" t="s">
        <v>4</v>
      </c>
      <c r="I71" s="8">
        <v>68</v>
      </c>
      <c r="J71" s="8">
        <v>5409079</v>
      </c>
    </row>
    <row r="72" spans="2:22">
      <c r="B72">
        <v>2014</v>
      </c>
      <c r="C72" t="s">
        <v>635</v>
      </c>
      <c r="D72">
        <v>1</v>
      </c>
      <c r="E72" t="s">
        <v>325</v>
      </c>
      <c r="F72" t="s">
        <v>230</v>
      </c>
      <c r="G72" t="s">
        <v>231</v>
      </c>
      <c r="H72" s="8" t="s">
        <v>4</v>
      </c>
      <c r="I72" s="8">
        <v>74</v>
      </c>
      <c r="J72" s="8">
        <v>4705248</v>
      </c>
      <c r="M72" t="s">
        <v>164</v>
      </c>
      <c r="N72" t="s">
        <v>51</v>
      </c>
      <c r="O72" s="2" t="s">
        <v>15</v>
      </c>
      <c r="P72" s="2" t="s">
        <v>15</v>
      </c>
      <c r="Q72" s="3">
        <v>77</v>
      </c>
      <c r="R72" s="4" t="s">
        <v>52</v>
      </c>
      <c r="S72" s="5">
        <v>4705248</v>
      </c>
      <c r="T72" s="3">
        <v>2005</v>
      </c>
      <c r="U72" s="3" t="s">
        <v>53</v>
      </c>
      <c r="V72" s="1" t="str">
        <f>IF(J72=S72,"Yes","")</f>
        <v>Yes</v>
      </c>
    </row>
    <row r="73" spans="2:22">
      <c r="B73">
        <v>2014</v>
      </c>
      <c r="C73" t="s">
        <v>635</v>
      </c>
      <c r="D73">
        <v>2</v>
      </c>
      <c r="E73" t="s">
        <v>326</v>
      </c>
      <c r="F73" t="s">
        <v>230</v>
      </c>
      <c r="G73" t="s">
        <v>159</v>
      </c>
      <c r="H73" s="8" t="s">
        <v>4</v>
      </c>
      <c r="I73" s="8">
        <v>90</v>
      </c>
      <c r="J73" s="8">
        <v>4403076</v>
      </c>
    </row>
    <row r="74" spans="2:22">
      <c r="B74">
        <v>2014</v>
      </c>
      <c r="C74" t="s">
        <v>635</v>
      </c>
      <c r="D74">
        <v>3</v>
      </c>
      <c r="E74" t="s">
        <v>327</v>
      </c>
      <c r="F74" t="s">
        <v>230</v>
      </c>
      <c r="G74" t="s">
        <v>231</v>
      </c>
      <c r="H74" s="8" t="s">
        <v>4</v>
      </c>
      <c r="I74" s="8">
        <v>70</v>
      </c>
      <c r="J74" s="8">
        <v>1866132</v>
      </c>
    </row>
    <row r="75" spans="2:22">
      <c r="B75">
        <v>2014</v>
      </c>
      <c r="C75" t="s">
        <v>635</v>
      </c>
      <c r="D75">
        <v>4</v>
      </c>
      <c r="E75" t="s">
        <v>328</v>
      </c>
      <c r="F75" t="s">
        <v>230</v>
      </c>
      <c r="G75" t="s">
        <v>62</v>
      </c>
      <c r="H75" s="8" t="s">
        <v>2</v>
      </c>
      <c r="I75" s="8">
        <v>77</v>
      </c>
      <c r="J75" s="8">
        <v>4329411</v>
      </c>
    </row>
    <row r="76" spans="2:22">
      <c r="B76">
        <v>2014</v>
      </c>
      <c r="C76" t="s">
        <v>635</v>
      </c>
      <c r="D76">
        <v>5</v>
      </c>
      <c r="E76" t="s">
        <v>329</v>
      </c>
      <c r="F76" t="s">
        <v>230</v>
      </c>
      <c r="G76" t="s">
        <v>301</v>
      </c>
      <c r="H76" s="8" t="s">
        <v>2</v>
      </c>
      <c r="I76" s="8">
        <v>81</v>
      </c>
      <c r="J76" s="8">
        <v>4447984</v>
      </c>
    </row>
    <row r="77" spans="2:22">
      <c r="B77">
        <v>2014</v>
      </c>
      <c r="C77" t="s">
        <v>635</v>
      </c>
      <c r="D77">
        <v>6</v>
      </c>
      <c r="E77" t="s">
        <v>330</v>
      </c>
      <c r="F77" t="s">
        <v>230</v>
      </c>
      <c r="G77" t="s">
        <v>62</v>
      </c>
      <c r="H77" s="8" t="s">
        <v>2</v>
      </c>
      <c r="I77" s="8">
        <v>80</v>
      </c>
      <c r="J77" s="8">
        <v>4674166</v>
      </c>
    </row>
    <row r="78" spans="2:22">
      <c r="B78">
        <v>2014</v>
      </c>
      <c r="C78" t="s">
        <v>635</v>
      </c>
      <c r="D78">
        <v>7</v>
      </c>
      <c r="E78" t="s">
        <v>331</v>
      </c>
      <c r="F78" t="s">
        <v>230</v>
      </c>
      <c r="G78" t="s">
        <v>159</v>
      </c>
      <c r="H78" s="8" t="s">
        <v>0</v>
      </c>
      <c r="I78" s="8">
        <v>75</v>
      </c>
      <c r="J78" s="8">
        <v>3599479</v>
      </c>
    </row>
    <row r="79" spans="2:22">
      <c r="B79">
        <v>2014</v>
      </c>
      <c r="C79" t="s">
        <v>635</v>
      </c>
      <c r="D79">
        <v>8</v>
      </c>
      <c r="E79" t="s">
        <v>205</v>
      </c>
      <c r="F79" t="s">
        <v>332</v>
      </c>
      <c r="G79" t="s">
        <v>159</v>
      </c>
      <c r="H79" s="8" t="s">
        <v>0</v>
      </c>
      <c r="I79" s="8">
        <v>63</v>
      </c>
      <c r="J79" s="8">
        <v>4768151</v>
      </c>
      <c r="M79" t="s">
        <v>164</v>
      </c>
      <c r="N79" t="s">
        <v>60</v>
      </c>
      <c r="O79" s="2" t="s">
        <v>12</v>
      </c>
      <c r="P79" s="2" t="s">
        <v>12</v>
      </c>
      <c r="Q79" s="3">
        <v>60</v>
      </c>
      <c r="R79" s="3" t="s">
        <v>52</v>
      </c>
      <c r="S79" s="5">
        <v>4768151</v>
      </c>
      <c r="T79" s="3">
        <v>2006</v>
      </c>
      <c r="U79" s="7" t="s">
        <v>61</v>
      </c>
      <c r="V79" s="1" t="str">
        <f>IF(J79=S79,"Yes","")</f>
        <v>Yes</v>
      </c>
    </row>
    <row r="80" spans="2:22">
      <c r="B80">
        <v>2014</v>
      </c>
      <c r="C80" t="s">
        <v>635</v>
      </c>
      <c r="D80">
        <v>9</v>
      </c>
      <c r="E80" t="s">
        <v>333</v>
      </c>
      <c r="F80" t="s">
        <v>230</v>
      </c>
      <c r="G80" t="s">
        <v>162</v>
      </c>
      <c r="H80" s="8" t="s">
        <v>15</v>
      </c>
      <c r="I80" s="8">
        <v>120</v>
      </c>
      <c r="J80" s="8">
        <v>5553530</v>
      </c>
    </row>
    <row r="81" spans="2:22">
      <c r="B81">
        <v>2014</v>
      </c>
      <c r="C81" t="s">
        <v>635</v>
      </c>
      <c r="D81">
        <v>10</v>
      </c>
      <c r="E81" t="s">
        <v>334</v>
      </c>
      <c r="F81" t="s">
        <v>230</v>
      </c>
      <c r="G81" t="s">
        <v>261</v>
      </c>
      <c r="H81" s="8" t="s">
        <v>9</v>
      </c>
      <c r="I81" s="8">
        <v>58</v>
      </c>
      <c r="J81" s="8">
        <v>4325556</v>
      </c>
    </row>
    <row r="82" spans="2:22">
      <c r="B82">
        <v>2014</v>
      </c>
      <c r="C82" t="s">
        <v>636</v>
      </c>
      <c r="D82">
        <v>1</v>
      </c>
      <c r="E82" t="s">
        <v>335</v>
      </c>
      <c r="F82" t="s">
        <v>230</v>
      </c>
      <c r="G82" t="s">
        <v>336</v>
      </c>
      <c r="H82" s="8" t="s">
        <v>4</v>
      </c>
      <c r="I82" s="8">
        <v>110</v>
      </c>
      <c r="J82" s="8">
        <v>5295221</v>
      </c>
    </row>
    <row r="83" spans="2:22">
      <c r="B83">
        <v>2014</v>
      </c>
      <c r="C83" t="s">
        <v>636</v>
      </c>
      <c r="D83">
        <v>2</v>
      </c>
      <c r="E83" t="s">
        <v>337</v>
      </c>
      <c r="F83" t="s">
        <v>328</v>
      </c>
      <c r="G83" t="s">
        <v>261</v>
      </c>
      <c r="H83" s="8" t="s">
        <v>4</v>
      </c>
      <c r="I83" s="8">
        <v>58</v>
      </c>
      <c r="J83" s="8">
        <v>7029516</v>
      </c>
    </row>
    <row r="84" spans="2:22">
      <c r="B84">
        <v>2014</v>
      </c>
      <c r="C84" t="s">
        <v>636</v>
      </c>
      <c r="D84">
        <v>3</v>
      </c>
      <c r="E84" t="s">
        <v>338</v>
      </c>
      <c r="F84" t="s">
        <v>230</v>
      </c>
      <c r="G84" t="s">
        <v>62</v>
      </c>
      <c r="H84" s="8" t="s">
        <v>0</v>
      </c>
      <c r="I84" s="8">
        <v>67</v>
      </c>
      <c r="J84" s="8">
        <v>2296522</v>
      </c>
      <c r="M84" t="s">
        <v>164</v>
      </c>
      <c r="N84" t="s">
        <v>62</v>
      </c>
      <c r="O84" s="2" t="s">
        <v>20</v>
      </c>
      <c r="P84" s="2" t="s">
        <v>20</v>
      </c>
      <c r="Q84" s="3">
        <v>70</v>
      </c>
      <c r="R84" s="3" t="s">
        <v>52</v>
      </c>
      <c r="S84" s="5">
        <v>2296522</v>
      </c>
      <c r="T84" s="3">
        <v>1999</v>
      </c>
      <c r="U84" s="7" t="s">
        <v>63</v>
      </c>
      <c r="V84" s="1" t="str">
        <f>IF(J84=S84,"Yes","")</f>
        <v>Yes</v>
      </c>
    </row>
    <row r="85" spans="2:22">
      <c r="B85">
        <v>2014</v>
      </c>
      <c r="C85" t="s">
        <v>636</v>
      </c>
      <c r="D85">
        <v>4</v>
      </c>
      <c r="E85" t="s">
        <v>339</v>
      </c>
      <c r="F85" t="s">
        <v>230</v>
      </c>
      <c r="G85" t="s">
        <v>231</v>
      </c>
      <c r="H85" s="8" t="s">
        <v>2</v>
      </c>
      <c r="I85" s="8">
        <v>71</v>
      </c>
      <c r="J85" s="8">
        <v>4705176</v>
      </c>
      <c r="M85" t="s">
        <v>164</v>
      </c>
      <c r="N85" t="s">
        <v>51</v>
      </c>
      <c r="O85" s="2" t="s">
        <v>2</v>
      </c>
      <c r="P85" s="2" t="s">
        <v>2</v>
      </c>
      <c r="Q85" s="3">
        <v>76</v>
      </c>
      <c r="R85" s="4" t="s">
        <v>52</v>
      </c>
      <c r="S85" s="5">
        <v>4705176</v>
      </c>
      <c r="T85" s="3">
        <v>2005</v>
      </c>
      <c r="U85" s="3" t="s">
        <v>53</v>
      </c>
      <c r="V85" s="1" t="str">
        <f>IF(J85=S85,"Yes","")</f>
        <v>Yes</v>
      </c>
    </row>
    <row r="86" spans="2:22">
      <c r="B86">
        <v>2014</v>
      </c>
      <c r="C86" t="s">
        <v>636</v>
      </c>
      <c r="D86">
        <v>5</v>
      </c>
      <c r="E86" t="s">
        <v>340</v>
      </c>
      <c r="F86" t="s">
        <v>230</v>
      </c>
      <c r="G86" t="s">
        <v>231</v>
      </c>
      <c r="H86" s="8" t="s">
        <v>2</v>
      </c>
      <c r="I86" s="8">
        <v>68</v>
      </c>
      <c r="J86" s="8">
        <v>5060810</v>
      </c>
      <c r="M86" t="s">
        <v>164</v>
      </c>
      <c r="N86" t="s">
        <v>64</v>
      </c>
      <c r="O86" s="2" t="s">
        <v>2</v>
      </c>
      <c r="P86" s="2" t="s">
        <v>2</v>
      </c>
      <c r="Q86" s="3">
        <v>75</v>
      </c>
      <c r="R86" s="4" t="s">
        <v>65</v>
      </c>
      <c r="S86" s="5">
        <v>5060810</v>
      </c>
      <c r="T86" s="3">
        <v>2007</v>
      </c>
      <c r="U86" s="3" t="s">
        <v>53</v>
      </c>
      <c r="V86" s="1" t="str">
        <f>IF(J86=S86,"Yes","")</f>
        <v>Yes</v>
      </c>
    </row>
    <row r="87" spans="2:22">
      <c r="B87">
        <v>2014</v>
      </c>
      <c r="C87" t="s">
        <v>636</v>
      </c>
      <c r="D87">
        <v>6</v>
      </c>
      <c r="E87" t="s">
        <v>341</v>
      </c>
      <c r="F87" t="s">
        <v>230</v>
      </c>
      <c r="G87" t="s">
        <v>261</v>
      </c>
      <c r="H87" s="8" t="s">
        <v>2</v>
      </c>
      <c r="I87" s="8">
        <v>78</v>
      </c>
      <c r="J87" s="8">
        <v>6590839</v>
      </c>
    </row>
    <row r="88" spans="2:22">
      <c r="B88">
        <v>2014</v>
      </c>
      <c r="C88" t="s">
        <v>636</v>
      </c>
      <c r="D88">
        <v>7</v>
      </c>
      <c r="E88" t="s">
        <v>342</v>
      </c>
      <c r="F88" t="s">
        <v>230</v>
      </c>
      <c r="G88" t="s">
        <v>162</v>
      </c>
      <c r="H88" s="8" t="s">
        <v>7</v>
      </c>
      <c r="I88" s="8">
        <v>83</v>
      </c>
      <c r="J88" s="8">
        <v>5242683</v>
      </c>
    </row>
    <row r="89" spans="2:22">
      <c r="B89">
        <v>2014</v>
      </c>
      <c r="C89" t="s">
        <v>636</v>
      </c>
      <c r="D89">
        <v>8</v>
      </c>
      <c r="E89" t="s">
        <v>343</v>
      </c>
      <c r="F89" t="s">
        <v>230</v>
      </c>
      <c r="G89" t="s">
        <v>344</v>
      </c>
      <c r="H89" s="8" t="s">
        <v>0</v>
      </c>
      <c r="I89" s="8">
        <v>71</v>
      </c>
      <c r="J89" s="8">
        <v>17827</v>
      </c>
    </row>
    <row r="90" spans="2:22">
      <c r="B90">
        <v>2014</v>
      </c>
      <c r="C90" t="s">
        <v>636</v>
      </c>
      <c r="D90">
        <v>9</v>
      </c>
      <c r="E90" t="s">
        <v>345</v>
      </c>
      <c r="F90" t="s">
        <v>230</v>
      </c>
      <c r="G90" t="s">
        <v>346</v>
      </c>
      <c r="H90" s="8" t="s">
        <v>15</v>
      </c>
      <c r="I90" s="8">
        <v>73</v>
      </c>
      <c r="J90" s="8">
        <v>5720105</v>
      </c>
    </row>
    <row r="91" spans="2:22">
      <c r="B91">
        <v>2014</v>
      </c>
      <c r="C91" t="s">
        <v>636</v>
      </c>
      <c r="D91">
        <v>10</v>
      </c>
      <c r="E91" t="s">
        <v>347</v>
      </c>
      <c r="F91" t="s">
        <v>230</v>
      </c>
      <c r="G91" t="s">
        <v>137</v>
      </c>
      <c r="H91" s="8" t="s">
        <v>18</v>
      </c>
      <c r="I91" s="8">
        <v>74</v>
      </c>
      <c r="J91" s="8">
        <v>4611679</v>
      </c>
    </row>
    <row r="92" spans="2:22">
      <c r="B92">
        <v>2014</v>
      </c>
      <c r="C92" t="s">
        <v>33</v>
      </c>
      <c r="D92">
        <v>1</v>
      </c>
      <c r="E92" t="s">
        <v>348</v>
      </c>
      <c r="F92" t="s">
        <v>230</v>
      </c>
      <c r="G92" t="s">
        <v>231</v>
      </c>
      <c r="H92" s="8" t="s">
        <v>15</v>
      </c>
      <c r="I92" s="8">
        <v>77</v>
      </c>
      <c r="J92" s="8">
        <v>5894275</v>
      </c>
    </row>
    <row r="93" spans="2:22">
      <c r="B93">
        <v>2014</v>
      </c>
      <c r="C93" t="s">
        <v>33</v>
      </c>
      <c r="D93">
        <v>2</v>
      </c>
      <c r="E93" t="s">
        <v>349</v>
      </c>
      <c r="F93" t="s">
        <v>230</v>
      </c>
      <c r="G93" t="s">
        <v>350</v>
      </c>
      <c r="H93" s="8" t="s">
        <v>18</v>
      </c>
      <c r="I93" s="8">
        <v>118</v>
      </c>
      <c r="J93" s="8">
        <v>5337172</v>
      </c>
      <c r="M93" t="s">
        <v>164</v>
      </c>
      <c r="N93" t="s">
        <v>66</v>
      </c>
      <c r="O93" s="2" t="s">
        <v>15</v>
      </c>
      <c r="P93" s="2" t="s">
        <v>18</v>
      </c>
      <c r="Q93" s="3">
        <v>116</v>
      </c>
      <c r="R93" s="4" t="s">
        <v>52</v>
      </c>
      <c r="S93" s="5">
        <v>5337172</v>
      </c>
      <c r="T93" s="3">
        <v>2008</v>
      </c>
      <c r="U93" s="7" t="s">
        <v>63</v>
      </c>
      <c r="V93" s="1" t="str">
        <f>IF(J93=S93,"Yes","")</f>
        <v>Yes</v>
      </c>
    </row>
    <row r="94" spans="2:22">
      <c r="B94">
        <v>2014</v>
      </c>
      <c r="C94" t="s">
        <v>33</v>
      </c>
      <c r="D94">
        <v>3</v>
      </c>
      <c r="E94" t="s">
        <v>351</v>
      </c>
      <c r="F94" t="s">
        <v>230</v>
      </c>
      <c r="G94" t="s">
        <v>62</v>
      </c>
      <c r="H94" s="8" t="s">
        <v>18</v>
      </c>
      <c r="I94" s="8">
        <v>78</v>
      </c>
      <c r="J94" s="8">
        <v>7000686</v>
      </c>
    </row>
    <row r="95" spans="2:22">
      <c r="B95">
        <v>2014</v>
      </c>
      <c r="C95" t="s">
        <v>33</v>
      </c>
      <c r="D95">
        <v>4</v>
      </c>
      <c r="E95" t="s">
        <v>352</v>
      </c>
      <c r="F95" t="s">
        <v>230</v>
      </c>
      <c r="G95" t="s">
        <v>261</v>
      </c>
      <c r="H95" s="8" t="s">
        <v>18</v>
      </c>
      <c r="I95" s="8">
        <v>66</v>
      </c>
      <c r="J95" s="8">
        <v>7029242</v>
      </c>
    </row>
    <row r="96" spans="2:22">
      <c r="B96">
        <v>2014</v>
      </c>
      <c r="C96" t="s">
        <v>33</v>
      </c>
      <c r="D96">
        <v>5</v>
      </c>
      <c r="E96" t="s">
        <v>353</v>
      </c>
      <c r="F96" t="s">
        <v>230</v>
      </c>
      <c r="G96" t="s">
        <v>354</v>
      </c>
      <c r="H96" s="8" t="s">
        <v>2</v>
      </c>
      <c r="I96" s="8">
        <v>70</v>
      </c>
      <c r="J96" s="8">
        <v>4219071</v>
      </c>
      <c r="M96" t="s">
        <v>164</v>
      </c>
      <c r="N96" t="s">
        <v>67</v>
      </c>
      <c r="O96" s="2" t="s">
        <v>15</v>
      </c>
      <c r="P96" s="2" t="s">
        <v>18</v>
      </c>
      <c r="Q96" s="3">
        <v>68</v>
      </c>
      <c r="R96" s="4" t="s">
        <v>52</v>
      </c>
      <c r="S96" s="5">
        <v>4219071</v>
      </c>
      <c r="T96" s="3">
        <v>2004</v>
      </c>
      <c r="U96" s="7" t="s">
        <v>68</v>
      </c>
      <c r="V96" s="1" t="str">
        <f>IF(J96=S96,"Yes","")</f>
        <v>Yes</v>
      </c>
    </row>
    <row r="97" spans="2:22">
      <c r="B97">
        <v>2014</v>
      </c>
      <c r="C97" t="s">
        <v>33</v>
      </c>
      <c r="D97">
        <v>6</v>
      </c>
      <c r="E97" t="s">
        <v>355</v>
      </c>
      <c r="F97" t="s">
        <v>230</v>
      </c>
      <c r="G97" t="s">
        <v>159</v>
      </c>
      <c r="H97" s="8" t="s">
        <v>4</v>
      </c>
      <c r="I97" s="8">
        <v>86</v>
      </c>
      <c r="J97" s="8">
        <v>5183443</v>
      </c>
      <c r="M97" t="s">
        <v>164</v>
      </c>
      <c r="N97" t="s">
        <v>69</v>
      </c>
      <c r="O97" s="2" t="s">
        <v>4</v>
      </c>
      <c r="P97" s="2" t="s">
        <v>4</v>
      </c>
      <c r="Q97" s="3">
        <v>86</v>
      </c>
      <c r="R97" s="4" t="s">
        <v>52</v>
      </c>
      <c r="S97" s="5">
        <v>5183443</v>
      </c>
      <c r="T97" s="3">
        <v>2008</v>
      </c>
      <c r="U97" s="7" t="s">
        <v>61</v>
      </c>
      <c r="V97" s="1" t="str">
        <f>IF(J97=S97,"Yes","")</f>
        <v>Yes</v>
      </c>
    </row>
    <row r="98" spans="2:22">
      <c r="B98">
        <v>2014</v>
      </c>
      <c r="C98" t="s">
        <v>33</v>
      </c>
      <c r="D98">
        <v>7</v>
      </c>
      <c r="E98" t="s">
        <v>356</v>
      </c>
      <c r="F98" t="s">
        <v>230</v>
      </c>
      <c r="G98" t="s">
        <v>159</v>
      </c>
      <c r="H98" s="8" t="s">
        <v>4</v>
      </c>
      <c r="I98" s="8">
        <v>77</v>
      </c>
      <c r="J98" s="8">
        <v>5183450</v>
      </c>
      <c r="M98" t="s">
        <v>164</v>
      </c>
      <c r="N98" t="s">
        <v>70</v>
      </c>
      <c r="O98" s="2" t="s">
        <v>4</v>
      </c>
      <c r="P98" s="2" t="s">
        <v>4</v>
      </c>
      <c r="Q98" s="3">
        <v>82</v>
      </c>
      <c r="R98" s="3" t="s">
        <v>52</v>
      </c>
      <c r="S98" s="5">
        <v>5183450</v>
      </c>
      <c r="T98" s="3">
        <v>2008</v>
      </c>
      <c r="U98" s="3" t="s">
        <v>61</v>
      </c>
      <c r="V98" s="1" t="str">
        <f>IF(J98=S98,"Yes","")</f>
        <v>Yes</v>
      </c>
    </row>
    <row r="99" spans="2:22">
      <c r="B99">
        <v>2014</v>
      </c>
      <c r="C99" t="s">
        <v>33</v>
      </c>
      <c r="D99">
        <v>8</v>
      </c>
      <c r="E99" t="s">
        <v>357</v>
      </c>
      <c r="F99" t="s">
        <v>230</v>
      </c>
      <c r="G99" t="s">
        <v>358</v>
      </c>
      <c r="H99" s="8" t="s">
        <v>0</v>
      </c>
      <c r="I99" s="8">
        <v>84</v>
      </c>
      <c r="J99" s="8">
        <v>3118757</v>
      </c>
      <c r="M99" t="s">
        <v>164</v>
      </c>
      <c r="N99" t="s">
        <v>71</v>
      </c>
      <c r="O99" s="2" t="s">
        <v>0</v>
      </c>
      <c r="P99" s="2" t="s">
        <v>72</v>
      </c>
      <c r="Q99" s="3">
        <v>82</v>
      </c>
      <c r="R99" s="4" t="s">
        <v>52</v>
      </c>
      <c r="S99" s="5">
        <v>3118757</v>
      </c>
      <c r="T99" s="3">
        <v>2000</v>
      </c>
      <c r="U99" s="7" t="s">
        <v>73</v>
      </c>
      <c r="V99" s="1" t="str">
        <f>IF(J99=S99,"Yes","")</f>
        <v>Yes</v>
      </c>
    </row>
    <row r="100" spans="2:22">
      <c r="B100">
        <v>2014</v>
      </c>
      <c r="C100" t="s">
        <v>33</v>
      </c>
      <c r="D100">
        <v>9</v>
      </c>
      <c r="E100" t="s">
        <v>359</v>
      </c>
      <c r="F100" t="s">
        <v>360</v>
      </c>
      <c r="G100" t="s">
        <v>231</v>
      </c>
      <c r="H100" s="8" t="s">
        <v>20</v>
      </c>
      <c r="I100" s="8">
        <v>70</v>
      </c>
      <c r="J100" s="8">
        <v>2456623</v>
      </c>
      <c r="M100" t="s">
        <v>164</v>
      </c>
      <c r="N100" t="s">
        <v>74</v>
      </c>
      <c r="O100" s="2" t="s">
        <v>7</v>
      </c>
      <c r="P100" s="2" t="s">
        <v>7</v>
      </c>
      <c r="Q100" s="3">
        <v>70</v>
      </c>
      <c r="R100" s="4" t="s">
        <v>52</v>
      </c>
      <c r="S100" s="5">
        <v>2456623</v>
      </c>
      <c r="T100" s="3">
        <v>1996</v>
      </c>
      <c r="U100" s="7" t="s">
        <v>75</v>
      </c>
      <c r="V100" s="1" t="str">
        <f>IF(J100=S100,"Yes","")</f>
        <v>Yes</v>
      </c>
    </row>
    <row r="101" spans="2:22">
      <c r="B101">
        <v>2014</v>
      </c>
      <c r="C101" t="s">
        <v>33</v>
      </c>
      <c r="D101">
        <v>10</v>
      </c>
      <c r="E101" t="s">
        <v>361</v>
      </c>
      <c r="F101" t="s">
        <v>230</v>
      </c>
      <c r="G101" t="s">
        <v>76</v>
      </c>
      <c r="H101" s="8" t="s">
        <v>12</v>
      </c>
      <c r="I101" s="8">
        <v>65</v>
      </c>
      <c r="J101" s="8">
        <v>1558110</v>
      </c>
      <c r="M101" t="s">
        <v>164</v>
      </c>
      <c r="N101" t="s">
        <v>76</v>
      </c>
      <c r="O101" s="2" t="s">
        <v>20</v>
      </c>
      <c r="P101" s="2" t="s">
        <v>20</v>
      </c>
      <c r="Q101" s="3">
        <v>54</v>
      </c>
      <c r="R101" s="3" t="s">
        <v>52</v>
      </c>
      <c r="S101" s="5">
        <v>1558110</v>
      </c>
      <c r="T101" s="3">
        <v>1995</v>
      </c>
      <c r="U101" s="7" t="s">
        <v>63</v>
      </c>
      <c r="V101" s="1" t="str">
        <f>IF(J101=S101,"Yes","")</f>
        <v>Yes</v>
      </c>
    </row>
    <row r="102" spans="2:22" s="1" customFormat="1">
      <c r="B102">
        <v>2015</v>
      </c>
      <c r="C102" t="s">
        <v>638</v>
      </c>
      <c r="D102">
        <v>1</v>
      </c>
      <c r="E102" t="s">
        <v>583</v>
      </c>
      <c r="F102" t="s">
        <v>584</v>
      </c>
      <c r="G102" t="s">
        <v>261</v>
      </c>
      <c r="H102" t="s">
        <v>7</v>
      </c>
      <c r="I102">
        <v>69</v>
      </c>
      <c r="J102" s="3">
        <v>7053138</v>
      </c>
      <c r="K102" s="23"/>
      <c r="L102" s="27"/>
      <c r="M102"/>
      <c r="N102"/>
      <c r="O102"/>
      <c r="P102"/>
      <c r="Q102"/>
      <c r="R102"/>
      <c r="S102"/>
      <c r="T102"/>
      <c r="U102"/>
      <c r="V102"/>
    </row>
    <row r="103" spans="2:22" s="1" customFormat="1">
      <c r="B103">
        <v>2015</v>
      </c>
      <c r="C103" t="s">
        <v>638</v>
      </c>
      <c r="D103">
        <v>2</v>
      </c>
      <c r="E103" t="s">
        <v>585</v>
      </c>
      <c r="F103" t="s">
        <v>586</v>
      </c>
      <c r="G103" t="s">
        <v>261</v>
      </c>
      <c r="H103" t="s">
        <v>7</v>
      </c>
      <c r="I103">
        <v>106</v>
      </c>
      <c r="J103" s="3">
        <v>7054933</v>
      </c>
      <c r="K103" s="23"/>
      <c r="L103" s="27"/>
      <c r="M103"/>
      <c r="N103"/>
      <c r="O103"/>
      <c r="P103"/>
      <c r="Q103"/>
      <c r="R103"/>
      <c r="S103"/>
      <c r="T103"/>
      <c r="U103"/>
      <c r="V103"/>
    </row>
    <row r="104" spans="2:22" s="1" customFormat="1">
      <c r="B104">
        <v>2015</v>
      </c>
      <c r="C104" t="s">
        <v>638</v>
      </c>
      <c r="D104">
        <v>3</v>
      </c>
      <c r="E104" t="s">
        <v>587</v>
      </c>
      <c r="F104" t="s">
        <v>588</v>
      </c>
      <c r="G104" t="s">
        <v>261</v>
      </c>
      <c r="H104" t="s">
        <v>20</v>
      </c>
      <c r="I104">
        <v>57</v>
      </c>
      <c r="J104" s="3">
        <v>7054932</v>
      </c>
      <c r="K104" s="23"/>
      <c r="L104" s="27"/>
      <c r="M104"/>
      <c r="N104"/>
      <c r="O104"/>
      <c r="P104"/>
      <c r="Q104"/>
      <c r="R104"/>
      <c r="S104"/>
      <c r="T104"/>
      <c r="U104"/>
      <c r="V104"/>
    </row>
    <row r="105" spans="2:22" s="1" customFormat="1">
      <c r="B105">
        <v>2015</v>
      </c>
      <c r="C105" t="s">
        <v>638</v>
      </c>
      <c r="D105">
        <v>4</v>
      </c>
      <c r="E105" t="s">
        <v>589</v>
      </c>
      <c r="F105" t="s">
        <v>590</v>
      </c>
      <c r="G105" t="s">
        <v>261</v>
      </c>
      <c r="H105" t="s">
        <v>20</v>
      </c>
      <c r="I105">
        <v>97</v>
      </c>
      <c r="J105" s="3">
        <v>7054928</v>
      </c>
      <c r="K105" s="23"/>
      <c r="L105" s="27"/>
      <c r="M105"/>
      <c r="N105"/>
      <c r="O105"/>
      <c r="P105"/>
      <c r="Q105"/>
      <c r="R105"/>
      <c r="S105"/>
      <c r="T105"/>
      <c r="U105"/>
      <c r="V105"/>
    </row>
    <row r="106" spans="2:22" s="1" customFormat="1">
      <c r="B106">
        <v>2015</v>
      </c>
      <c r="C106" t="s">
        <v>638</v>
      </c>
      <c r="D106">
        <v>5</v>
      </c>
      <c r="E106" t="s">
        <v>591</v>
      </c>
      <c r="F106" t="s">
        <v>592</v>
      </c>
      <c r="G106" t="s">
        <v>261</v>
      </c>
      <c r="H106" t="s">
        <v>20</v>
      </c>
      <c r="I106">
        <v>107</v>
      </c>
      <c r="J106" s="3">
        <v>7054936</v>
      </c>
      <c r="K106" s="23"/>
      <c r="L106" s="27"/>
      <c r="M106"/>
      <c r="N106"/>
      <c r="O106"/>
      <c r="P106"/>
      <c r="Q106"/>
      <c r="R106"/>
      <c r="S106"/>
      <c r="T106"/>
      <c r="U106"/>
      <c r="V106"/>
    </row>
    <row r="107" spans="2:22" s="1" customFormat="1">
      <c r="B107">
        <v>2015</v>
      </c>
      <c r="C107" t="s">
        <v>638</v>
      </c>
      <c r="D107">
        <v>6</v>
      </c>
      <c r="E107" t="s">
        <v>593</v>
      </c>
      <c r="F107" t="s">
        <v>594</v>
      </c>
      <c r="G107" t="s">
        <v>261</v>
      </c>
      <c r="H107" t="s">
        <v>20</v>
      </c>
      <c r="I107">
        <v>123</v>
      </c>
      <c r="J107" s="3">
        <v>7054935</v>
      </c>
      <c r="K107" s="23"/>
      <c r="L107" s="27"/>
      <c r="M107"/>
      <c r="N107"/>
      <c r="O107"/>
      <c r="P107"/>
      <c r="Q107"/>
      <c r="R107"/>
      <c r="S107"/>
      <c r="T107"/>
      <c r="U107"/>
      <c r="V107"/>
    </row>
    <row r="108" spans="2:22" s="1" customFormat="1">
      <c r="B108">
        <v>2015</v>
      </c>
      <c r="C108" t="s">
        <v>638</v>
      </c>
      <c r="D108">
        <v>7</v>
      </c>
      <c r="E108" t="s">
        <v>595</v>
      </c>
      <c r="F108" t="s">
        <v>596</v>
      </c>
      <c r="G108" t="s">
        <v>261</v>
      </c>
      <c r="H108" t="s">
        <v>15</v>
      </c>
      <c r="I108">
        <v>62</v>
      </c>
      <c r="J108" s="3" t="s">
        <v>48</v>
      </c>
      <c r="K108" s="23"/>
      <c r="L108" s="27"/>
      <c r="M108"/>
      <c r="N108"/>
      <c r="O108"/>
      <c r="P108"/>
      <c r="Q108"/>
      <c r="R108"/>
      <c r="S108"/>
      <c r="T108"/>
      <c r="U108"/>
      <c r="V108"/>
    </row>
    <row r="109" spans="2:22" s="1" customFormat="1">
      <c r="B109">
        <v>2015</v>
      </c>
      <c r="C109" t="s">
        <v>638</v>
      </c>
      <c r="D109">
        <v>8</v>
      </c>
      <c r="E109" t="s">
        <v>597</v>
      </c>
      <c r="F109" t="s">
        <v>598</v>
      </c>
      <c r="G109" t="s">
        <v>261</v>
      </c>
      <c r="H109" t="s">
        <v>4</v>
      </c>
      <c r="I109">
        <v>73</v>
      </c>
      <c r="J109" s="3">
        <v>7054927</v>
      </c>
      <c r="K109" s="23"/>
      <c r="L109" s="27"/>
      <c r="M109"/>
      <c r="N109"/>
      <c r="O109"/>
      <c r="P109"/>
      <c r="Q109"/>
      <c r="R109"/>
      <c r="S109"/>
      <c r="T109"/>
      <c r="U109"/>
      <c r="V109"/>
    </row>
    <row r="110" spans="2:22" s="1" customFormat="1">
      <c r="B110">
        <v>2015</v>
      </c>
      <c r="C110" t="s">
        <v>638</v>
      </c>
      <c r="D110">
        <v>9</v>
      </c>
      <c r="E110" t="s">
        <v>599</v>
      </c>
      <c r="F110" t="s">
        <v>600</v>
      </c>
      <c r="G110" t="s">
        <v>261</v>
      </c>
      <c r="H110" t="s">
        <v>4</v>
      </c>
      <c r="I110">
        <v>123</v>
      </c>
      <c r="J110" s="3">
        <v>7054929</v>
      </c>
      <c r="K110" s="23"/>
      <c r="L110" s="27"/>
      <c r="M110"/>
      <c r="N110"/>
      <c r="O110"/>
      <c r="P110"/>
      <c r="Q110"/>
      <c r="R110"/>
      <c r="S110"/>
      <c r="T110"/>
      <c r="U110"/>
      <c r="V110"/>
    </row>
    <row r="111" spans="2:22" s="1" customFormat="1">
      <c r="B111">
        <v>2015</v>
      </c>
      <c r="C111" t="s">
        <v>638</v>
      </c>
      <c r="D111">
        <v>10</v>
      </c>
      <c r="E111" t="s">
        <v>601</v>
      </c>
      <c r="F111" t="s">
        <v>230</v>
      </c>
      <c r="G111" t="s">
        <v>261</v>
      </c>
      <c r="H111" t="s">
        <v>4</v>
      </c>
      <c r="I111">
        <v>60</v>
      </c>
      <c r="J111" s="3">
        <v>7057211</v>
      </c>
      <c r="K111" s="23"/>
      <c r="L111" s="27"/>
      <c r="M111"/>
      <c r="N111"/>
      <c r="O111"/>
      <c r="P111"/>
      <c r="Q111"/>
      <c r="R111"/>
      <c r="S111"/>
      <c r="T111"/>
      <c r="U111"/>
      <c r="V111"/>
    </row>
    <row r="112" spans="2:22">
      <c r="B112">
        <v>2015</v>
      </c>
      <c r="C112" t="s">
        <v>638</v>
      </c>
      <c r="D112">
        <v>11</v>
      </c>
      <c r="E112" t="s">
        <v>602</v>
      </c>
      <c r="F112" t="s">
        <v>603</v>
      </c>
      <c r="G112" t="s">
        <v>261</v>
      </c>
      <c r="H112" t="s">
        <v>2</v>
      </c>
      <c r="I112">
        <v>69</v>
      </c>
      <c r="J112" s="3">
        <v>7054931</v>
      </c>
    </row>
    <row r="113" spans="2:22">
      <c r="B113">
        <v>2015</v>
      </c>
      <c r="C113" t="s">
        <v>638</v>
      </c>
      <c r="D113">
        <v>12</v>
      </c>
      <c r="E113" t="s">
        <v>604</v>
      </c>
      <c r="F113" t="s">
        <v>605</v>
      </c>
      <c r="G113" t="s">
        <v>261</v>
      </c>
      <c r="H113" t="s">
        <v>2</v>
      </c>
      <c r="I113">
        <v>55</v>
      </c>
      <c r="J113" s="3">
        <v>7054930</v>
      </c>
    </row>
    <row r="114" spans="2:22">
      <c r="B114">
        <v>2015</v>
      </c>
      <c r="C114" s="8" t="s">
        <v>29</v>
      </c>
      <c r="D114" s="8">
        <v>1</v>
      </c>
      <c r="E114" t="s">
        <v>362</v>
      </c>
      <c r="F114" t="s">
        <v>230</v>
      </c>
      <c r="G114" t="s">
        <v>261</v>
      </c>
      <c r="H114" s="8" t="s">
        <v>20</v>
      </c>
      <c r="I114" s="8">
        <v>61</v>
      </c>
      <c r="J114" s="8">
        <v>7041770</v>
      </c>
      <c r="L114" s="26"/>
      <c r="M114" s="1"/>
      <c r="N114" s="1"/>
      <c r="O114" s="1"/>
      <c r="P114" s="6"/>
      <c r="Q114" s="6"/>
      <c r="R114" s="6"/>
      <c r="S114" s="6"/>
      <c r="T114" s="6"/>
      <c r="U114" s="6"/>
      <c r="V114" s="1"/>
    </row>
    <row r="115" spans="2:22">
      <c r="B115">
        <v>2015</v>
      </c>
      <c r="C115" s="8" t="s">
        <v>29</v>
      </c>
      <c r="D115" s="8">
        <v>2</v>
      </c>
      <c r="E115" t="s">
        <v>363</v>
      </c>
      <c r="F115" t="s">
        <v>230</v>
      </c>
      <c r="G115" t="s">
        <v>309</v>
      </c>
      <c r="H115" s="8" t="s">
        <v>20</v>
      </c>
      <c r="I115" s="8">
        <v>63</v>
      </c>
      <c r="J115" s="8">
        <v>7030072</v>
      </c>
      <c r="L115" s="26"/>
      <c r="M115" s="1"/>
      <c r="N115" s="1"/>
      <c r="O115" s="1"/>
      <c r="P115" s="6"/>
      <c r="Q115" s="6"/>
      <c r="R115" s="6"/>
      <c r="S115" s="6"/>
      <c r="T115" s="6"/>
      <c r="U115" s="6"/>
      <c r="V115" s="1"/>
    </row>
    <row r="116" spans="2:22">
      <c r="B116">
        <v>2015</v>
      </c>
      <c r="C116" s="8" t="s">
        <v>29</v>
      </c>
      <c r="D116" s="8">
        <v>3</v>
      </c>
      <c r="E116" t="s">
        <v>364</v>
      </c>
      <c r="F116" t="s">
        <v>230</v>
      </c>
      <c r="G116" t="s">
        <v>231</v>
      </c>
      <c r="H116" s="8" t="s">
        <v>2</v>
      </c>
      <c r="I116" s="8">
        <v>72</v>
      </c>
      <c r="J116" s="8">
        <v>7018338</v>
      </c>
      <c r="L116" s="26"/>
      <c r="M116" s="1"/>
      <c r="N116" s="1"/>
      <c r="O116" s="1"/>
      <c r="P116" s="6"/>
      <c r="Q116" s="6"/>
      <c r="R116" s="6"/>
      <c r="S116" s="6"/>
      <c r="T116" s="6"/>
      <c r="U116" s="6"/>
      <c r="V116" s="1"/>
    </row>
    <row r="117" spans="2:22">
      <c r="B117">
        <v>2015</v>
      </c>
      <c r="C117" s="8" t="s">
        <v>29</v>
      </c>
      <c r="D117" s="8">
        <v>4</v>
      </c>
      <c r="E117" t="s">
        <v>365</v>
      </c>
      <c r="F117" t="s">
        <v>230</v>
      </c>
      <c r="G117" t="s">
        <v>366</v>
      </c>
      <c r="H117" s="8" t="s">
        <v>2</v>
      </c>
      <c r="I117" s="8">
        <v>127</v>
      </c>
      <c r="J117" s="8">
        <v>6428750</v>
      </c>
      <c r="L117" s="26"/>
      <c r="M117" t="s">
        <v>164</v>
      </c>
      <c r="N117" t="s">
        <v>124</v>
      </c>
      <c r="O117" s="2" t="s">
        <v>2</v>
      </c>
      <c r="P117" s="2" t="s">
        <v>2</v>
      </c>
      <c r="Q117" s="3">
        <v>42</v>
      </c>
      <c r="R117" s="4" t="s">
        <v>78</v>
      </c>
      <c r="S117" s="5">
        <v>6428750</v>
      </c>
      <c r="T117" s="3">
        <v>2012</v>
      </c>
      <c r="U117" s="3" t="s">
        <v>53</v>
      </c>
      <c r="V117" s="1" t="str">
        <f>IF(J117=S117,"Yes","")</f>
        <v>Yes</v>
      </c>
    </row>
    <row r="118" spans="2:22">
      <c r="B118">
        <v>2015</v>
      </c>
      <c r="C118" s="8" t="s">
        <v>29</v>
      </c>
      <c r="D118" s="8">
        <v>5</v>
      </c>
      <c r="E118" t="s">
        <v>306</v>
      </c>
      <c r="F118" t="s">
        <v>367</v>
      </c>
      <c r="G118" t="s">
        <v>301</v>
      </c>
      <c r="H118" s="8" t="s">
        <v>2</v>
      </c>
      <c r="I118" s="8">
        <v>74</v>
      </c>
      <c r="J118" s="8">
        <v>7001228</v>
      </c>
      <c r="L118" s="26"/>
      <c r="M118" t="s">
        <v>164</v>
      </c>
      <c r="N118" t="s">
        <v>172</v>
      </c>
      <c r="O118" s="2" t="s">
        <v>15</v>
      </c>
      <c r="P118" s="2" t="s">
        <v>15</v>
      </c>
      <c r="Q118" s="3">
        <v>73</v>
      </c>
      <c r="R118" s="3" t="s">
        <v>52</v>
      </c>
      <c r="S118" s="5">
        <v>7001228</v>
      </c>
      <c r="T118" s="3">
        <v>2013</v>
      </c>
      <c r="U118" s="7" t="s">
        <v>173</v>
      </c>
      <c r="V118" s="1" t="str">
        <f>IF(J118=S118,"Yes","")</f>
        <v>Yes</v>
      </c>
    </row>
    <row r="119" spans="2:22">
      <c r="B119">
        <v>2015</v>
      </c>
      <c r="C119" s="8" t="s">
        <v>29</v>
      </c>
      <c r="D119" s="8">
        <v>6</v>
      </c>
      <c r="E119" t="s">
        <v>368</v>
      </c>
      <c r="F119" t="s">
        <v>230</v>
      </c>
      <c r="G119" t="s">
        <v>159</v>
      </c>
      <c r="H119" s="8" t="s">
        <v>2</v>
      </c>
      <c r="I119" s="8">
        <v>81</v>
      </c>
      <c r="J119" s="8">
        <v>7028829</v>
      </c>
      <c r="L119" s="26"/>
      <c r="M119" s="1"/>
      <c r="N119" s="1"/>
      <c r="O119" s="1"/>
      <c r="P119" s="6"/>
      <c r="Q119" s="6"/>
      <c r="R119" s="6"/>
      <c r="S119" s="6"/>
      <c r="T119" s="6"/>
      <c r="U119" s="6"/>
      <c r="V119" s="1"/>
    </row>
    <row r="120" spans="2:22">
      <c r="B120">
        <v>2015</v>
      </c>
      <c r="C120" s="8" t="s">
        <v>29</v>
      </c>
      <c r="D120" s="8">
        <v>7</v>
      </c>
      <c r="E120" t="s">
        <v>369</v>
      </c>
      <c r="F120" t="s">
        <v>230</v>
      </c>
      <c r="G120" t="s">
        <v>235</v>
      </c>
      <c r="H120" s="8" t="s">
        <v>2</v>
      </c>
      <c r="I120" s="8">
        <v>77</v>
      </c>
      <c r="J120" s="8">
        <v>7016414</v>
      </c>
      <c r="L120" s="26"/>
      <c r="M120" s="1"/>
      <c r="N120" s="1"/>
      <c r="O120" s="1"/>
      <c r="P120" s="6"/>
      <c r="Q120" s="6"/>
      <c r="R120" s="6"/>
      <c r="S120" s="6"/>
      <c r="T120" s="6"/>
      <c r="U120" s="6"/>
      <c r="V120" s="1"/>
    </row>
    <row r="121" spans="2:22">
      <c r="B121">
        <v>2015</v>
      </c>
      <c r="C121" s="8" t="s">
        <v>29</v>
      </c>
      <c r="D121" s="8">
        <v>8</v>
      </c>
      <c r="E121" t="s">
        <v>370</v>
      </c>
      <c r="F121" t="s">
        <v>230</v>
      </c>
      <c r="G121" t="s">
        <v>371</v>
      </c>
      <c r="H121" s="8" t="s">
        <v>15</v>
      </c>
      <c r="I121" s="8">
        <v>138</v>
      </c>
      <c r="J121" s="8">
        <v>7003306</v>
      </c>
      <c r="L121" s="26"/>
      <c r="M121" s="1"/>
      <c r="N121" s="1"/>
      <c r="O121" s="1"/>
      <c r="P121" s="6"/>
      <c r="Q121" s="6"/>
      <c r="R121" s="6"/>
      <c r="S121" s="6"/>
      <c r="T121" s="6"/>
      <c r="U121" s="6"/>
      <c r="V121" s="1"/>
    </row>
    <row r="122" spans="2:22">
      <c r="B122">
        <v>2015</v>
      </c>
      <c r="C122" s="8" t="s">
        <v>29</v>
      </c>
      <c r="D122" s="8">
        <v>9</v>
      </c>
      <c r="E122" t="s">
        <v>372</v>
      </c>
      <c r="F122" t="s">
        <v>230</v>
      </c>
      <c r="G122" t="s">
        <v>235</v>
      </c>
      <c r="H122" s="8" t="s">
        <v>15</v>
      </c>
      <c r="I122" s="8">
        <v>72</v>
      </c>
      <c r="J122" s="8">
        <v>6460220</v>
      </c>
      <c r="L122" s="26"/>
      <c r="M122" t="s">
        <v>164</v>
      </c>
      <c r="N122" t="s">
        <v>174</v>
      </c>
      <c r="O122" s="2" t="s">
        <v>15</v>
      </c>
      <c r="P122" s="2" t="s">
        <v>15</v>
      </c>
      <c r="Q122" s="3">
        <v>144</v>
      </c>
      <c r="R122" s="9" t="s">
        <v>78</v>
      </c>
      <c r="S122" s="5">
        <v>6460220</v>
      </c>
      <c r="T122" s="3">
        <v>2012</v>
      </c>
      <c r="U122" s="7" t="s">
        <v>175</v>
      </c>
      <c r="V122" s="1" t="str">
        <f>IF(J122=S122,"Yes","")</f>
        <v>Yes</v>
      </c>
    </row>
    <row r="123" spans="2:22">
      <c r="B123">
        <v>2015</v>
      </c>
      <c r="C123" s="8" t="s">
        <v>29</v>
      </c>
      <c r="D123" s="8">
        <v>10</v>
      </c>
      <c r="E123" t="s">
        <v>373</v>
      </c>
      <c r="F123" t="s">
        <v>230</v>
      </c>
      <c r="G123" t="s">
        <v>231</v>
      </c>
      <c r="H123" s="8" t="s">
        <v>4</v>
      </c>
      <c r="I123" s="8">
        <v>71</v>
      </c>
      <c r="J123" s="8">
        <v>6476063</v>
      </c>
      <c r="L123" s="26"/>
      <c r="M123" t="s">
        <v>164</v>
      </c>
      <c r="N123" t="s">
        <v>176</v>
      </c>
      <c r="O123" s="2" t="s">
        <v>12</v>
      </c>
      <c r="P123" s="2" t="s">
        <v>12</v>
      </c>
      <c r="Q123" s="3">
        <v>72</v>
      </c>
      <c r="R123" s="3" t="s">
        <v>52</v>
      </c>
      <c r="S123" s="5">
        <v>6476063</v>
      </c>
      <c r="T123" s="3">
        <v>2012</v>
      </c>
      <c r="U123" s="3" t="s">
        <v>53</v>
      </c>
      <c r="V123" s="1" t="str">
        <f>IF(J123=S123,"Yes","")</f>
        <v>Yes</v>
      </c>
    </row>
    <row r="124" spans="2:22">
      <c r="B124">
        <v>2016</v>
      </c>
      <c r="C124" t="s">
        <v>34</v>
      </c>
      <c r="D124">
        <v>1</v>
      </c>
      <c r="E124" t="s">
        <v>374</v>
      </c>
      <c r="F124" t="s">
        <v>230</v>
      </c>
      <c r="G124" t="s">
        <v>375</v>
      </c>
      <c r="H124" s="8" t="s">
        <v>20</v>
      </c>
      <c r="I124" s="8">
        <v>70</v>
      </c>
      <c r="J124" s="8">
        <v>7051511</v>
      </c>
      <c r="M124" t="s">
        <v>164</v>
      </c>
      <c r="N124" t="s">
        <v>77</v>
      </c>
      <c r="O124" s="2" t="s">
        <v>4</v>
      </c>
      <c r="P124" s="2" t="s">
        <v>4</v>
      </c>
      <c r="Q124" s="3">
        <v>140</v>
      </c>
      <c r="R124" s="4" t="s">
        <v>78</v>
      </c>
      <c r="S124" s="5">
        <v>7051511</v>
      </c>
      <c r="T124" s="3">
        <v>2015</v>
      </c>
      <c r="U124" s="3" t="s">
        <v>79</v>
      </c>
      <c r="V124" s="1" t="str">
        <f>IF(J124=S124,"Yes","")</f>
        <v>Yes</v>
      </c>
    </row>
    <row r="125" spans="2:22">
      <c r="B125">
        <v>2016</v>
      </c>
      <c r="C125" t="s">
        <v>34</v>
      </c>
      <c r="D125">
        <v>2</v>
      </c>
      <c r="E125" t="s">
        <v>376</v>
      </c>
      <c r="F125" t="s">
        <v>230</v>
      </c>
      <c r="G125" t="s">
        <v>377</v>
      </c>
      <c r="H125" s="8" t="s">
        <v>20</v>
      </c>
      <c r="I125" s="8">
        <v>95</v>
      </c>
      <c r="J125" s="8">
        <v>6304702</v>
      </c>
    </row>
    <row r="126" spans="2:22">
      <c r="B126">
        <v>2016</v>
      </c>
      <c r="C126" t="s">
        <v>34</v>
      </c>
      <c r="D126">
        <v>3</v>
      </c>
      <c r="E126" t="s">
        <v>378</v>
      </c>
      <c r="F126" t="s">
        <v>230</v>
      </c>
      <c r="G126" t="s">
        <v>379</v>
      </c>
      <c r="H126" s="8" t="s">
        <v>2</v>
      </c>
      <c r="I126" s="8">
        <v>70</v>
      </c>
      <c r="J126" s="8">
        <v>7054178</v>
      </c>
      <c r="M126" t="s">
        <v>164</v>
      </c>
      <c r="N126" t="s">
        <v>80</v>
      </c>
      <c r="O126" s="2" t="s">
        <v>2</v>
      </c>
      <c r="P126" s="2" t="s">
        <v>26</v>
      </c>
      <c r="Q126" s="3">
        <v>70</v>
      </c>
      <c r="R126" s="4" t="s">
        <v>52</v>
      </c>
      <c r="S126" s="3">
        <v>7054178</v>
      </c>
      <c r="T126" s="3">
        <v>2015</v>
      </c>
      <c r="U126" s="3" t="s">
        <v>81</v>
      </c>
      <c r="V126" s="1" t="str">
        <f>IF(J126=S126,"Yes","")</f>
        <v>Yes</v>
      </c>
    </row>
    <row r="127" spans="2:22">
      <c r="B127">
        <v>2016</v>
      </c>
      <c r="C127" t="s">
        <v>34</v>
      </c>
      <c r="D127">
        <v>4</v>
      </c>
      <c r="E127" t="s">
        <v>380</v>
      </c>
      <c r="F127" t="s">
        <v>230</v>
      </c>
      <c r="G127" t="s">
        <v>381</v>
      </c>
      <c r="H127" s="8" t="s">
        <v>15</v>
      </c>
      <c r="I127" s="8">
        <v>72.5</v>
      </c>
      <c r="J127" s="8">
        <v>7036612</v>
      </c>
      <c r="M127" t="s">
        <v>164</v>
      </c>
      <c r="N127" t="s">
        <v>82</v>
      </c>
      <c r="O127" s="2" t="s">
        <v>15</v>
      </c>
      <c r="P127" s="2" t="s">
        <v>15</v>
      </c>
      <c r="Q127" s="3">
        <v>48</v>
      </c>
      <c r="R127" s="4" t="s">
        <v>78</v>
      </c>
      <c r="S127" s="5">
        <v>7036612</v>
      </c>
      <c r="T127" s="3">
        <v>2014</v>
      </c>
      <c r="U127" s="3" t="s">
        <v>83</v>
      </c>
      <c r="V127" s="1" t="str">
        <f>IF(J127=S127,"Yes","")</f>
        <v>Yes</v>
      </c>
    </row>
    <row r="128" spans="2:22">
      <c r="B128">
        <v>2016</v>
      </c>
      <c r="C128" t="s">
        <v>34</v>
      </c>
      <c r="D128">
        <v>5</v>
      </c>
      <c r="E128" t="s">
        <v>382</v>
      </c>
      <c r="F128" t="s">
        <v>230</v>
      </c>
      <c r="G128" t="s">
        <v>383</v>
      </c>
      <c r="H128" s="8" t="s">
        <v>15</v>
      </c>
      <c r="I128" s="8">
        <v>72</v>
      </c>
      <c r="J128" s="8">
        <v>6087919</v>
      </c>
    </row>
    <row r="129" spans="2:22">
      <c r="B129">
        <v>2016</v>
      </c>
      <c r="C129" t="s">
        <v>34</v>
      </c>
      <c r="D129">
        <v>6</v>
      </c>
      <c r="E129" t="s">
        <v>382</v>
      </c>
      <c r="F129" t="s">
        <v>384</v>
      </c>
      <c r="G129" t="s">
        <v>383</v>
      </c>
      <c r="H129" s="8" t="s">
        <v>20</v>
      </c>
      <c r="I129" s="8">
        <v>72</v>
      </c>
      <c r="J129" s="8">
        <v>6087919</v>
      </c>
    </row>
    <row r="130" spans="2:22">
      <c r="B130">
        <v>2016</v>
      </c>
      <c r="C130" t="s">
        <v>34</v>
      </c>
      <c r="D130">
        <v>7</v>
      </c>
      <c r="E130" t="s">
        <v>385</v>
      </c>
      <c r="F130" t="s">
        <v>230</v>
      </c>
      <c r="G130" t="s">
        <v>386</v>
      </c>
      <c r="H130" s="8" t="s">
        <v>15</v>
      </c>
      <c r="I130" s="8">
        <v>74</v>
      </c>
      <c r="J130" s="8">
        <v>7030123</v>
      </c>
      <c r="M130" t="s">
        <v>164</v>
      </c>
      <c r="N130" t="s">
        <v>84</v>
      </c>
      <c r="O130" s="2" t="s">
        <v>15</v>
      </c>
      <c r="P130" s="2" t="s">
        <v>18</v>
      </c>
      <c r="Q130" s="3">
        <v>74</v>
      </c>
      <c r="R130" s="4" t="s">
        <v>52</v>
      </c>
      <c r="S130" s="5">
        <v>7030123</v>
      </c>
      <c r="T130" s="3">
        <v>2014</v>
      </c>
      <c r="U130" s="7" t="s">
        <v>81</v>
      </c>
      <c r="V130" s="1" t="str">
        <f>IF(J130=S130,"Yes","")</f>
        <v>Yes</v>
      </c>
    </row>
    <row r="131" spans="2:22">
      <c r="B131">
        <v>2016</v>
      </c>
      <c r="C131" t="s">
        <v>34</v>
      </c>
      <c r="D131">
        <v>8</v>
      </c>
      <c r="E131" t="s">
        <v>387</v>
      </c>
      <c r="F131" t="s">
        <v>388</v>
      </c>
      <c r="G131" t="s">
        <v>159</v>
      </c>
      <c r="H131" s="8" t="s">
        <v>0</v>
      </c>
      <c r="I131" s="8">
        <v>73</v>
      </c>
      <c r="J131" s="8">
        <v>7017786</v>
      </c>
      <c r="M131" t="s">
        <v>164</v>
      </c>
      <c r="N131" t="s">
        <v>85</v>
      </c>
      <c r="O131" s="2" t="s">
        <v>0</v>
      </c>
      <c r="P131" s="2" t="s">
        <v>0</v>
      </c>
      <c r="Q131" s="3">
        <v>72</v>
      </c>
      <c r="R131" s="3" t="s">
        <v>52</v>
      </c>
      <c r="S131" s="3">
        <v>7017786</v>
      </c>
      <c r="T131" s="3">
        <v>2014</v>
      </c>
      <c r="U131" s="3" t="s">
        <v>86</v>
      </c>
      <c r="V131" s="1" t="str">
        <f>IF(J131=S131,"Yes","")</f>
        <v>Yes</v>
      </c>
    </row>
    <row r="132" spans="2:22">
      <c r="B132">
        <v>2016</v>
      </c>
      <c r="C132" t="s">
        <v>34</v>
      </c>
      <c r="D132">
        <v>9</v>
      </c>
      <c r="E132" t="s">
        <v>389</v>
      </c>
      <c r="F132" t="s">
        <v>230</v>
      </c>
      <c r="G132" t="s">
        <v>390</v>
      </c>
      <c r="H132" s="8" t="s">
        <v>4</v>
      </c>
      <c r="I132" s="8">
        <v>78</v>
      </c>
      <c r="J132" s="8">
        <v>7032344</v>
      </c>
    </row>
    <row r="133" spans="2:22">
      <c r="B133">
        <v>2016</v>
      </c>
      <c r="C133" t="s">
        <v>34</v>
      </c>
      <c r="D133">
        <v>10</v>
      </c>
      <c r="E133" t="s">
        <v>391</v>
      </c>
      <c r="F133" t="s">
        <v>230</v>
      </c>
      <c r="G133" t="s">
        <v>392</v>
      </c>
      <c r="H133" s="8" t="s">
        <v>4</v>
      </c>
      <c r="I133" s="8">
        <v>70</v>
      </c>
      <c r="J133" s="8">
        <v>6011370</v>
      </c>
    </row>
    <row r="134" spans="2:22">
      <c r="B134">
        <v>2016</v>
      </c>
      <c r="C134" t="s">
        <v>34</v>
      </c>
      <c r="D134">
        <v>11</v>
      </c>
      <c r="E134" t="s">
        <v>393</v>
      </c>
      <c r="F134" t="s">
        <v>230</v>
      </c>
      <c r="G134" t="s">
        <v>392</v>
      </c>
      <c r="H134" s="8" t="s">
        <v>4</v>
      </c>
      <c r="I134" s="8">
        <v>76.5</v>
      </c>
      <c r="J134" s="8">
        <v>6327734</v>
      </c>
    </row>
    <row r="135" spans="2:22">
      <c r="B135">
        <v>2017</v>
      </c>
      <c r="C135" s="8" t="s">
        <v>627</v>
      </c>
      <c r="D135" s="8">
        <v>1</v>
      </c>
      <c r="E135" t="s">
        <v>3</v>
      </c>
      <c r="F135" t="s">
        <v>230</v>
      </c>
      <c r="G135" t="s">
        <v>230</v>
      </c>
      <c r="H135" t="s">
        <v>0</v>
      </c>
      <c r="I135">
        <v>100</v>
      </c>
      <c r="J135" s="3">
        <v>27721</v>
      </c>
    </row>
    <row r="136" spans="2:22">
      <c r="B136">
        <v>2017</v>
      </c>
      <c r="C136" s="8" t="s">
        <v>627</v>
      </c>
      <c r="D136" s="8">
        <v>2</v>
      </c>
      <c r="E136" t="s">
        <v>1</v>
      </c>
      <c r="F136" t="s">
        <v>230</v>
      </c>
      <c r="G136" t="s">
        <v>230</v>
      </c>
      <c r="H136" t="s">
        <v>0</v>
      </c>
      <c r="I136">
        <v>82</v>
      </c>
      <c r="J136" s="3">
        <v>31054</v>
      </c>
    </row>
    <row r="137" spans="2:22">
      <c r="B137">
        <v>2017</v>
      </c>
      <c r="C137" s="8" t="s">
        <v>627</v>
      </c>
      <c r="D137" s="8">
        <v>3</v>
      </c>
      <c r="E137" t="s">
        <v>5</v>
      </c>
      <c r="F137" t="s">
        <v>230</v>
      </c>
      <c r="G137" t="s">
        <v>230</v>
      </c>
      <c r="H137" t="s">
        <v>4</v>
      </c>
      <c r="I137">
        <v>60</v>
      </c>
      <c r="J137" s="3">
        <v>29080</v>
      </c>
    </row>
    <row r="138" spans="2:22">
      <c r="B138">
        <v>2017</v>
      </c>
      <c r="C138" s="8" t="s">
        <v>627</v>
      </c>
      <c r="D138" s="8">
        <v>4</v>
      </c>
      <c r="E138" t="s">
        <v>570</v>
      </c>
      <c r="F138" t="s">
        <v>240</v>
      </c>
      <c r="G138" t="s">
        <v>261</v>
      </c>
      <c r="H138" t="s">
        <v>2</v>
      </c>
      <c r="I138">
        <v>102</v>
      </c>
      <c r="J138" s="3">
        <v>32015</v>
      </c>
    </row>
    <row r="139" spans="2:22">
      <c r="B139">
        <v>2017</v>
      </c>
      <c r="C139" s="8" t="s">
        <v>627</v>
      </c>
      <c r="D139" s="8">
        <v>5</v>
      </c>
      <c r="E139" t="s">
        <v>8</v>
      </c>
      <c r="F139" t="s">
        <v>230</v>
      </c>
      <c r="G139" t="s">
        <v>230</v>
      </c>
      <c r="H139" t="s">
        <v>2</v>
      </c>
      <c r="I139">
        <v>110</v>
      </c>
      <c r="J139" s="3">
        <v>24016</v>
      </c>
    </row>
    <row r="140" spans="2:22">
      <c r="B140">
        <v>2017</v>
      </c>
      <c r="C140" s="8" t="s">
        <v>627</v>
      </c>
      <c r="D140" s="8">
        <v>6</v>
      </c>
      <c r="E140" t="s">
        <v>6</v>
      </c>
      <c r="F140" t="s">
        <v>230</v>
      </c>
      <c r="G140" t="s">
        <v>230</v>
      </c>
      <c r="H140" t="s">
        <v>2</v>
      </c>
      <c r="I140">
        <v>86</v>
      </c>
      <c r="J140" s="3">
        <v>27862</v>
      </c>
    </row>
    <row r="141" spans="2:22">
      <c r="B141">
        <v>2017</v>
      </c>
      <c r="C141" s="8" t="s">
        <v>627</v>
      </c>
      <c r="D141" s="8">
        <v>7</v>
      </c>
      <c r="E141" t="s">
        <v>571</v>
      </c>
      <c r="F141" t="s">
        <v>240</v>
      </c>
      <c r="G141" t="s">
        <v>261</v>
      </c>
      <c r="H141" t="s">
        <v>2</v>
      </c>
      <c r="I141">
        <v>79</v>
      </c>
      <c r="J141" s="3">
        <v>31047</v>
      </c>
    </row>
    <row r="142" spans="2:22">
      <c r="B142">
        <v>2017</v>
      </c>
      <c r="C142" s="8" t="s">
        <v>627</v>
      </c>
      <c r="D142" s="8">
        <v>8</v>
      </c>
      <c r="E142" t="s">
        <v>572</v>
      </c>
      <c r="F142" t="s">
        <v>240</v>
      </c>
      <c r="G142" t="s">
        <v>261</v>
      </c>
      <c r="H142" t="s">
        <v>0</v>
      </c>
      <c r="I142">
        <v>63</v>
      </c>
      <c r="J142" s="3">
        <v>31982</v>
      </c>
    </row>
    <row r="143" spans="2:22">
      <c r="B143">
        <v>2017</v>
      </c>
      <c r="C143" s="8" t="s">
        <v>627</v>
      </c>
      <c r="D143" s="8">
        <v>9</v>
      </c>
      <c r="E143" t="s">
        <v>573</v>
      </c>
      <c r="F143" t="s">
        <v>240</v>
      </c>
      <c r="G143" t="s">
        <v>261</v>
      </c>
      <c r="H143" t="s">
        <v>7</v>
      </c>
      <c r="I143">
        <v>106</v>
      </c>
      <c r="J143" s="3"/>
    </row>
    <row r="144" spans="2:22">
      <c r="B144">
        <v>2017</v>
      </c>
      <c r="C144" s="8" t="s">
        <v>627</v>
      </c>
      <c r="D144" s="8">
        <v>10</v>
      </c>
      <c r="E144" t="s">
        <v>574</v>
      </c>
      <c r="F144" t="s">
        <v>230</v>
      </c>
      <c r="G144" t="s">
        <v>575</v>
      </c>
      <c r="H144" t="s">
        <v>7</v>
      </c>
      <c r="I144">
        <v>73</v>
      </c>
      <c r="J144" s="3"/>
    </row>
    <row r="145" spans="2:22">
      <c r="B145">
        <v>2017</v>
      </c>
      <c r="C145" t="s">
        <v>626</v>
      </c>
      <c r="D145" s="8">
        <v>1</v>
      </c>
      <c r="E145" t="s">
        <v>11</v>
      </c>
      <c r="F145" t="s">
        <v>230</v>
      </c>
      <c r="G145" t="s">
        <v>230</v>
      </c>
      <c r="H145" t="s">
        <v>2</v>
      </c>
      <c r="I145">
        <v>68</v>
      </c>
      <c r="J145" s="3">
        <v>31999</v>
      </c>
    </row>
    <row r="146" spans="2:22">
      <c r="B146">
        <v>2017</v>
      </c>
      <c r="C146" t="s">
        <v>626</v>
      </c>
      <c r="D146" s="8">
        <v>2</v>
      </c>
      <c r="E146" t="s">
        <v>576</v>
      </c>
      <c r="F146" t="s">
        <v>562</v>
      </c>
      <c r="G146" t="s">
        <v>233</v>
      </c>
      <c r="H146" t="s">
        <v>2</v>
      </c>
      <c r="I146">
        <v>145</v>
      </c>
      <c r="J146" s="3">
        <v>7036006</v>
      </c>
    </row>
    <row r="147" spans="2:22">
      <c r="B147">
        <v>2017</v>
      </c>
      <c r="C147" t="s">
        <v>626</v>
      </c>
      <c r="D147" s="8">
        <v>3</v>
      </c>
      <c r="E147" t="s">
        <v>14</v>
      </c>
      <c r="F147" t="s">
        <v>230</v>
      </c>
      <c r="G147" t="s">
        <v>230</v>
      </c>
      <c r="H147" t="s">
        <v>12</v>
      </c>
      <c r="I147">
        <v>78</v>
      </c>
      <c r="J147" s="3">
        <v>27738</v>
      </c>
    </row>
    <row r="148" spans="2:22">
      <c r="B148">
        <v>2017</v>
      </c>
      <c r="C148" t="s">
        <v>626</v>
      </c>
      <c r="D148" s="8">
        <v>4</v>
      </c>
      <c r="E148" t="s">
        <v>13</v>
      </c>
      <c r="F148" t="s">
        <v>230</v>
      </c>
      <c r="G148" t="s">
        <v>230</v>
      </c>
      <c r="H148" t="s">
        <v>12</v>
      </c>
      <c r="I148">
        <v>65</v>
      </c>
      <c r="J148" s="3">
        <v>27879</v>
      </c>
    </row>
    <row r="149" spans="2:22">
      <c r="B149">
        <v>2017</v>
      </c>
      <c r="C149" t="s">
        <v>626</v>
      </c>
      <c r="D149" s="8">
        <v>5</v>
      </c>
      <c r="E149" t="s">
        <v>577</v>
      </c>
      <c r="F149" t="s">
        <v>230</v>
      </c>
      <c r="G149" t="s">
        <v>578</v>
      </c>
      <c r="H149" t="s">
        <v>2</v>
      </c>
      <c r="I149">
        <v>57</v>
      </c>
      <c r="J149" s="3"/>
    </row>
    <row r="150" spans="2:22">
      <c r="B150">
        <v>2017</v>
      </c>
      <c r="C150" t="s">
        <v>626</v>
      </c>
      <c r="D150" s="8">
        <v>6</v>
      </c>
      <c r="E150" t="s">
        <v>16</v>
      </c>
      <c r="F150" t="s">
        <v>230</v>
      </c>
      <c r="G150" t="s">
        <v>230</v>
      </c>
      <c r="H150" t="s">
        <v>15</v>
      </c>
      <c r="I150">
        <v>70</v>
      </c>
      <c r="J150" s="3"/>
    </row>
    <row r="151" spans="2:22">
      <c r="B151">
        <v>2017</v>
      </c>
      <c r="C151" t="s">
        <v>626</v>
      </c>
      <c r="D151" s="8">
        <v>7</v>
      </c>
      <c r="E151" t="s">
        <v>10</v>
      </c>
      <c r="F151" t="s">
        <v>230</v>
      </c>
      <c r="G151" t="s">
        <v>230</v>
      </c>
      <c r="H151" t="s">
        <v>9</v>
      </c>
      <c r="I151">
        <v>110</v>
      </c>
      <c r="J151" s="3">
        <v>30983</v>
      </c>
    </row>
    <row r="152" spans="2:22">
      <c r="B152">
        <v>2017</v>
      </c>
      <c r="C152" t="s">
        <v>626</v>
      </c>
      <c r="D152" s="8">
        <v>8</v>
      </c>
      <c r="E152" t="s">
        <v>17</v>
      </c>
      <c r="F152" t="s">
        <v>230</v>
      </c>
      <c r="G152" t="s">
        <v>230</v>
      </c>
      <c r="H152" t="s">
        <v>9</v>
      </c>
      <c r="I152">
        <v>73</v>
      </c>
      <c r="J152" s="3">
        <v>38583</v>
      </c>
    </row>
    <row r="153" spans="2:22">
      <c r="B153">
        <v>2017</v>
      </c>
      <c r="C153" t="s">
        <v>626</v>
      </c>
      <c r="D153" s="8">
        <v>9</v>
      </c>
      <c r="E153" t="s">
        <v>579</v>
      </c>
      <c r="F153" t="s">
        <v>230</v>
      </c>
      <c r="G153" t="s">
        <v>461</v>
      </c>
      <c r="H153" t="s">
        <v>20</v>
      </c>
      <c r="I153">
        <v>71</v>
      </c>
      <c r="J153" s="3"/>
    </row>
    <row r="154" spans="2:22">
      <c r="B154">
        <v>2017</v>
      </c>
      <c r="C154" t="s">
        <v>626</v>
      </c>
      <c r="D154" s="8">
        <v>10</v>
      </c>
      <c r="E154" t="s">
        <v>19</v>
      </c>
      <c r="F154" t="s">
        <v>230</v>
      </c>
      <c r="G154" t="s">
        <v>230</v>
      </c>
      <c r="H154" t="s">
        <v>18</v>
      </c>
      <c r="I154">
        <v>67</v>
      </c>
      <c r="J154" s="3">
        <v>31078</v>
      </c>
    </row>
    <row r="155" spans="2:22">
      <c r="B155">
        <v>2017</v>
      </c>
      <c r="C155" t="s">
        <v>35</v>
      </c>
      <c r="D155">
        <v>1</v>
      </c>
      <c r="E155" t="s">
        <v>394</v>
      </c>
      <c r="F155" t="s">
        <v>230</v>
      </c>
      <c r="G155" t="s">
        <v>261</v>
      </c>
      <c r="H155" s="8" t="s">
        <v>15</v>
      </c>
      <c r="I155" s="8">
        <v>59.5</v>
      </c>
      <c r="J155" s="8">
        <v>7083703</v>
      </c>
    </row>
    <row r="156" spans="2:22">
      <c r="B156">
        <v>2017</v>
      </c>
      <c r="C156" t="s">
        <v>35</v>
      </c>
      <c r="D156">
        <v>2</v>
      </c>
      <c r="E156" t="s">
        <v>395</v>
      </c>
      <c r="F156" t="s">
        <v>230</v>
      </c>
      <c r="G156" t="s">
        <v>396</v>
      </c>
      <c r="H156" s="8" t="s">
        <v>15</v>
      </c>
      <c r="I156" s="8">
        <v>58</v>
      </c>
      <c r="J156" s="8">
        <v>7030068</v>
      </c>
    </row>
    <row r="157" spans="2:22">
      <c r="B157">
        <v>2017</v>
      </c>
      <c r="C157" t="s">
        <v>35</v>
      </c>
      <c r="D157">
        <v>3</v>
      </c>
      <c r="E157" t="s">
        <v>397</v>
      </c>
      <c r="F157" t="s">
        <v>230</v>
      </c>
      <c r="G157" t="s">
        <v>398</v>
      </c>
      <c r="H157" s="8" t="s">
        <v>15</v>
      </c>
      <c r="I157" s="8">
        <v>90</v>
      </c>
      <c r="J157" s="8">
        <v>7038281</v>
      </c>
      <c r="M157" t="s">
        <v>164</v>
      </c>
      <c r="N157" t="s">
        <v>87</v>
      </c>
      <c r="O157" s="2" t="s">
        <v>4</v>
      </c>
      <c r="P157" s="2" t="s">
        <v>4</v>
      </c>
      <c r="Q157" s="3">
        <v>90</v>
      </c>
      <c r="R157" s="4" t="s">
        <v>52</v>
      </c>
      <c r="S157" s="5">
        <v>7038281</v>
      </c>
      <c r="T157" s="3">
        <v>2015</v>
      </c>
      <c r="U157" s="7" t="s">
        <v>88</v>
      </c>
      <c r="V157" s="1" t="str">
        <f>IF(J157=S157,"Yes","")</f>
        <v>Yes</v>
      </c>
    </row>
    <row r="158" spans="2:22">
      <c r="B158">
        <v>2017</v>
      </c>
      <c r="C158" t="s">
        <v>35</v>
      </c>
      <c r="D158">
        <v>4</v>
      </c>
      <c r="E158" t="s">
        <v>399</v>
      </c>
      <c r="F158" t="s">
        <v>230</v>
      </c>
      <c r="G158" t="s">
        <v>400</v>
      </c>
      <c r="H158" s="8" t="s">
        <v>20</v>
      </c>
      <c r="I158" s="8">
        <v>132</v>
      </c>
      <c r="J158" s="8">
        <v>6605212</v>
      </c>
    </row>
    <row r="159" spans="2:22">
      <c r="B159">
        <v>2017</v>
      </c>
      <c r="C159" t="s">
        <v>35</v>
      </c>
      <c r="D159">
        <v>5</v>
      </c>
      <c r="E159" t="s">
        <v>401</v>
      </c>
      <c r="F159" t="s">
        <v>384</v>
      </c>
      <c r="G159" t="s">
        <v>402</v>
      </c>
      <c r="H159" s="8" t="s">
        <v>20</v>
      </c>
      <c r="I159" s="8">
        <v>69</v>
      </c>
      <c r="J159" s="8">
        <v>7030065</v>
      </c>
    </row>
    <row r="160" spans="2:22">
      <c r="B160">
        <v>2017</v>
      </c>
      <c r="C160" t="s">
        <v>35</v>
      </c>
      <c r="D160">
        <v>6</v>
      </c>
      <c r="E160" t="s">
        <v>401</v>
      </c>
      <c r="F160" t="s">
        <v>403</v>
      </c>
      <c r="G160" t="s">
        <v>402</v>
      </c>
      <c r="H160" s="8" t="s">
        <v>15</v>
      </c>
      <c r="I160" s="8">
        <v>69</v>
      </c>
      <c r="J160" s="8">
        <v>7030065</v>
      </c>
    </row>
    <row r="161" spans="2:22">
      <c r="B161">
        <v>2017</v>
      </c>
      <c r="C161" t="s">
        <v>35</v>
      </c>
      <c r="D161">
        <v>7</v>
      </c>
      <c r="E161" t="s">
        <v>404</v>
      </c>
      <c r="F161" t="s">
        <v>230</v>
      </c>
      <c r="G161" t="s">
        <v>405</v>
      </c>
      <c r="H161" s="8" t="s">
        <v>20</v>
      </c>
      <c r="I161" s="8">
        <v>68</v>
      </c>
      <c r="J161" s="8">
        <v>7068424</v>
      </c>
      <c r="M161" t="s">
        <v>164</v>
      </c>
      <c r="N161" t="s">
        <v>89</v>
      </c>
      <c r="O161" s="2" t="s">
        <v>20</v>
      </c>
      <c r="P161" s="2" t="s">
        <v>20</v>
      </c>
      <c r="Q161" s="3">
        <v>68</v>
      </c>
      <c r="R161" s="4" t="s">
        <v>52</v>
      </c>
      <c r="S161" s="3">
        <v>7068424</v>
      </c>
      <c r="T161" s="3">
        <v>2016</v>
      </c>
      <c r="U161" s="3" t="s">
        <v>53</v>
      </c>
      <c r="V161" s="1" t="str">
        <f>IF(J161=S161,"Yes","")</f>
        <v>Yes</v>
      </c>
    </row>
    <row r="162" spans="2:22">
      <c r="B162">
        <v>2017</v>
      </c>
      <c r="C162" t="s">
        <v>35</v>
      </c>
      <c r="D162">
        <v>8</v>
      </c>
      <c r="E162" t="s">
        <v>406</v>
      </c>
      <c r="F162" t="s">
        <v>230</v>
      </c>
      <c r="G162" t="s">
        <v>261</v>
      </c>
      <c r="H162" s="8" t="s">
        <v>20</v>
      </c>
      <c r="I162" s="8">
        <v>67</v>
      </c>
      <c r="J162" s="8">
        <v>7083710</v>
      </c>
    </row>
    <row r="163" spans="2:22">
      <c r="B163">
        <v>2017</v>
      </c>
      <c r="C163" t="s">
        <v>35</v>
      </c>
      <c r="D163">
        <v>9</v>
      </c>
      <c r="E163" t="s">
        <v>407</v>
      </c>
      <c r="F163" t="s">
        <v>230</v>
      </c>
      <c r="G163" t="s">
        <v>284</v>
      </c>
      <c r="H163" s="8" t="s">
        <v>4</v>
      </c>
      <c r="I163" s="8">
        <v>68</v>
      </c>
      <c r="J163" s="8">
        <v>7017790</v>
      </c>
    </row>
    <row r="164" spans="2:22">
      <c r="B164">
        <v>2017</v>
      </c>
      <c r="C164" t="s">
        <v>35</v>
      </c>
      <c r="D164">
        <v>10</v>
      </c>
      <c r="E164" t="s">
        <v>408</v>
      </c>
      <c r="F164" t="s">
        <v>230</v>
      </c>
      <c r="G164" t="s">
        <v>237</v>
      </c>
      <c r="H164" s="8" t="s">
        <v>4</v>
      </c>
      <c r="I164" s="8">
        <v>72</v>
      </c>
      <c r="J164" s="8">
        <v>6518055</v>
      </c>
      <c r="M164" t="s">
        <v>164</v>
      </c>
      <c r="N164" t="s">
        <v>90</v>
      </c>
      <c r="O164" s="2" t="s">
        <v>2</v>
      </c>
      <c r="P164" s="2" t="s">
        <v>2</v>
      </c>
      <c r="Q164" s="3">
        <v>72</v>
      </c>
      <c r="R164" s="4" t="s">
        <v>52</v>
      </c>
      <c r="S164" s="5">
        <v>6518055</v>
      </c>
      <c r="T164" s="3">
        <v>2013</v>
      </c>
      <c r="U164" s="7" t="s">
        <v>61</v>
      </c>
      <c r="V164" s="1" t="str">
        <f>IF(J164=S164,"Yes","")</f>
        <v>Yes</v>
      </c>
    </row>
    <row r="165" spans="2:22">
      <c r="B165">
        <v>2017</v>
      </c>
      <c r="C165" t="s">
        <v>35</v>
      </c>
      <c r="D165">
        <v>11</v>
      </c>
      <c r="E165" t="s">
        <v>409</v>
      </c>
      <c r="F165" t="s">
        <v>230</v>
      </c>
      <c r="G165" t="s">
        <v>237</v>
      </c>
      <c r="H165" s="8" t="s">
        <v>0</v>
      </c>
      <c r="I165" s="8">
        <v>81</v>
      </c>
      <c r="J165" s="8">
        <v>7036288</v>
      </c>
      <c r="M165" t="s">
        <v>164</v>
      </c>
      <c r="N165" t="s">
        <v>91</v>
      </c>
      <c r="O165" s="2" t="s">
        <v>0</v>
      </c>
      <c r="P165" s="2" t="s">
        <v>0</v>
      </c>
      <c r="Q165" s="3">
        <v>163</v>
      </c>
      <c r="R165" s="4" t="s">
        <v>78</v>
      </c>
      <c r="S165" s="5">
        <v>7036288</v>
      </c>
      <c r="T165" s="3">
        <v>2015</v>
      </c>
      <c r="U165" s="7" t="s">
        <v>92</v>
      </c>
      <c r="V165" s="1" t="str">
        <f>IF(J165=S165,"Yes","")</f>
        <v>Yes</v>
      </c>
    </row>
    <row r="166" spans="2:22">
      <c r="B166">
        <v>2017</v>
      </c>
      <c r="C166" t="s">
        <v>35</v>
      </c>
      <c r="D166">
        <v>12</v>
      </c>
      <c r="E166" t="s">
        <v>410</v>
      </c>
      <c r="F166" t="s">
        <v>230</v>
      </c>
      <c r="G166" t="s">
        <v>93</v>
      </c>
      <c r="H166" s="8" t="s">
        <v>2</v>
      </c>
      <c r="I166" s="8">
        <v>80</v>
      </c>
      <c r="J166" s="8">
        <v>5881491</v>
      </c>
      <c r="M166" t="s">
        <v>164</v>
      </c>
      <c r="N166" t="s">
        <v>93</v>
      </c>
      <c r="O166" s="2" t="s">
        <v>20</v>
      </c>
      <c r="P166" s="2" t="s">
        <v>20</v>
      </c>
      <c r="Q166" s="3">
        <v>80</v>
      </c>
      <c r="R166" s="4" t="s">
        <v>52</v>
      </c>
      <c r="S166" s="5">
        <v>5881491</v>
      </c>
      <c r="T166" s="3">
        <v>2011</v>
      </c>
      <c r="U166" s="7" t="s">
        <v>94</v>
      </c>
      <c r="V166" s="1" t="str">
        <f>IF(J166=S166,"Yes","")</f>
        <v>Yes</v>
      </c>
    </row>
    <row r="167" spans="2:22">
      <c r="B167">
        <v>2017</v>
      </c>
      <c r="C167" t="s">
        <v>35</v>
      </c>
      <c r="D167">
        <v>13</v>
      </c>
      <c r="E167" t="s">
        <v>411</v>
      </c>
      <c r="F167" t="s">
        <v>230</v>
      </c>
      <c r="G167" t="s">
        <v>231</v>
      </c>
      <c r="H167" s="8" t="s">
        <v>2</v>
      </c>
      <c r="I167" s="8">
        <v>72</v>
      </c>
      <c r="J167" s="8">
        <v>7037787</v>
      </c>
      <c r="M167" t="s">
        <v>164</v>
      </c>
      <c r="N167" t="s">
        <v>95</v>
      </c>
      <c r="O167" s="2" t="s">
        <v>2</v>
      </c>
      <c r="P167" s="2" t="s">
        <v>2</v>
      </c>
      <c r="Q167" s="3">
        <v>72</v>
      </c>
      <c r="R167" s="4" t="s">
        <v>52</v>
      </c>
      <c r="S167" s="5">
        <v>7037787</v>
      </c>
      <c r="T167" s="3">
        <v>2015</v>
      </c>
      <c r="U167" s="3" t="s">
        <v>53</v>
      </c>
      <c r="V167" s="1" t="str">
        <f>IF(J167=S167,"Yes","")</f>
        <v>Yes</v>
      </c>
    </row>
    <row r="168" spans="2:22">
      <c r="B168">
        <v>2017</v>
      </c>
      <c r="C168" t="s">
        <v>36</v>
      </c>
      <c r="D168">
        <v>1</v>
      </c>
      <c r="E168" t="s">
        <v>412</v>
      </c>
      <c r="F168" t="s">
        <v>230</v>
      </c>
      <c r="G168" t="s">
        <v>413</v>
      </c>
      <c r="H168" s="8" t="s">
        <v>20</v>
      </c>
      <c r="I168" s="8">
        <v>76</v>
      </c>
      <c r="J168" s="8">
        <v>7023294</v>
      </c>
    </row>
    <row r="169" spans="2:22">
      <c r="B169">
        <v>2017</v>
      </c>
      <c r="C169" t="s">
        <v>36</v>
      </c>
      <c r="D169">
        <v>2</v>
      </c>
      <c r="E169" t="s">
        <v>414</v>
      </c>
      <c r="F169" t="s">
        <v>230</v>
      </c>
      <c r="G169" t="s">
        <v>231</v>
      </c>
      <c r="H169" s="8" t="s">
        <v>20</v>
      </c>
      <c r="I169" s="8">
        <v>94</v>
      </c>
      <c r="J169" s="8">
        <v>7068428</v>
      </c>
    </row>
    <row r="170" spans="2:22">
      <c r="B170">
        <v>2017</v>
      </c>
      <c r="C170" t="s">
        <v>36</v>
      </c>
      <c r="D170">
        <v>3</v>
      </c>
      <c r="E170" t="s">
        <v>415</v>
      </c>
      <c r="F170" t="s">
        <v>230</v>
      </c>
      <c r="G170" t="s">
        <v>237</v>
      </c>
      <c r="H170" s="8" t="s">
        <v>20</v>
      </c>
      <c r="I170" s="8">
        <v>110</v>
      </c>
      <c r="J170" s="8">
        <v>7081388</v>
      </c>
      <c r="M170" t="s">
        <v>164</v>
      </c>
      <c r="N170" t="s">
        <v>96</v>
      </c>
      <c r="O170" s="2" t="s">
        <v>20</v>
      </c>
      <c r="P170" s="2" t="s">
        <v>20</v>
      </c>
      <c r="Q170" s="3">
        <v>110</v>
      </c>
      <c r="R170" s="4" t="s">
        <v>52</v>
      </c>
      <c r="S170" s="5">
        <v>7081388</v>
      </c>
      <c r="T170" s="3">
        <v>2017</v>
      </c>
      <c r="U170" s="7" t="s">
        <v>97</v>
      </c>
      <c r="V170" s="1" t="str">
        <f>IF(J170=S170,"Yes","")</f>
        <v>Yes</v>
      </c>
    </row>
    <row r="171" spans="2:22">
      <c r="B171">
        <v>2017</v>
      </c>
      <c r="C171" t="s">
        <v>36</v>
      </c>
      <c r="D171">
        <v>4</v>
      </c>
      <c r="E171" t="s">
        <v>416</v>
      </c>
      <c r="F171" t="s">
        <v>230</v>
      </c>
      <c r="G171" t="s">
        <v>417</v>
      </c>
      <c r="H171" s="8" t="s">
        <v>15</v>
      </c>
      <c r="I171" s="8">
        <v>68</v>
      </c>
      <c r="J171" s="8">
        <v>7046145</v>
      </c>
      <c r="M171" t="s">
        <v>164</v>
      </c>
      <c r="N171" t="s">
        <v>98</v>
      </c>
      <c r="O171" s="2" t="s">
        <v>15</v>
      </c>
      <c r="P171" s="2" t="s">
        <v>18</v>
      </c>
      <c r="Q171" s="3">
        <v>68</v>
      </c>
      <c r="R171" s="4" t="s">
        <v>52</v>
      </c>
      <c r="S171" s="5">
        <v>7046145</v>
      </c>
      <c r="T171" s="3">
        <v>2015</v>
      </c>
      <c r="U171" s="7" t="s">
        <v>99</v>
      </c>
      <c r="V171" s="1" t="str">
        <f>IF(J171=S171,"Yes","")</f>
        <v>Yes</v>
      </c>
    </row>
    <row r="172" spans="2:22">
      <c r="B172">
        <v>2017</v>
      </c>
      <c r="C172" t="s">
        <v>36</v>
      </c>
      <c r="D172">
        <v>5</v>
      </c>
      <c r="E172" t="s">
        <v>418</v>
      </c>
      <c r="F172" t="s">
        <v>230</v>
      </c>
      <c r="G172" t="s">
        <v>419</v>
      </c>
      <c r="H172" s="8" t="s">
        <v>7</v>
      </c>
      <c r="I172" s="8">
        <v>68</v>
      </c>
      <c r="J172" s="8">
        <v>5858163</v>
      </c>
    </row>
    <row r="173" spans="2:22">
      <c r="B173">
        <v>2017</v>
      </c>
      <c r="C173" t="s">
        <v>37</v>
      </c>
      <c r="D173">
        <v>1</v>
      </c>
      <c r="E173" t="s">
        <v>420</v>
      </c>
      <c r="F173" t="s">
        <v>230</v>
      </c>
      <c r="G173" t="s">
        <v>237</v>
      </c>
      <c r="H173" s="8" t="s">
        <v>2</v>
      </c>
      <c r="I173" s="8">
        <v>81</v>
      </c>
      <c r="J173" s="8">
        <v>7052927</v>
      </c>
    </row>
    <row r="174" spans="2:22">
      <c r="B174">
        <v>2017</v>
      </c>
      <c r="C174" t="s">
        <v>37</v>
      </c>
      <c r="D174">
        <v>2</v>
      </c>
      <c r="E174" t="s">
        <v>421</v>
      </c>
      <c r="F174" t="s">
        <v>230</v>
      </c>
      <c r="G174" t="s">
        <v>422</v>
      </c>
      <c r="H174" s="8" t="s">
        <v>0</v>
      </c>
      <c r="I174" s="8">
        <v>70</v>
      </c>
      <c r="J174" s="8">
        <v>7070345</v>
      </c>
      <c r="M174" t="s">
        <v>164</v>
      </c>
      <c r="N174" t="s">
        <v>100</v>
      </c>
      <c r="O174" s="2" t="s">
        <v>0</v>
      </c>
      <c r="P174" s="2" t="s">
        <v>0</v>
      </c>
      <c r="Q174" s="3">
        <v>70</v>
      </c>
      <c r="R174" s="3" t="s">
        <v>52</v>
      </c>
      <c r="S174" s="5">
        <v>7070345</v>
      </c>
      <c r="T174" s="3">
        <v>2016</v>
      </c>
      <c r="U174" s="7" t="s">
        <v>101</v>
      </c>
      <c r="V174" s="1" t="str">
        <f>IF(J174=S174,"Yes","")</f>
        <v>Yes</v>
      </c>
    </row>
    <row r="175" spans="2:22">
      <c r="B175">
        <v>2017</v>
      </c>
      <c r="C175" t="s">
        <v>37</v>
      </c>
      <c r="D175">
        <v>3</v>
      </c>
      <c r="E175" t="s">
        <v>423</v>
      </c>
      <c r="F175" t="s">
        <v>230</v>
      </c>
      <c r="G175" t="s">
        <v>377</v>
      </c>
      <c r="H175" s="8" t="s">
        <v>4</v>
      </c>
      <c r="I175" s="8">
        <v>71</v>
      </c>
      <c r="J175" s="8">
        <v>7032328</v>
      </c>
    </row>
    <row r="176" spans="2:22">
      <c r="B176">
        <v>2017</v>
      </c>
      <c r="C176" t="s">
        <v>37</v>
      </c>
      <c r="D176">
        <v>4</v>
      </c>
      <c r="E176" t="s">
        <v>424</v>
      </c>
      <c r="F176" t="s">
        <v>230</v>
      </c>
      <c r="G176" t="s">
        <v>237</v>
      </c>
      <c r="H176" s="8" t="s">
        <v>4</v>
      </c>
      <c r="I176" s="8">
        <v>81</v>
      </c>
      <c r="J176" s="8">
        <v>6517898</v>
      </c>
    </row>
    <row r="177" spans="2:10">
      <c r="B177">
        <v>2017</v>
      </c>
      <c r="C177" t="s">
        <v>37</v>
      </c>
      <c r="D177">
        <v>5</v>
      </c>
      <c r="E177" t="s">
        <v>425</v>
      </c>
      <c r="F177" t="s">
        <v>230</v>
      </c>
      <c r="G177" t="s">
        <v>426</v>
      </c>
      <c r="H177" s="8" t="s">
        <v>4</v>
      </c>
      <c r="I177" s="8">
        <v>78</v>
      </c>
      <c r="J177" s="8">
        <v>7046448</v>
      </c>
    </row>
    <row r="178" spans="2:10">
      <c r="B178">
        <v>2018</v>
      </c>
      <c r="C178" t="s">
        <v>180</v>
      </c>
      <c r="D178">
        <v>1</v>
      </c>
      <c r="E178" t="s">
        <v>201</v>
      </c>
      <c r="F178" t="s">
        <v>230</v>
      </c>
      <c r="G178" t="s">
        <v>261</v>
      </c>
      <c r="H178" t="s">
        <v>20</v>
      </c>
      <c r="I178">
        <v>102</v>
      </c>
      <c r="J178" s="3">
        <v>22609</v>
      </c>
    </row>
    <row r="179" spans="2:10">
      <c r="B179">
        <v>2018</v>
      </c>
      <c r="C179" t="s">
        <v>180</v>
      </c>
      <c r="D179">
        <v>2</v>
      </c>
      <c r="E179" t="s">
        <v>202</v>
      </c>
      <c r="F179" t="s">
        <v>230</v>
      </c>
      <c r="G179" t="s">
        <v>261</v>
      </c>
      <c r="H179" t="s">
        <v>20</v>
      </c>
      <c r="I179">
        <v>58</v>
      </c>
      <c r="J179" s="5">
        <v>14181</v>
      </c>
    </row>
    <row r="180" spans="2:10">
      <c r="B180">
        <v>2018</v>
      </c>
      <c r="C180" t="s">
        <v>180</v>
      </c>
      <c r="D180">
        <v>3</v>
      </c>
      <c r="E180" t="s">
        <v>548</v>
      </c>
      <c r="F180" t="s">
        <v>230</v>
      </c>
      <c r="G180" t="s">
        <v>261</v>
      </c>
      <c r="H180" t="s">
        <v>20</v>
      </c>
      <c r="I180">
        <v>72</v>
      </c>
      <c r="J180" s="3" t="s">
        <v>48</v>
      </c>
    </row>
    <row r="181" spans="2:10">
      <c r="B181">
        <v>2018</v>
      </c>
      <c r="C181" t="s">
        <v>180</v>
      </c>
      <c r="D181">
        <v>4</v>
      </c>
      <c r="E181" t="s">
        <v>203</v>
      </c>
      <c r="F181" t="s">
        <v>549</v>
      </c>
      <c r="G181" t="s">
        <v>261</v>
      </c>
      <c r="H181" t="s">
        <v>20</v>
      </c>
      <c r="I181">
        <v>65</v>
      </c>
      <c r="J181" s="3">
        <v>7029505</v>
      </c>
    </row>
    <row r="182" spans="2:10">
      <c r="B182">
        <v>2018</v>
      </c>
      <c r="C182" t="s">
        <v>180</v>
      </c>
      <c r="D182">
        <v>5</v>
      </c>
      <c r="E182" t="s">
        <v>206</v>
      </c>
      <c r="F182" t="s">
        <v>230</v>
      </c>
      <c r="G182" t="s">
        <v>550</v>
      </c>
      <c r="H182" t="s">
        <v>2</v>
      </c>
      <c r="I182">
        <v>66</v>
      </c>
      <c r="J182" s="3">
        <v>7063694</v>
      </c>
    </row>
    <row r="183" spans="2:10">
      <c r="B183">
        <v>2018</v>
      </c>
      <c r="C183" t="s">
        <v>180</v>
      </c>
      <c r="D183">
        <v>6</v>
      </c>
      <c r="E183" t="s">
        <v>207</v>
      </c>
      <c r="F183" t="s">
        <v>551</v>
      </c>
      <c r="G183" t="s">
        <v>261</v>
      </c>
      <c r="H183" t="s">
        <v>2</v>
      </c>
      <c r="I183">
        <v>73</v>
      </c>
      <c r="J183" s="3">
        <v>7118356</v>
      </c>
    </row>
    <row r="184" spans="2:10">
      <c r="B184">
        <v>2018</v>
      </c>
      <c r="C184" t="s">
        <v>180</v>
      </c>
      <c r="D184">
        <v>7</v>
      </c>
      <c r="E184" t="s">
        <v>208</v>
      </c>
      <c r="F184" t="s">
        <v>230</v>
      </c>
      <c r="G184" t="s">
        <v>550</v>
      </c>
      <c r="H184" t="s">
        <v>2</v>
      </c>
      <c r="I184">
        <v>58</v>
      </c>
      <c r="J184" s="3">
        <v>7016161</v>
      </c>
    </row>
    <row r="185" spans="2:10">
      <c r="B185">
        <v>2018</v>
      </c>
      <c r="C185" t="s">
        <v>180</v>
      </c>
      <c r="D185">
        <v>8</v>
      </c>
      <c r="E185" t="s">
        <v>210</v>
      </c>
      <c r="F185" t="s">
        <v>230</v>
      </c>
      <c r="G185" t="s">
        <v>550</v>
      </c>
      <c r="H185" t="s">
        <v>7</v>
      </c>
      <c r="I185">
        <v>62</v>
      </c>
      <c r="J185" s="3">
        <v>7024758</v>
      </c>
    </row>
    <row r="186" spans="2:10">
      <c r="B186">
        <v>2018</v>
      </c>
      <c r="C186" t="s">
        <v>180</v>
      </c>
      <c r="D186">
        <v>9</v>
      </c>
      <c r="E186" t="s">
        <v>552</v>
      </c>
      <c r="F186" t="s">
        <v>230</v>
      </c>
      <c r="G186" t="s">
        <v>553</v>
      </c>
      <c r="H186" t="s">
        <v>7</v>
      </c>
      <c r="I186">
        <v>61</v>
      </c>
      <c r="J186" s="3">
        <v>3350395</v>
      </c>
    </row>
    <row r="187" spans="2:10">
      <c r="B187">
        <v>2018</v>
      </c>
      <c r="C187" t="s">
        <v>180</v>
      </c>
      <c r="D187">
        <v>10</v>
      </c>
      <c r="E187" t="s">
        <v>554</v>
      </c>
      <c r="F187" t="s">
        <v>555</v>
      </c>
      <c r="G187" t="s">
        <v>261</v>
      </c>
      <c r="H187" t="s">
        <v>4</v>
      </c>
      <c r="I187">
        <v>63</v>
      </c>
      <c r="J187" s="3">
        <v>7125088</v>
      </c>
    </row>
    <row r="188" spans="2:10">
      <c r="B188">
        <v>2018</v>
      </c>
      <c r="C188" t="s">
        <v>181</v>
      </c>
      <c r="D188">
        <v>1</v>
      </c>
      <c r="E188" t="s">
        <v>558</v>
      </c>
      <c r="F188" t="s">
        <v>559</v>
      </c>
      <c r="G188" t="s">
        <v>261</v>
      </c>
      <c r="H188" t="s">
        <v>21</v>
      </c>
      <c r="I188">
        <v>71</v>
      </c>
      <c r="J188" s="3">
        <v>7056332</v>
      </c>
    </row>
    <row r="189" spans="2:10">
      <c r="B189">
        <v>2018</v>
      </c>
      <c r="C189" t="s">
        <v>181</v>
      </c>
      <c r="D189">
        <v>2</v>
      </c>
      <c r="E189" t="s">
        <v>560</v>
      </c>
      <c r="F189" t="s">
        <v>205</v>
      </c>
      <c r="G189" t="s">
        <v>230</v>
      </c>
      <c r="H189" t="s">
        <v>18</v>
      </c>
      <c r="I189">
        <v>74</v>
      </c>
      <c r="J189" s="3">
        <v>15960</v>
      </c>
    </row>
    <row r="190" spans="2:10">
      <c r="B190">
        <v>2018</v>
      </c>
      <c r="C190" t="s">
        <v>181</v>
      </c>
      <c r="D190">
        <v>3</v>
      </c>
      <c r="E190" t="s">
        <v>24</v>
      </c>
      <c r="F190" t="s">
        <v>230</v>
      </c>
      <c r="G190" t="s">
        <v>230</v>
      </c>
      <c r="H190" t="s">
        <v>18</v>
      </c>
      <c r="I190">
        <v>68</v>
      </c>
      <c r="J190" s="3">
        <v>27817</v>
      </c>
    </row>
    <row r="191" spans="2:10">
      <c r="B191">
        <v>2018</v>
      </c>
      <c r="C191" t="s">
        <v>181</v>
      </c>
      <c r="D191">
        <v>4</v>
      </c>
      <c r="E191" t="s">
        <v>561</v>
      </c>
      <c r="F191" t="s">
        <v>562</v>
      </c>
      <c r="G191" t="s">
        <v>230</v>
      </c>
      <c r="H191" t="s">
        <v>18</v>
      </c>
      <c r="I191">
        <v>68</v>
      </c>
      <c r="J191" s="3">
        <v>43073</v>
      </c>
    </row>
    <row r="192" spans="2:10">
      <c r="B192">
        <v>2018</v>
      </c>
      <c r="C192" t="s">
        <v>181</v>
      </c>
      <c r="D192">
        <v>5</v>
      </c>
      <c r="E192" t="s">
        <v>563</v>
      </c>
      <c r="F192" t="s">
        <v>230</v>
      </c>
      <c r="G192" t="s">
        <v>261</v>
      </c>
      <c r="H192" t="s">
        <v>2</v>
      </c>
      <c r="I192">
        <v>71</v>
      </c>
      <c r="J192" s="3">
        <v>7128814</v>
      </c>
    </row>
    <row r="193" spans="2:22">
      <c r="B193">
        <v>2018</v>
      </c>
      <c r="C193" t="s">
        <v>181</v>
      </c>
      <c r="D193">
        <v>6</v>
      </c>
      <c r="E193" t="s">
        <v>564</v>
      </c>
      <c r="F193" t="s">
        <v>230</v>
      </c>
      <c r="G193" t="s">
        <v>565</v>
      </c>
      <c r="H193" t="s">
        <v>12</v>
      </c>
      <c r="I193">
        <v>57</v>
      </c>
      <c r="J193" s="5">
        <v>4490766</v>
      </c>
    </row>
    <row r="194" spans="2:22">
      <c r="B194">
        <v>2018</v>
      </c>
      <c r="C194" t="s">
        <v>181</v>
      </c>
      <c r="D194">
        <v>7</v>
      </c>
      <c r="E194" t="s">
        <v>566</v>
      </c>
      <c r="F194" t="s">
        <v>230</v>
      </c>
      <c r="G194" t="s">
        <v>567</v>
      </c>
      <c r="H194" t="s">
        <v>4</v>
      </c>
      <c r="I194">
        <v>68</v>
      </c>
      <c r="J194" s="3" t="s">
        <v>48</v>
      </c>
    </row>
    <row r="195" spans="2:22">
      <c r="B195">
        <v>2018</v>
      </c>
      <c r="C195" t="s">
        <v>181</v>
      </c>
      <c r="D195">
        <v>8</v>
      </c>
      <c r="E195" t="s">
        <v>568</v>
      </c>
      <c r="F195" t="s">
        <v>569</v>
      </c>
      <c r="G195" t="s">
        <v>565</v>
      </c>
      <c r="H195" t="s">
        <v>22</v>
      </c>
      <c r="I195">
        <v>84</v>
      </c>
      <c r="J195" s="3">
        <v>7063743</v>
      </c>
    </row>
    <row r="196" spans="2:22">
      <c r="B196">
        <v>2018</v>
      </c>
      <c r="C196" t="s">
        <v>181</v>
      </c>
      <c r="D196">
        <v>9</v>
      </c>
      <c r="E196" t="s">
        <v>25</v>
      </c>
      <c r="F196" t="s">
        <v>230</v>
      </c>
      <c r="G196" t="s">
        <v>230</v>
      </c>
      <c r="H196" t="s">
        <v>22</v>
      </c>
      <c r="I196">
        <v>77</v>
      </c>
      <c r="J196" s="3">
        <v>25400</v>
      </c>
    </row>
    <row r="197" spans="2:22">
      <c r="B197">
        <v>2018</v>
      </c>
      <c r="C197" t="s">
        <v>181</v>
      </c>
      <c r="D197">
        <v>10</v>
      </c>
      <c r="E197" t="s">
        <v>23</v>
      </c>
      <c r="F197" t="s">
        <v>230</v>
      </c>
      <c r="G197" t="s">
        <v>230</v>
      </c>
      <c r="H197" t="s">
        <v>22</v>
      </c>
      <c r="I197">
        <v>77</v>
      </c>
      <c r="J197" s="3">
        <v>23938</v>
      </c>
    </row>
    <row r="198" spans="2:22">
      <c r="B198">
        <v>2018</v>
      </c>
      <c r="C198" t="s">
        <v>38</v>
      </c>
      <c r="D198">
        <v>1</v>
      </c>
      <c r="E198" t="s">
        <v>427</v>
      </c>
      <c r="F198" t="s">
        <v>230</v>
      </c>
      <c r="G198" t="s">
        <v>428</v>
      </c>
      <c r="H198" s="8" t="s">
        <v>9</v>
      </c>
      <c r="I198" s="8">
        <v>81</v>
      </c>
      <c r="J198" s="8">
        <v>7089641</v>
      </c>
      <c r="M198" t="s">
        <v>164</v>
      </c>
      <c r="N198" t="s">
        <v>102</v>
      </c>
      <c r="O198" s="2" t="s">
        <v>12</v>
      </c>
      <c r="P198" s="2" t="s">
        <v>9</v>
      </c>
      <c r="Q198" s="3">
        <v>56</v>
      </c>
      <c r="R198" s="4" t="s">
        <v>78</v>
      </c>
      <c r="S198" s="5">
        <v>7089641</v>
      </c>
      <c r="T198" s="3">
        <v>2017</v>
      </c>
      <c r="U198" s="7" t="s">
        <v>103</v>
      </c>
      <c r="V198" s="1" t="str">
        <f>IF(J198=S198,"Yes","")</f>
        <v>Yes</v>
      </c>
    </row>
    <row r="199" spans="2:22">
      <c r="B199">
        <v>2018</v>
      </c>
      <c r="C199" t="s">
        <v>38</v>
      </c>
      <c r="D199">
        <v>2</v>
      </c>
      <c r="E199" t="s">
        <v>429</v>
      </c>
      <c r="F199" t="s">
        <v>230</v>
      </c>
      <c r="G199" t="s">
        <v>233</v>
      </c>
      <c r="H199" s="8" t="s">
        <v>4</v>
      </c>
      <c r="I199" s="8">
        <v>101</v>
      </c>
      <c r="J199" s="8">
        <v>7054720</v>
      </c>
    </row>
    <row r="200" spans="2:22">
      <c r="B200">
        <v>2018</v>
      </c>
      <c r="C200" t="s">
        <v>38</v>
      </c>
      <c r="D200">
        <v>3</v>
      </c>
      <c r="E200" t="s">
        <v>430</v>
      </c>
      <c r="F200" t="s">
        <v>230</v>
      </c>
      <c r="G200" t="s">
        <v>231</v>
      </c>
      <c r="H200" s="8" t="s">
        <v>4</v>
      </c>
      <c r="I200" s="8">
        <v>80</v>
      </c>
      <c r="J200" s="8">
        <v>6514035</v>
      </c>
      <c r="M200" t="s">
        <v>164</v>
      </c>
      <c r="N200" t="s">
        <v>104</v>
      </c>
      <c r="O200" s="2" t="s">
        <v>4</v>
      </c>
      <c r="P200" s="2" t="s">
        <v>4</v>
      </c>
      <c r="Q200" s="3">
        <v>82</v>
      </c>
      <c r="R200" s="3" t="s">
        <v>52</v>
      </c>
      <c r="S200" s="5">
        <v>6514035</v>
      </c>
      <c r="T200" s="3">
        <v>2012</v>
      </c>
      <c r="U200" s="3" t="s">
        <v>105</v>
      </c>
      <c r="V200" s="1" t="str">
        <f>IF(J200=S200,"Yes","")</f>
        <v>Yes</v>
      </c>
    </row>
    <row r="201" spans="2:22">
      <c r="B201">
        <v>2018</v>
      </c>
      <c r="C201" t="s">
        <v>38</v>
      </c>
      <c r="D201">
        <v>4</v>
      </c>
      <c r="E201" t="s">
        <v>431</v>
      </c>
      <c r="F201" t="s">
        <v>230</v>
      </c>
      <c r="G201" t="s">
        <v>432</v>
      </c>
      <c r="H201" s="8" t="s">
        <v>2</v>
      </c>
      <c r="I201" s="8">
        <v>74</v>
      </c>
      <c r="J201" s="8">
        <v>7065049</v>
      </c>
      <c r="M201" t="s">
        <v>164</v>
      </c>
      <c r="N201" t="s">
        <v>106</v>
      </c>
      <c r="O201" s="2" t="s">
        <v>2</v>
      </c>
      <c r="P201" s="2" t="s">
        <v>2</v>
      </c>
      <c r="Q201" s="3">
        <v>74</v>
      </c>
      <c r="R201" s="4" t="s">
        <v>52</v>
      </c>
      <c r="S201" s="5">
        <v>7065049</v>
      </c>
      <c r="T201" s="3">
        <v>2016</v>
      </c>
      <c r="U201" s="7" t="s">
        <v>107</v>
      </c>
      <c r="V201" s="1" t="str">
        <f>IF(J201=S201,"Yes","")</f>
        <v>Yes</v>
      </c>
    </row>
    <row r="202" spans="2:22">
      <c r="B202">
        <v>2018</v>
      </c>
      <c r="C202" t="s">
        <v>38</v>
      </c>
      <c r="D202">
        <v>5</v>
      </c>
      <c r="E202" t="s">
        <v>433</v>
      </c>
      <c r="F202" t="s">
        <v>230</v>
      </c>
      <c r="G202" t="s">
        <v>434</v>
      </c>
      <c r="H202" s="8" t="s">
        <v>26</v>
      </c>
      <c r="I202" s="8">
        <v>75</v>
      </c>
      <c r="J202" s="8">
        <v>7051507</v>
      </c>
      <c r="M202" t="s">
        <v>164</v>
      </c>
      <c r="N202" t="s">
        <v>77</v>
      </c>
      <c r="O202" s="2" t="s">
        <v>2</v>
      </c>
      <c r="P202" s="2" t="s">
        <v>26</v>
      </c>
      <c r="Q202" s="3">
        <v>74</v>
      </c>
      <c r="R202" s="4" t="s">
        <v>52</v>
      </c>
      <c r="S202" s="5">
        <v>7051507</v>
      </c>
      <c r="T202" s="3">
        <v>2015</v>
      </c>
      <c r="U202" s="7" t="s">
        <v>79</v>
      </c>
      <c r="V202" s="1" t="str">
        <f>IF(J202=S202,"Yes","")</f>
        <v>Yes</v>
      </c>
    </row>
    <row r="203" spans="2:22">
      <c r="B203">
        <v>2018</v>
      </c>
      <c r="C203" t="s">
        <v>39</v>
      </c>
      <c r="D203">
        <v>1</v>
      </c>
      <c r="E203" t="s">
        <v>435</v>
      </c>
      <c r="F203" t="s">
        <v>230</v>
      </c>
      <c r="G203" t="s">
        <v>261</v>
      </c>
      <c r="H203" s="8" t="s">
        <v>2</v>
      </c>
      <c r="I203" s="8">
        <v>76</v>
      </c>
      <c r="J203" s="8">
        <v>7107554</v>
      </c>
    </row>
    <row r="204" spans="2:22">
      <c r="B204">
        <v>2018</v>
      </c>
      <c r="C204" t="s">
        <v>39</v>
      </c>
      <c r="D204">
        <v>2</v>
      </c>
      <c r="E204" t="s">
        <v>436</v>
      </c>
      <c r="F204" t="s">
        <v>230</v>
      </c>
      <c r="G204" t="s">
        <v>434</v>
      </c>
      <c r="H204" s="8" t="s">
        <v>18</v>
      </c>
      <c r="I204" s="8">
        <v>86</v>
      </c>
      <c r="J204" s="8">
        <v>7067555</v>
      </c>
      <c r="M204" t="s">
        <v>164</v>
      </c>
      <c r="N204" t="s">
        <v>177</v>
      </c>
      <c r="O204" s="2" t="s">
        <v>15</v>
      </c>
      <c r="P204" s="2" t="s">
        <v>18</v>
      </c>
      <c r="Q204" s="3">
        <v>86</v>
      </c>
      <c r="R204" s="3" t="s">
        <v>52</v>
      </c>
      <c r="S204" s="5">
        <v>7067555</v>
      </c>
      <c r="T204" s="3">
        <v>2016</v>
      </c>
      <c r="U204" s="7" t="s">
        <v>178</v>
      </c>
      <c r="V204" s="1" t="str">
        <f>IF(J204=S204,"Yes","")</f>
        <v>Yes</v>
      </c>
    </row>
    <row r="205" spans="2:22">
      <c r="B205">
        <v>2018</v>
      </c>
      <c r="C205" t="s">
        <v>39</v>
      </c>
      <c r="D205">
        <v>3</v>
      </c>
      <c r="E205" t="s">
        <v>437</v>
      </c>
      <c r="F205" t="s">
        <v>230</v>
      </c>
      <c r="G205" t="s">
        <v>233</v>
      </c>
      <c r="H205" s="8" t="s">
        <v>21</v>
      </c>
      <c r="I205" s="8">
        <v>72</v>
      </c>
      <c r="J205" s="8">
        <v>7106807</v>
      </c>
      <c r="M205" t="s">
        <v>164</v>
      </c>
      <c r="N205" t="s">
        <v>108</v>
      </c>
      <c r="O205" s="2" t="s">
        <v>20</v>
      </c>
      <c r="P205" s="2" t="s">
        <v>21</v>
      </c>
      <c r="Q205" s="3">
        <v>72</v>
      </c>
      <c r="R205" s="3" t="s">
        <v>52</v>
      </c>
      <c r="S205" s="5">
        <v>7106807</v>
      </c>
      <c r="T205" s="3">
        <v>2017</v>
      </c>
      <c r="U205" s="7" t="s">
        <v>109</v>
      </c>
      <c r="V205" s="1" t="str">
        <f>IF(J205=S205,"Yes","")</f>
        <v>Yes</v>
      </c>
    </row>
    <row r="206" spans="2:22">
      <c r="B206">
        <v>2018</v>
      </c>
      <c r="C206" t="s">
        <v>39</v>
      </c>
      <c r="D206">
        <v>4</v>
      </c>
      <c r="E206" t="s">
        <v>438</v>
      </c>
      <c r="F206" t="s">
        <v>230</v>
      </c>
      <c r="G206" t="s">
        <v>231</v>
      </c>
      <c r="H206" s="8" t="s">
        <v>9</v>
      </c>
      <c r="I206" s="8">
        <v>86</v>
      </c>
      <c r="J206" s="8">
        <v>7102401</v>
      </c>
      <c r="M206" t="s">
        <v>164</v>
      </c>
      <c r="N206" t="s">
        <v>64</v>
      </c>
      <c r="O206" s="2" t="s">
        <v>15</v>
      </c>
      <c r="P206" s="2" t="s">
        <v>15</v>
      </c>
      <c r="Q206" s="3">
        <v>58</v>
      </c>
      <c r="R206" s="4" t="s">
        <v>78</v>
      </c>
      <c r="S206" s="5">
        <v>7102401</v>
      </c>
      <c r="T206" s="3">
        <v>2017</v>
      </c>
      <c r="U206" s="3" t="s">
        <v>53</v>
      </c>
      <c r="V206" s="1" t="str">
        <f>IF(J206=S206,"Yes","")</f>
        <v>Yes</v>
      </c>
    </row>
    <row r="207" spans="2:22">
      <c r="B207">
        <v>2018</v>
      </c>
      <c r="C207" t="s">
        <v>39</v>
      </c>
      <c r="D207">
        <v>5</v>
      </c>
      <c r="E207" t="s">
        <v>439</v>
      </c>
      <c r="F207" t="s">
        <v>230</v>
      </c>
      <c r="G207" t="s">
        <v>237</v>
      </c>
      <c r="H207" s="8" t="s">
        <v>4</v>
      </c>
      <c r="I207" s="8">
        <v>75</v>
      </c>
      <c r="J207" s="8">
        <v>7060709</v>
      </c>
    </row>
    <row r="208" spans="2:22">
      <c r="B208">
        <v>2018</v>
      </c>
      <c r="C208" t="s">
        <v>39</v>
      </c>
      <c r="D208">
        <v>6</v>
      </c>
      <c r="E208" t="s">
        <v>440</v>
      </c>
      <c r="F208" t="s">
        <v>441</v>
      </c>
      <c r="G208" t="s">
        <v>405</v>
      </c>
      <c r="H208" s="8" t="s">
        <v>4</v>
      </c>
      <c r="I208" s="8">
        <v>74</v>
      </c>
      <c r="J208" s="8">
        <v>7068430</v>
      </c>
    </row>
    <row r="209" spans="2:22">
      <c r="B209">
        <v>2018</v>
      </c>
      <c r="C209" t="s">
        <v>39</v>
      </c>
      <c r="D209">
        <v>7</v>
      </c>
      <c r="E209" t="s">
        <v>442</v>
      </c>
      <c r="F209" t="s">
        <v>443</v>
      </c>
      <c r="G209" t="s">
        <v>405</v>
      </c>
      <c r="H209" s="8" t="s">
        <v>15</v>
      </c>
      <c r="I209" s="8">
        <v>64</v>
      </c>
      <c r="J209" s="8">
        <v>7084123</v>
      </c>
      <c r="M209" t="s">
        <v>164</v>
      </c>
      <c r="N209" t="s">
        <v>110</v>
      </c>
      <c r="O209" s="2" t="s">
        <v>15</v>
      </c>
      <c r="P209" s="2" t="s">
        <v>15</v>
      </c>
      <c r="Q209" s="3">
        <v>64</v>
      </c>
      <c r="R209" s="4" t="s">
        <v>111</v>
      </c>
      <c r="S209" s="5">
        <v>7084123</v>
      </c>
      <c r="T209" s="3">
        <v>2017</v>
      </c>
      <c r="U209" s="3" t="s">
        <v>53</v>
      </c>
      <c r="V209" s="1" t="str">
        <f>IF(J209=S209,"Yes","")</f>
        <v>Yes</v>
      </c>
    </row>
    <row r="210" spans="2:22">
      <c r="B210">
        <v>2018</v>
      </c>
      <c r="C210" t="s">
        <v>39</v>
      </c>
      <c r="D210">
        <v>8</v>
      </c>
      <c r="E210" t="s">
        <v>444</v>
      </c>
      <c r="F210" t="s">
        <v>230</v>
      </c>
      <c r="G210" t="s">
        <v>237</v>
      </c>
      <c r="H210" s="8" t="s">
        <v>22</v>
      </c>
      <c r="I210" s="8">
        <v>71</v>
      </c>
      <c r="J210" s="8">
        <v>7017785</v>
      </c>
    </row>
    <row r="211" spans="2:22">
      <c r="B211">
        <v>2018</v>
      </c>
      <c r="C211" t="s">
        <v>39</v>
      </c>
      <c r="D211">
        <v>9</v>
      </c>
      <c r="E211" t="s">
        <v>445</v>
      </c>
      <c r="F211" t="s">
        <v>230</v>
      </c>
      <c r="G211" t="s">
        <v>231</v>
      </c>
      <c r="H211" s="8" t="s">
        <v>2</v>
      </c>
      <c r="I211" s="8">
        <v>122</v>
      </c>
      <c r="J211" s="8">
        <v>7068422</v>
      </c>
    </row>
    <row r="212" spans="2:22">
      <c r="B212">
        <v>2018</v>
      </c>
      <c r="C212" t="s">
        <v>39</v>
      </c>
      <c r="D212">
        <v>10</v>
      </c>
      <c r="E212" t="s">
        <v>446</v>
      </c>
      <c r="F212" t="s">
        <v>230</v>
      </c>
      <c r="G212" t="s">
        <v>447</v>
      </c>
      <c r="H212" s="8" t="s">
        <v>2</v>
      </c>
      <c r="I212" s="8">
        <v>78</v>
      </c>
      <c r="J212" s="8">
        <v>7060031</v>
      </c>
    </row>
    <row r="213" spans="2:22">
      <c r="B213">
        <v>2019</v>
      </c>
      <c r="C213" t="s">
        <v>182</v>
      </c>
      <c r="D213">
        <v>1</v>
      </c>
      <c r="E213" t="s">
        <v>200</v>
      </c>
      <c r="F213" t="s">
        <v>230</v>
      </c>
      <c r="G213" t="s">
        <v>230</v>
      </c>
    </row>
    <row r="214" spans="2:22">
      <c r="B214">
        <v>2019</v>
      </c>
      <c r="C214" t="s">
        <v>182</v>
      </c>
      <c r="D214">
        <v>2</v>
      </c>
      <c r="E214" t="s">
        <v>201</v>
      </c>
      <c r="F214" t="s">
        <v>230</v>
      </c>
      <c r="G214" t="s">
        <v>230</v>
      </c>
      <c r="K214" s="23" t="s">
        <v>184</v>
      </c>
    </row>
    <row r="215" spans="2:22">
      <c r="B215">
        <v>2019</v>
      </c>
      <c r="C215" t="s">
        <v>182</v>
      </c>
      <c r="D215">
        <v>3</v>
      </c>
      <c r="E215" t="s">
        <v>202</v>
      </c>
      <c r="F215" t="s">
        <v>230</v>
      </c>
      <c r="G215" t="s">
        <v>230</v>
      </c>
      <c r="K215" s="23" t="s">
        <v>184</v>
      </c>
    </row>
    <row r="216" spans="2:22">
      <c r="B216">
        <v>2019</v>
      </c>
      <c r="C216" t="s">
        <v>182</v>
      </c>
      <c r="D216">
        <v>4</v>
      </c>
      <c r="E216" t="s">
        <v>203</v>
      </c>
      <c r="F216" t="s">
        <v>230</v>
      </c>
      <c r="G216" t="s">
        <v>230</v>
      </c>
      <c r="K216" s="23" t="s">
        <v>184</v>
      </c>
    </row>
    <row r="217" spans="2:22">
      <c r="B217">
        <v>2019</v>
      </c>
      <c r="C217" t="s">
        <v>182</v>
      </c>
      <c r="D217">
        <v>5</v>
      </c>
      <c r="E217" t="s">
        <v>204</v>
      </c>
      <c r="F217" t="s">
        <v>230</v>
      </c>
      <c r="G217" t="s">
        <v>230</v>
      </c>
    </row>
    <row r="218" spans="2:22">
      <c r="B218">
        <v>2019</v>
      </c>
      <c r="C218" t="s">
        <v>182</v>
      </c>
      <c r="D218">
        <v>6</v>
      </c>
      <c r="E218" t="s">
        <v>205</v>
      </c>
      <c r="F218" t="s">
        <v>230</v>
      </c>
      <c r="G218" t="s">
        <v>230</v>
      </c>
    </row>
    <row r="219" spans="2:22">
      <c r="B219">
        <v>2019</v>
      </c>
      <c r="C219" t="s">
        <v>182</v>
      </c>
      <c r="D219">
        <v>7</v>
      </c>
      <c r="E219" t="s">
        <v>556</v>
      </c>
      <c r="F219" t="s">
        <v>557</v>
      </c>
      <c r="G219" t="s">
        <v>230</v>
      </c>
    </row>
    <row r="220" spans="2:22">
      <c r="B220">
        <v>2019</v>
      </c>
      <c r="C220" t="s">
        <v>182</v>
      </c>
      <c r="D220">
        <v>8</v>
      </c>
      <c r="E220" t="s">
        <v>206</v>
      </c>
      <c r="F220" t="s">
        <v>230</v>
      </c>
      <c r="G220" t="s">
        <v>230</v>
      </c>
      <c r="K220" s="23" t="s">
        <v>184</v>
      </c>
    </row>
    <row r="221" spans="2:22">
      <c r="B221">
        <v>2019</v>
      </c>
      <c r="C221" t="s">
        <v>182</v>
      </c>
      <c r="D221">
        <v>9</v>
      </c>
      <c r="E221" t="s">
        <v>207</v>
      </c>
      <c r="F221" t="s">
        <v>230</v>
      </c>
      <c r="G221" t="s">
        <v>230</v>
      </c>
      <c r="K221" s="23" t="s">
        <v>184</v>
      </c>
    </row>
    <row r="222" spans="2:22">
      <c r="B222">
        <v>2019</v>
      </c>
      <c r="C222" t="s">
        <v>182</v>
      </c>
      <c r="D222">
        <v>10</v>
      </c>
      <c r="E222" t="s">
        <v>208</v>
      </c>
      <c r="F222" t="s">
        <v>230</v>
      </c>
      <c r="G222" t="s">
        <v>230</v>
      </c>
      <c r="K222" s="23" t="s">
        <v>184</v>
      </c>
    </row>
    <row r="223" spans="2:22">
      <c r="B223">
        <v>2019</v>
      </c>
      <c r="C223" t="s">
        <v>182</v>
      </c>
      <c r="D223">
        <v>11</v>
      </c>
      <c r="E223" t="s">
        <v>209</v>
      </c>
      <c r="F223" t="s">
        <v>230</v>
      </c>
      <c r="G223" t="s">
        <v>230</v>
      </c>
      <c r="K223" s="23" t="s">
        <v>184</v>
      </c>
    </row>
    <row r="224" spans="2:22">
      <c r="B224">
        <v>2019</v>
      </c>
      <c r="C224" t="s">
        <v>182</v>
      </c>
      <c r="D224">
        <v>12</v>
      </c>
      <c r="E224" t="s">
        <v>210</v>
      </c>
      <c r="F224" t="s">
        <v>230</v>
      </c>
      <c r="G224" t="s">
        <v>230</v>
      </c>
    </row>
    <row r="225" spans="2:22">
      <c r="B225">
        <v>2019</v>
      </c>
      <c r="C225" t="s">
        <v>182</v>
      </c>
      <c r="D225">
        <v>13</v>
      </c>
      <c r="E225" t="s">
        <v>211</v>
      </c>
      <c r="F225" t="s">
        <v>230</v>
      </c>
      <c r="G225" t="s">
        <v>230</v>
      </c>
    </row>
    <row r="226" spans="2:22">
      <c r="B226">
        <v>2019</v>
      </c>
      <c r="C226" t="s">
        <v>195</v>
      </c>
      <c r="D226">
        <v>1</v>
      </c>
      <c r="E226" t="s">
        <v>580</v>
      </c>
      <c r="F226" t="s">
        <v>581</v>
      </c>
      <c r="G226" t="s">
        <v>230</v>
      </c>
    </row>
    <row r="227" spans="2:22">
      <c r="B227">
        <v>2019</v>
      </c>
      <c r="C227" t="s">
        <v>195</v>
      </c>
      <c r="D227">
        <v>2</v>
      </c>
      <c r="E227" t="s">
        <v>582</v>
      </c>
      <c r="F227" t="s">
        <v>581</v>
      </c>
      <c r="G227" t="s">
        <v>230</v>
      </c>
      <c r="K227" s="23" t="s">
        <v>184</v>
      </c>
    </row>
    <row r="228" spans="2:22">
      <c r="B228">
        <v>2019</v>
      </c>
      <c r="C228" t="s">
        <v>195</v>
      </c>
      <c r="D228">
        <v>3</v>
      </c>
      <c r="E228" t="s">
        <v>573</v>
      </c>
      <c r="F228" t="s">
        <v>581</v>
      </c>
      <c r="G228" t="s">
        <v>230</v>
      </c>
      <c r="K228" s="23" t="s">
        <v>184</v>
      </c>
    </row>
    <row r="229" spans="2:22">
      <c r="B229">
        <v>2019</v>
      </c>
      <c r="C229" t="s">
        <v>195</v>
      </c>
      <c r="D229">
        <v>4</v>
      </c>
      <c r="E229" t="s">
        <v>571</v>
      </c>
      <c r="F229" t="s">
        <v>581</v>
      </c>
      <c r="G229" t="s">
        <v>230</v>
      </c>
      <c r="K229" s="23" t="s">
        <v>184</v>
      </c>
    </row>
    <row r="230" spans="2:22">
      <c r="B230">
        <v>2019</v>
      </c>
      <c r="C230" t="s">
        <v>195</v>
      </c>
      <c r="D230">
        <v>5</v>
      </c>
      <c r="E230" t="s">
        <v>572</v>
      </c>
      <c r="F230" t="s">
        <v>581</v>
      </c>
      <c r="G230" t="s">
        <v>230</v>
      </c>
      <c r="K230" s="23" t="s">
        <v>184</v>
      </c>
    </row>
    <row r="231" spans="2:22">
      <c r="B231">
        <v>2019</v>
      </c>
      <c r="C231" t="s">
        <v>40</v>
      </c>
      <c r="D231">
        <v>1</v>
      </c>
      <c r="E231" t="s">
        <v>448</v>
      </c>
      <c r="F231" t="s">
        <v>230</v>
      </c>
      <c r="G231" t="s">
        <v>419</v>
      </c>
      <c r="H231" s="8" t="s">
        <v>22</v>
      </c>
      <c r="I231" s="8">
        <v>63</v>
      </c>
      <c r="J231" s="8">
        <v>7117726</v>
      </c>
    </row>
    <row r="232" spans="2:22">
      <c r="B232">
        <v>2019</v>
      </c>
      <c r="C232" t="s">
        <v>40</v>
      </c>
      <c r="D232">
        <v>2</v>
      </c>
      <c r="E232" t="s">
        <v>449</v>
      </c>
      <c r="F232" t="s">
        <v>230</v>
      </c>
      <c r="G232" t="s">
        <v>400</v>
      </c>
      <c r="H232" s="8" t="s">
        <v>22</v>
      </c>
      <c r="I232" s="8">
        <v>90.5</v>
      </c>
      <c r="J232" s="8">
        <v>7033417</v>
      </c>
    </row>
    <row r="233" spans="2:22">
      <c r="B233">
        <v>2019</v>
      </c>
      <c r="C233" t="s">
        <v>40</v>
      </c>
      <c r="D233">
        <v>3</v>
      </c>
      <c r="E233" t="s">
        <v>450</v>
      </c>
      <c r="F233" t="s">
        <v>230</v>
      </c>
      <c r="G233" t="s">
        <v>451</v>
      </c>
      <c r="H233" s="8" t="s">
        <v>12</v>
      </c>
      <c r="I233" s="8">
        <v>67</v>
      </c>
      <c r="J233" s="8">
        <v>7104907</v>
      </c>
    </row>
    <row r="234" spans="2:22">
      <c r="B234">
        <v>2019</v>
      </c>
      <c r="C234" t="s">
        <v>40</v>
      </c>
      <c r="D234">
        <v>4</v>
      </c>
      <c r="E234" t="s">
        <v>452</v>
      </c>
      <c r="F234" t="s">
        <v>230</v>
      </c>
      <c r="G234" t="s">
        <v>453</v>
      </c>
      <c r="H234" s="8" t="s">
        <v>12</v>
      </c>
      <c r="I234" s="8">
        <v>74</v>
      </c>
      <c r="J234" s="8">
        <v>7080403</v>
      </c>
    </row>
    <row r="235" spans="2:22">
      <c r="B235">
        <v>2019</v>
      </c>
      <c r="C235" t="s">
        <v>40</v>
      </c>
      <c r="D235">
        <v>5</v>
      </c>
      <c r="E235" t="s">
        <v>454</v>
      </c>
      <c r="F235" t="s">
        <v>230</v>
      </c>
      <c r="G235" t="s">
        <v>455</v>
      </c>
      <c r="H235" s="8" t="s">
        <v>12</v>
      </c>
      <c r="I235" s="8">
        <v>70</v>
      </c>
      <c r="J235" s="8">
        <v>7100876</v>
      </c>
    </row>
    <row r="236" spans="2:22">
      <c r="B236">
        <v>2019</v>
      </c>
      <c r="C236" t="s">
        <v>40</v>
      </c>
      <c r="D236">
        <v>6</v>
      </c>
      <c r="E236" t="s">
        <v>280</v>
      </c>
      <c r="F236" t="s">
        <v>230</v>
      </c>
      <c r="G236" t="s">
        <v>456</v>
      </c>
      <c r="H236" s="8" t="s">
        <v>12</v>
      </c>
      <c r="I236" s="8">
        <v>65</v>
      </c>
      <c r="J236" s="8">
        <v>7021972</v>
      </c>
      <c r="M236" t="s">
        <v>164</v>
      </c>
      <c r="N236" t="s">
        <v>112</v>
      </c>
      <c r="O236" s="2" t="s">
        <v>0</v>
      </c>
      <c r="P236" s="2" t="s">
        <v>0</v>
      </c>
      <c r="Q236" s="3">
        <v>65</v>
      </c>
      <c r="R236" s="3" t="s">
        <v>113</v>
      </c>
      <c r="S236" s="5">
        <v>7021972</v>
      </c>
      <c r="T236" s="3">
        <v>2013</v>
      </c>
      <c r="U236" s="3" t="s">
        <v>81</v>
      </c>
      <c r="V236" s="1" t="str">
        <f>IF(J236=S236,"Yes","")</f>
        <v>Yes</v>
      </c>
    </row>
    <row r="237" spans="2:22">
      <c r="B237">
        <v>2019</v>
      </c>
      <c r="C237" t="s">
        <v>40</v>
      </c>
      <c r="D237">
        <v>7</v>
      </c>
      <c r="E237" t="s">
        <v>457</v>
      </c>
      <c r="F237" t="s">
        <v>230</v>
      </c>
      <c r="G237" t="s">
        <v>458</v>
      </c>
      <c r="H237" s="8" t="s">
        <v>12</v>
      </c>
      <c r="I237" s="8">
        <v>71</v>
      </c>
      <c r="J237" s="8">
        <v>7006188</v>
      </c>
    </row>
    <row r="238" spans="2:22">
      <c r="B238">
        <v>2019</v>
      </c>
      <c r="C238" t="s">
        <v>40</v>
      </c>
      <c r="D238">
        <v>8</v>
      </c>
      <c r="E238" t="s">
        <v>459</v>
      </c>
      <c r="F238" t="s">
        <v>230</v>
      </c>
      <c r="G238" t="s">
        <v>231</v>
      </c>
      <c r="H238" s="8" t="s">
        <v>2</v>
      </c>
      <c r="I238" s="8">
        <v>70</v>
      </c>
      <c r="J238" s="8">
        <v>7102397</v>
      </c>
      <c r="M238" t="s">
        <v>164</v>
      </c>
      <c r="N238" t="s">
        <v>114</v>
      </c>
      <c r="O238" s="2" t="s">
        <v>15</v>
      </c>
      <c r="P238" s="2" t="s">
        <v>18</v>
      </c>
      <c r="Q238" s="3">
        <v>77</v>
      </c>
      <c r="R238" s="4" t="s">
        <v>52</v>
      </c>
      <c r="S238" s="5">
        <v>7102397</v>
      </c>
      <c r="T238" s="3">
        <v>2017</v>
      </c>
      <c r="U238" s="3" t="s">
        <v>53</v>
      </c>
      <c r="V238" s="1" t="str">
        <f>IF(J238=S238,"Yes","")</f>
        <v>Yes</v>
      </c>
    </row>
    <row r="239" spans="2:22">
      <c r="B239">
        <v>2019</v>
      </c>
      <c r="C239" t="s">
        <v>40</v>
      </c>
      <c r="D239">
        <v>9</v>
      </c>
      <c r="E239" t="s">
        <v>460</v>
      </c>
      <c r="F239" t="s">
        <v>230</v>
      </c>
      <c r="G239" t="s">
        <v>461</v>
      </c>
      <c r="H239" s="8" t="s">
        <v>2</v>
      </c>
      <c r="I239" s="8">
        <v>58</v>
      </c>
      <c r="J239" s="8">
        <v>7004369</v>
      </c>
    </row>
    <row r="240" spans="2:22">
      <c r="B240">
        <v>2019</v>
      </c>
      <c r="C240" t="s">
        <v>40</v>
      </c>
      <c r="D240">
        <v>10</v>
      </c>
      <c r="E240" t="s">
        <v>462</v>
      </c>
      <c r="F240" t="s">
        <v>230</v>
      </c>
      <c r="G240" t="s">
        <v>237</v>
      </c>
      <c r="H240" s="8" t="s">
        <v>20</v>
      </c>
      <c r="I240" s="8">
        <v>72</v>
      </c>
      <c r="J240" s="8">
        <v>7078152</v>
      </c>
    </row>
    <row r="241" spans="2:22">
      <c r="B241">
        <v>2019</v>
      </c>
      <c r="C241" t="s">
        <v>40</v>
      </c>
      <c r="D241">
        <v>11</v>
      </c>
      <c r="E241" t="s">
        <v>463</v>
      </c>
      <c r="F241" t="s">
        <v>230</v>
      </c>
      <c r="G241" t="s">
        <v>464</v>
      </c>
      <c r="H241" s="8" t="s">
        <v>7</v>
      </c>
      <c r="I241" s="8">
        <v>70</v>
      </c>
      <c r="J241" s="8">
        <v>7081764</v>
      </c>
    </row>
    <row r="242" spans="2:22">
      <c r="B242">
        <v>2019</v>
      </c>
      <c r="C242" t="s">
        <v>40</v>
      </c>
      <c r="D242">
        <v>12</v>
      </c>
      <c r="E242" t="s">
        <v>465</v>
      </c>
      <c r="F242" t="s">
        <v>230</v>
      </c>
      <c r="G242" t="s">
        <v>231</v>
      </c>
      <c r="H242" s="8" t="s">
        <v>7</v>
      </c>
      <c r="I242" s="8">
        <v>70.5</v>
      </c>
      <c r="J242" s="8">
        <v>7019974</v>
      </c>
      <c r="M242" t="s">
        <v>164</v>
      </c>
      <c r="N242" t="s">
        <v>115</v>
      </c>
      <c r="O242" s="2" t="s">
        <v>0</v>
      </c>
      <c r="P242" s="2" t="s">
        <v>0</v>
      </c>
      <c r="Q242" s="3">
        <v>70</v>
      </c>
      <c r="R242" s="3" t="s">
        <v>52</v>
      </c>
      <c r="S242" s="5">
        <v>7019974</v>
      </c>
      <c r="T242" s="3">
        <v>2014</v>
      </c>
      <c r="U242" s="7" t="s">
        <v>53</v>
      </c>
      <c r="V242" s="1" t="str">
        <f>IF(J242=S242,"Yes","")</f>
        <v>Yes</v>
      </c>
    </row>
    <row r="243" spans="2:22">
      <c r="B243">
        <v>2020</v>
      </c>
      <c r="C243" t="s">
        <v>41</v>
      </c>
      <c r="D243">
        <v>1</v>
      </c>
      <c r="E243" t="s">
        <v>466</v>
      </c>
      <c r="F243" t="s">
        <v>230</v>
      </c>
      <c r="G243" t="s">
        <v>379</v>
      </c>
      <c r="H243" s="8" t="s">
        <v>2</v>
      </c>
      <c r="I243" s="8">
        <v>74</v>
      </c>
      <c r="J243" s="8">
        <v>7097216</v>
      </c>
    </row>
    <row r="244" spans="2:22">
      <c r="B244">
        <v>2020</v>
      </c>
      <c r="C244" t="s">
        <v>41</v>
      </c>
      <c r="D244">
        <v>2</v>
      </c>
      <c r="E244" t="s">
        <v>467</v>
      </c>
      <c r="F244" t="s">
        <v>230</v>
      </c>
      <c r="G244" t="s">
        <v>468</v>
      </c>
      <c r="H244" s="8" t="s">
        <v>4</v>
      </c>
      <c r="I244" s="8">
        <v>73</v>
      </c>
      <c r="J244" s="8">
        <v>7121852</v>
      </c>
      <c r="M244" t="s">
        <v>164</v>
      </c>
      <c r="N244" t="s">
        <v>116</v>
      </c>
      <c r="O244" s="2" t="s">
        <v>2</v>
      </c>
      <c r="P244" s="2" t="s">
        <v>2</v>
      </c>
      <c r="Q244" s="3">
        <v>75</v>
      </c>
      <c r="R244" s="4" t="s">
        <v>52</v>
      </c>
      <c r="S244" s="5">
        <v>7121852</v>
      </c>
      <c r="T244" s="3">
        <v>2018</v>
      </c>
      <c r="U244" s="7" t="s">
        <v>117</v>
      </c>
      <c r="V244" s="1" t="str">
        <f>IF(J244=S244,"Yes","")</f>
        <v>Yes</v>
      </c>
    </row>
    <row r="245" spans="2:22">
      <c r="B245">
        <v>2020</v>
      </c>
      <c r="C245" t="s">
        <v>41</v>
      </c>
      <c r="D245">
        <v>3</v>
      </c>
      <c r="E245" t="s">
        <v>469</v>
      </c>
      <c r="F245" t="s">
        <v>230</v>
      </c>
      <c r="G245" t="s">
        <v>233</v>
      </c>
      <c r="H245" s="8" t="s">
        <v>2</v>
      </c>
      <c r="I245" s="8">
        <v>74</v>
      </c>
      <c r="J245" s="8">
        <v>7076958</v>
      </c>
    </row>
    <row r="246" spans="2:22">
      <c r="B246">
        <v>2020</v>
      </c>
      <c r="C246" t="s">
        <v>41</v>
      </c>
      <c r="D246">
        <v>4</v>
      </c>
      <c r="E246" t="s">
        <v>470</v>
      </c>
      <c r="F246" t="s">
        <v>230</v>
      </c>
      <c r="G246" t="s">
        <v>405</v>
      </c>
      <c r="H246" s="8" t="s">
        <v>2</v>
      </c>
      <c r="I246" s="8">
        <v>68</v>
      </c>
      <c r="J246" s="8">
        <v>7127647</v>
      </c>
      <c r="M246" t="s">
        <v>164</v>
      </c>
      <c r="N246" t="s">
        <v>118</v>
      </c>
      <c r="O246" s="2" t="s">
        <v>20</v>
      </c>
      <c r="P246" s="2" t="s">
        <v>20</v>
      </c>
      <c r="Q246" s="3">
        <v>68</v>
      </c>
      <c r="R246" s="4" t="s">
        <v>52</v>
      </c>
      <c r="S246" s="5">
        <v>7127647</v>
      </c>
      <c r="T246" s="3">
        <v>2019</v>
      </c>
      <c r="U246" s="7" t="s">
        <v>53</v>
      </c>
      <c r="V246" s="1" t="str">
        <f>IF(J246=S246,"Yes","")</f>
        <v>Yes</v>
      </c>
    </row>
    <row r="247" spans="2:22">
      <c r="B247">
        <v>2020</v>
      </c>
      <c r="C247" t="s">
        <v>41</v>
      </c>
      <c r="D247">
        <v>5</v>
      </c>
      <c r="E247" t="s">
        <v>471</v>
      </c>
      <c r="F247" t="s">
        <v>230</v>
      </c>
      <c r="G247" t="s">
        <v>472</v>
      </c>
      <c r="H247" s="8" t="s">
        <v>12</v>
      </c>
      <c r="I247" s="8">
        <v>80</v>
      </c>
      <c r="J247" s="8">
        <v>7120418</v>
      </c>
    </row>
    <row r="248" spans="2:22">
      <c r="B248">
        <v>2020</v>
      </c>
      <c r="C248" t="s">
        <v>41</v>
      </c>
      <c r="D248">
        <v>6</v>
      </c>
      <c r="E248" t="s">
        <v>473</v>
      </c>
      <c r="F248" t="s">
        <v>230</v>
      </c>
      <c r="G248" t="s">
        <v>474</v>
      </c>
      <c r="H248" s="8" t="s">
        <v>4</v>
      </c>
      <c r="I248" s="8">
        <v>72</v>
      </c>
      <c r="J248" s="8">
        <v>7107821</v>
      </c>
    </row>
    <row r="249" spans="2:22">
      <c r="B249">
        <v>2020</v>
      </c>
      <c r="C249" t="s">
        <v>41</v>
      </c>
      <c r="D249">
        <v>7</v>
      </c>
      <c r="E249" t="s">
        <v>475</v>
      </c>
      <c r="F249" t="s">
        <v>476</v>
      </c>
      <c r="G249" t="s">
        <v>477</v>
      </c>
      <c r="H249" s="8" t="s">
        <v>18</v>
      </c>
      <c r="I249" s="8">
        <v>80</v>
      </c>
      <c r="J249" s="8">
        <v>7089024</v>
      </c>
    </row>
    <row r="250" spans="2:22">
      <c r="B250">
        <v>2020</v>
      </c>
      <c r="C250" t="s">
        <v>41</v>
      </c>
      <c r="D250">
        <v>8</v>
      </c>
      <c r="E250" t="s">
        <v>478</v>
      </c>
      <c r="F250" t="s">
        <v>230</v>
      </c>
      <c r="G250" t="s">
        <v>479</v>
      </c>
      <c r="H250" s="8" t="s">
        <v>2</v>
      </c>
      <c r="I250" s="8">
        <v>75</v>
      </c>
      <c r="J250" s="8">
        <v>7105442</v>
      </c>
    </row>
    <row r="251" spans="2:22">
      <c r="B251">
        <v>2020</v>
      </c>
      <c r="C251" t="s">
        <v>41</v>
      </c>
      <c r="D251">
        <v>9</v>
      </c>
      <c r="E251" t="s">
        <v>480</v>
      </c>
      <c r="F251" t="s">
        <v>230</v>
      </c>
      <c r="G251" t="s">
        <v>350</v>
      </c>
      <c r="H251" s="8" t="s">
        <v>2</v>
      </c>
      <c r="I251" s="8">
        <v>75</v>
      </c>
      <c r="J251" s="8">
        <v>7107551</v>
      </c>
      <c r="M251" t="s">
        <v>164</v>
      </c>
      <c r="N251" t="s">
        <v>119</v>
      </c>
      <c r="O251" s="2" t="s">
        <v>20</v>
      </c>
      <c r="P251" s="2" t="s">
        <v>20</v>
      </c>
      <c r="Q251" s="3">
        <v>75</v>
      </c>
      <c r="R251" s="3" t="s">
        <v>52</v>
      </c>
      <c r="S251" s="5">
        <v>7107551</v>
      </c>
      <c r="T251" s="3">
        <v>2018</v>
      </c>
      <c r="U251" s="7" t="s">
        <v>120</v>
      </c>
      <c r="V251" s="1" t="str">
        <f>IF(J251=S251,"Yes","")</f>
        <v>Yes</v>
      </c>
    </row>
    <row r="252" spans="2:22">
      <c r="B252">
        <v>2020</v>
      </c>
      <c r="C252" t="s">
        <v>41</v>
      </c>
      <c r="D252">
        <v>10</v>
      </c>
      <c r="E252" t="s">
        <v>481</v>
      </c>
      <c r="F252" t="s">
        <v>230</v>
      </c>
      <c r="G252" t="s">
        <v>233</v>
      </c>
      <c r="H252" s="8" t="s">
        <v>4</v>
      </c>
      <c r="I252" s="8">
        <v>102</v>
      </c>
      <c r="J252" s="8">
        <v>7076958</v>
      </c>
    </row>
    <row r="253" spans="2:22">
      <c r="B253">
        <v>2020</v>
      </c>
      <c r="C253" t="s">
        <v>42</v>
      </c>
      <c r="D253">
        <v>1</v>
      </c>
      <c r="E253" t="s">
        <v>482</v>
      </c>
      <c r="F253" t="s">
        <v>230</v>
      </c>
      <c r="G253" t="s">
        <v>366</v>
      </c>
      <c r="H253" s="8" t="s">
        <v>2</v>
      </c>
      <c r="I253" s="8">
        <v>67</v>
      </c>
      <c r="J253" s="8">
        <v>7124907</v>
      </c>
      <c r="M253" t="s">
        <v>164</v>
      </c>
      <c r="N253" t="s">
        <v>121</v>
      </c>
      <c r="O253" s="2" t="s">
        <v>2</v>
      </c>
      <c r="P253" s="2" t="s">
        <v>2</v>
      </c>
      <c r="Q253" s="3">
        <v>67</v>
      </c>
      <c r="R253" s="4" t="s">
        <v>52</v>
      </c>
      <c r="S253" s="5">
        <v>7124907</v>
      </c>
      <c r="T253" s="3">
        <v>2018</v>
      </c>
      <c r="U253" s="7" t="s">
        <v>53</v>
      </c>
      <c r="V253" s="1" t="str">
        <f>IF(J253=S253,"Yes","")</f>
        <v>Yes</v>
      </c>
    </row>
    <row r="254" spans="2:22">
      <c r="B254">
        <v>2020</v>
      </c>
      <c r="C254" t="s">
        <v>42</v>
      </c>
      <c r="D254">
        <v>2</v>
      </c>
      <c r="E254" t="s">
        <v>483</v>
      </c>
      <c r="F254" t="s">
        <v>230</v>
      </c>
      <c r="G254" t="s">
        <v>484</v>
      </c>
      <c r="H254" s="8" t="s">
        <v>2</v>
      </c>
      <c r="I254" s="8">
        <v>69</v>
      </c>
      <c r="J254" s="8">
        <v>7133375</v>
      </c>
    </row>
    <row r="255" spans="2:22">
      <c r="B255">
        <v>2020</v>
      </c>
      <c r="C255" t="s">
        <v>42</v>
      </c>
      <c r="D255">
        <v>3</v>
      </c>
      <c r="E255" t="s">
        <v>485</v>
      </c>
      <c r="F255" t="s">
        <v>230</v>
      </c>
      <c r="G255" t="s">
        <v>381</v>
      </c>
      <c r="H255" s="8" t="s">
        <v>2</v>
      </c>
      <c r="I255" s="8">
        <v>73</v>
      </c>
      <c r="J255" s="8">
        <v>7048885</v>
      </c>
    </row>
    <row r="256" spans="2:22">
      <c r="B256">
        <v>2020</v>
      </c>
      <c r="C256" t="s">
        <v>42</v>
      </c>
      <c r="D256">
        <v>4</v>
      </c>
      <c r="E256" t="s">
        <v>486</v>
      </c>
      <c r="F256" t="s">
        <v>230</v>
      </c>
      <c r="G256" t="s">
        <v>400</v>
      </c>
      <c r="H256" s="8" t="s">
        <v>2</v>
      </c>
      <c r="I256" s="8">
        <v>71</v>
      </c>
      <c r="J256" s="8">
        <v>7109453</v>
      </c>
    </row>
    <row r="257" spans="2:22">
      <c r="B257">
        <v>2020</v>
      </c>
      <c r="C257" t="s">
        <v>42</v>
      </c>
      <c r="D257">
        <v>5</v>
      </c>
      <c r="E257" t="s">
        <v>487</v>
      </c>
      <c r="F257" t="s">
        <v>230</v>
      </c>
      <c r="G257" t="s">
        <v>468</v>
      </c>
      <c r="H257" s="8" t="s">
        <v>12</v>
      </c>
      <c r="I257" s="8">
        <v>75</v>
      </c>
      <c r="J257" s="8">
        <v>7073332</v>
      </c>
    </row>
    <row r="258" spans="2:22">
      <c r="B258">
        <v>2020</v>
      </c>
      <c r="C258" t="s">
        <v>42</v>
      </c>
      <c r="D258">
        <v>6</v>
      </c>
      <c r="E258" t="s">
        <v>488</v>
      </c>
      <c r="F258" t="s">
        <v>230</v>
      </c>
      <c r="G258" t="s">
        <v>468</v>
      </c>
      <c r="H258" s="8" t="s">
        <v>18</v>
      </c>
      <c r="I258" s="8">
        <v>72</v>
      </c>
      <c r="J258" s="8">
        <v>7036096</v>
      </c>
    </row>
    <row r="259" spans="2:22">
      <c r="B259">
        <v>2020</v>
      </c>
      <c r="C259" t="s">
        <v>42</v>
      </c>
      <c r="D259">
        <v>7</v>
      </c>
      <c r="E259" t="s">
        <v>489</v>
      </c>
      <c r="F259" t="s">
        <v>230</v>
      </c>
      <c r="G259" t="s">
        <v>490</v>
      </c>
      <c r="H259" s="8" t="s">
        <v>21</v>
      </c>
      <c r="I259" s="8">
        <v>65</v>
      </c>
      <c r="J259" s="8">
        <v>5174122</v>
      </c>
    </row>
    <row r="260" spans="2:22">
      <c r="B260">
        <v>2020</v>
      </c>
      <c r="C260" t="s">
        <v>42</v>
      </c>
      <c r="D260">
        <v>8</v>
      </c>
      <c r="E260" t="s">
        <v>491</v>
      </c>
      <c r="F260" t="s">
        <v>230</v>
      </c>
      <c r="G260" t="s">
        <v>492</v>
      </c>
      <c r="H260" s="8" t="s">
        <v>4</v>
      </c>
      <c r="I260" s="8">
        <v>72</v>
      </c>
      <c r="J260" s="8">
        <v>7098243</v>
      </c>
    </row>
    <row r="261" spans="2:22">
      <c r="B261">
        <v>2020</v>
      </c>
      <c r="C261" t="s">
        <v>42</v>
      </c>
      <c r="D261">
        <v>9</v>
      </c>
      <c r="E261" t="s">
        <v>493</v>
      </c>
      <c r="F261" t="s">
        <v>230</v>
      </c>
      <c r="G261" t="s">
        <v>375</v>
      </c>
      <c r="H261" s="8" t="s">
        <v>20</v>
      </c>
      <c r="I261" s="8">
        <v>70</v>
      </c>
      <c r="J261" s="8">
        <v>7011451</v>
      </c>
      <c r="V261" s="1" t="str">
        <f>IF(J261=S261,"Yes","")</f>
        <v/>
      </c>
    </row>
    <row r="262" spans="2:22">
      <c r="B262">
        <v>2020</v>
      </c>
      <c r="C262" t="s">
        <v>42</v>
      </c>
      <c r="D262">
        <v>10</v>
      </c>
      <c r="E262" t="s">
        <v>494</v>
      </c>
      <c r="F262" t="s">
        <v>230</v>
      </c>
      <c r="G262" t="s">
        <v>495</v>
      </c>
      <c r="H262" s="8" t="s">
        <v>18</v>
      </c>
      <c r="I262" s="8">
        <v>86</v>
      </c>
      <c r="J262" s="8">
        <v>7142008</v>
      </c>
    </row>
    <row r="263" spans="2:22">
      <c r="B263">
        <v>2020</v>
      </c>
      <c r="C263" t="s">
        <v>43</v>
      </c>
      <c r="D263">
        <v>1</v>
      </c>
      <c r="E263" t="s">
        <v>496</v>
      </c>
      <c r="F263" t="s">
        <v>230</v>
      </c>
      <c r="G263" t="s">
        <v>495</v>
      </c>
      <c r="H263" s="8" t="s">
        <v>2</v>
      </c>
      <c r="I263" s="8">
        <v>75</v>
      </c>
      <c r="J263" s="8">
        <v>7122996</v>
      </c>
    </row>
    <row r="264" spans="2:22">
      <c r="B264">
        <v>2020</v>
      </c>
      <c r="C264" t="s">
        <v>43</v>
      </c>
      <c r="D264">
        <v>2</v>
      </c>
      <c r="E264" t="s">
        <v>497</v>
      </c>
      <c r="F264" t="s">
        <v>230</v>
      </c>
      <c r="G264" t="s">
        <v>231</v>
      </c>
      <c r="H264" s="8" t="s">
        <v>20</v>
      </c>
      <c r="I264" s="8">
        <v>70</v>
      </c>
      <c r="J264" s="8">
        <v>7102399</v>
      </c>
    </row>
    <row r="265" spans="2:22">
      <c r="B265">
        <v>2020</v>
      </c>
      <c r="C265" t="s">
        <v>43</v>
      </c>
      <c r="D265">
        <v>3</v>
      </c>
      <c r="E265" t="s">
        <v>498</v>
      </c>
      <c r="F265" t="s">
        <v>230</v>
      </c>
      <c r="G265" t="s">
        <v>499</v>
      </c>
      <c r="H265" s="8" t="s">
        <v>2</v>
      </c>
      <c r="I265" s="8">
        <v>91</v>
      </c>
      <c r="J265" s="8">
        <v>7127096</v>
      </c>
    </row>
    <row r="266" spans="2:22">
      <c r="B266">
        <v>2020</v>
      </c>
      <c r="C266" t="s">
        <v>43</v>
      </c>
      <c r="D266">
        <v>4</v>
      </c>
      <c r="E266" t="s">
        <v>500</v>
      </c>
      <c r="F266" t="s">
        <v>230</v>
      </c>
      <c r="G266" t="s">
        <v>501</v>
      </c>
      <c r="H266" s="8" t="s">
        <v>2</v>
      </c>
      <c r="I266" s="8">
        <v>98</v>
      </c>
      <c r="J266" s="8">
        <v>7110696</v>
      </c>
    </row>
    <row r="267" spans="2:22">
      <c r="B267">
        <v>2020</v>
      </c>
      <c r="C267" t="s">
        <v>43</v>
      </c>
      <c r="D267">
        <v>5</v>
      </c>
      <c r="E267" t="s">
        <v>502</v>
      </c>
      <c r="F267" t="s">
        <v>230</v>
      </c>
      <c r="G267" t="s">
        <v>495</v>
      </c>
      <c r="H267" s="8" t="s">
        <v>0</v>
      </c>
      <c r="I267" s="8">
        <v>65</v>
      </c>
      <c r="J267" s="8">
        <v>6517269</v>
      </c>
    </row>
    <row r="268" spans="2:22">
      <c r="B268">
        <v>2020</v>
      </c>
      <c r="C268" t="s">
        <v>43</v>
      </c>
      <c r="D268">
        <v>6</v>
      </c>
      <c r="E268" t="s">
        <v>503</v>
      </c>
      <c r="F268" t="s">
        <v>230</v>
      </c>
      <c r="G268" t="s">
        <v>504</v>
      </c>
      <c r="H268" s="8" t="s">
        <v>22</v>
      </c>
      <c r="I268" s="8">
        <v>71</v>
      </c>
      <c r="J268" s="8">
        <v>7147502</v>
      </c>
    </row>
    <row r="269" spans="2:22">
      <c r="B269">
        <v>2020</v>
      </c>
      <c r="C269" t="s">
        <v>43</v>
      </c>
      <c r="D269">
        <v>7</v>
      </c>
      <c r="E269" t="s">
        <v>505</v>
      </c>
      <c r="F269" t="s">
        <v>230</v>
      </c>
      <c r="G269" t="s">
        <v>284</v>
      </c>
      <c r="H269" s="8" t="s">
        <v>4</v>
      </c>
      <c r="I269" s="8">
        <v>74</v>
      </c>
      <c r="J269" s="8">
        <v>7054548</v>
      </c>
    </row>
    <row r="270" spans="2:22">
      <c r="B270">
        <v>2020</v>
      </c>
      <c r="C270" t="s">
        <v>43</v>
      </c>
      <c r="D270">
        <v>8</v>
      </c>
      <c r="E270" t="s">
        <v>415</v>
      </c>
      <c r="F270" t="s">
        <v>506</v>
      </c>
      <c r="G270" t="s">
        <v>507</v>
      </c>
      <c r="H270" s="8" t="s">
        <v>2</v>
      </c>
      <c r="I270" s="8">
        <v>74</v>
      </c>
      <c r="J270" s="8">
        <v>5638022</v>
      </c>
      <c r="M270" t="s">
        <v>164</v>
      </c>
      <c r="N270" t="s">
        <v>122</v>
      </c>
      <c r="O270" s="2" t="s">
        <v>4</v>
      </c>
      <c r="P270" s="2" t="s">
        <v>4</v>
      </c>
      <c r="Q270" s="3">
        <v>120</v>
      </c>
      <c r="R270" s="4" t="s">
        <v>52</v>
      </c>
      <c r="S270" s="5">
        <v>5638022</v>
      </c>
      <c r="T270" s="3">
        <v>2009</v>
      </c>
      <c r="U270" s="7" t="s">
        <v>123</v>
      </c>
      <c r="V270" s="1" t="str">
        <f>IF(J270=S270,"Yes","")</f>
        <v>Yes</v>
      </c>
    </row>
    <row r="271" spans="2:22">
      <c r="B271">
        <v>2020</v>
      </c>
      <c r="C271" t="s">
        <v>43</v>
      </c>
      <c r="D271">
        <v>9</v>
      </c>
      <c r="E271" t="s">
        <v>508</v>
      </c>
      <c r="F271" t="s">
        <v>230</v>
      </c>
      <c r="G271" t="s">
        <v>375</v>
      </c>
      <c r="H271" s="8" t="s">
        <v>2</v>
      </c>
      <c r="I271" s="8">
        <v>80</v>
      </c>
      <c r="J271" s="8">
        <v>7067561</v>
      </c>
    </row>
    <row r="272" spans="2:22">
      <c r="B272">
        <v>2020</v>
      </c>
      <c r="C272" t="s">
        <v>43</v>
      </c>
      <c r="D272">
        <v>10</v>
      </c>
      <c r="E272" t="s">
        <v>342</v>
      </c>
      <c r="F272" t="s">
        <v>230</v>
      </c>
      <c r="G272" t="s">
        <v>233</v>
      </c>
      <c r="H272" s="8" t="s">
        <v>4</v>
      </c>
      <c r="I272" s="8">
        <v>70</v>
      </c>
      <c r="J272" s="8">
        <v>7107548</v>
      </c>
    </row>
    <row r="273" spans="2:10">
      <c r="B273">
        <v>2020</v>
      </c>
      <c r="C273" t="s">
        <v>44</v>
      </c>
      <c r="D273">
        <v>1</v>
      </c>
      <c r="E273" t="s">
        <v>509</v>
      </c>
      <c r="F273" t="s">
        <v>230</v>
      </c>
      <c r="G273" t="s">
        <v>510</v>
      </c>
      <c r="H273" s="8" t="s">
        <v>2</v>
      </c>
      <c r="I273" s="8">
        <v>76</v>
      </c>
      <c r="J273" s="8" t="s">
        <v>48</v>
      </c>
    </row>
    <row r="274" spans="2:10">
      <c r="B274">
        <v>2020</v>
      </c>
      <c r="C274" t="s">
        <v>44</v>
      </c>
      <c r="D274">
        <v>2</v>
      </c>
      <c r="E274" t="s">
        <v>511</v>
      </c>
      <c r="F274" t="s">
        <v>230</v>
      </c>
      <c r="G274" t="s">
        <v>233</v>
      </c>
      <c r="H274" s="8" t="s">
        <v>2</v>
      </c>
      <c r="I274" s="8">
        <v>73.5</v>
      </c>
      <c r="J274" s="8">
        <v>7059306</v>
      </c>
    </row>
    <row r="275" spans="2:10">
      <c r="B275">
        <v>2020</v>
      </c>
      <c r="C275" t="s">
        <v>44</v>
      </c>
      <c r="D275">
        <v>3</v>
      </c>
      <c r="E275" t="s">
        <v>512</v>
      </c>
      <c r="F275" t="s">
        <v>230</v>
      </c>
      <c r="G275" t="s">
        <v>375</v>
      </c>
      <c r="H275" s="8" t="s">
        <v>4</v>
      </c>
      <c r="I275" s="8">
        <v>70</v>
      </c>
      <c r="J275" s="8">
        <v>7138219</v>
      </c>
    </row>
    <row r="276" spans="2:10">
      <c r="B276">
        <v>2020</v>
      </c>
      <c r="C276" t="s">
        <v>44</v>
      </c>
      <c r="D276">
        <v>4</v>
      </c>
      <c r="E276" t="s">
        <v>513</v>
      </c>
      <c r="F276" t="s">
        <v>230</v>
      </c>
      <c r="G276" t="s">
        <v>29</v>
      </c>
      <c r="H276" s="8" t="s">
        <v>18</v>
      </c>
      <c r="I276" s="8">
        <v>70</v>
      </c>
      <c r="J276" s="8">
        <v>27714</v>
      </c>
    </row>
    <row r="277" spans="2:10">
      <c r="B277">
        <v>2020</v>
      </c>
      <c r="C277" t="s">
        <v>44</v>
      </c>
      <c r="D277">
        <v>5</v>
      </c>
      <c r="E277" t="s">
        <v>514</v>
      </c>
      <c r="F277" t="s">
        <v>230</v>
      </c>
      <c r="G277" t="s">
        <v>515</v>
      </c>
      <c r="H277" s="8" t="s">
        <v>2</v>
      </c>
      <c r="I277" s="8">
        <v>70</v>
      </c>
      <c r="J277" s="8">
        <v>3469389</v>
      </c>
    </row>
    <row r="278" spans="2:10">
      <c r="B278">
        <v>2020</v>
      </c>
      <c r="C278" t="s">
        <v>44</v>
      </c>
      <c r="D278">
        <v>6</v>
      </c>
      <c r="E278" t="s">
        <v>516</v>
      </c>
      <c r="F278" t="s">
        <v>230</v>
      </c>
      <c r="G278" t="s">
        <v>517</v>
      </c>
      <c r="H278" s="8" t="s">
        <v>4</v>
      </c>
      <c r="I278" s="8">
        <v>72</v>
      </c>
      <c r="J278" s="8">
        <v>7054172</v>
      </c>
    </row>
    <row r="279" spans="2:10">
      <c r="B279">
        <v>2020</v>
      </c>
      <c r="C279" t="s">
        <v>44</v>
      </c>
      <c r="D279">
        <v>7</v>
      </c>
      <c r="E279" t="s">
        <v>518</v>
      </c>
      <c r="F279" t="s">
        <v>230</v>
      </c>
      <c r="G279" t="s">
        <v>62</v>
      </c>
      <c r="H279" s="8" t="s">
        <v>4</v>
      </c>
      <c r="I279" s="8">
        <v>74</v>
      </c>
      <c r="J279" s="8">
        <v>7138939</v>
      </c>
    </row>
    <row r="280" spans="2:10">
      <c r="B280">
        <v>2020</v>
      </c>
      <c r="C280" t="s">
        <v>44</v>
      </c>
      <c r="D280">
        <v>8</v>
      </c>
      <c r="E280" t="s">
        <v>519</v>
      </c>
      <c r="F280" t="s">
        <v>520</v>
      </c>
      <c r="G280" t="s">
        <v>29</v>
      </c>
      <c r="H280" s="8" t="s">
        <v>2</v>
      </c>
      <c r="I280" s="8">
        <v>73.5</v>
      </c>
      <c r="J280" s="8">
        <v>23189</v>
      </c>
    </row>
    <row r="281" spans="2:10">
      <c r="B281">
        <v>2020</v>
      </c>
      <c r="C281" t="s">
        <v>44</v>
      </c>
      <c r="D281">
        <v>9</v>
      </c>
      <c r="E281" t="s">
        <v>521</v>
      </c>
      <c r="F281" t="s">
        <v>230</v>
      </c>
      <c r="G281" t="s">
        <v>495</v>
      </c>
      <c r="H281" s="8" t="s">
        <v>22</v>
      </c>
      <c r="I281" s="8">
        <v>105</v>
      </c>
      <c r="J281" s="8">
        <v>7141227</v>
      </c>
    </row>
    <row r="282" spans="2:10">
      <c r="B282">
        <v>2020</v>
      </c>
      <c r="C282" t="s">
        <v>44</v>
      </c>
      <c r="D282">
        <v>10</v>
      </c>
      <c r="E282" t="s">
        <v>522</v>
      </c>
      <c r="F282" t="s">
        <v>230</v>
      </c>
      <c r="G282" t="s">
        <v>523</v>
      </c>
      <c r="H282" s="8" t="s">
        <v>15</v>
      </c>
      <c r="I282" s="8">
        <v>70</v>
      </c>
      <c r="J282" s="8">
        <v>7147007</v>
      </c>
    </row>
    <row r="283" spans="2:10">
      <c r="B283">
        <v>2020</v>
      </c>
      <c r="C283" t="s">
        <v>45</v>
      </c>
      <c r="D283">
        <v>1</v>
      </c>
      <c r="E283" t="s">
        <v>524</v>
      </c>
      <c r="F283" t="s">
        <v>230</v>
      </c>
      <c r="G283" t="s">
        <v>29</v>
      </c>
      <c r="H283" s="8" t="s">
        <v>18</v>
      </c>
      <c r="I283" s="8">
        <v>72</v>
      </c>
      <c r="J283" s="8">
        <v>4582588</v>
      </c>
    </row>
    <row r="284" spans="2:10">
      <c r="B284">
        <v>2020</v>
      </c>
      <c r="C284" t="s">
        <v>45</v>
      </c>
      <c r="D284">
        <v>2</v>
      </c>
      <c r="E284" t="s">
        <v>525</v>
      </c>
      <c r="F284" t="s">
        <v>230</v>
      </c>
      <c r="G284" t="s">
        <v>526</v>
      </c>
      <c r="H284" s="8" t="s">
        <v>18</v>
      </c>
      <c r="I284" s="8">
        <v>62</v>
      </c>
      <c r="J284" s="8">
        <v>7146673</v>
      </c>
    </row>
    <row r="285" spans="2:10">
      <c r="B285">
        <v>2020</v>
      </c>
      <c r="C285" t="s">
        <v>45</v>
      </c>
      <c r="D285">
        <v>3</v>
      </c>
      <c r="E285" t="s">
        <v>527</v>
      </c>
      <c r="F285" t="s">
        <v>230</v>
      </c>
      <c r="G285" t="s">
        <v>528</v>
      </c>
      <c r="H285" s="8" t="s">
        <v>18</v>
      </c>
      <c r="I285" s="8">
        <v>86</v>
      </c>
      <c r="J285" s="8">
        <v>7149439</v>
      </c>
    </row>
    <row r="286" spans="2:10">
      <c r="B286">
        <v>2020</v>
      </c>
      <c r="C286" t="s">
        <v>45</v>
      </c>
      <c r="D286">
        <v>4</v>
      </c>
      <c r="E286" t="s">
        <v>529</v>
      </c>
      <c r="F286" t="s">
        <v>230</v>
      </c>
      <c r="G286" t="s">
        <v>530</v>
      </c>
      <c r="H286" s="8" t="s">
        <v>4</v>
      </c>
      <c r="I286" s="8">
        <v>58</v>
      </c>
      <c r="J286" s="8">
        <v>7079706</v>
      </c>
    </row>
    <row r="287" spans="2:10">
      <c r="B287">
        <v>2020</v>
      </c>
      <c r="C287" t="s">
        <v>45</v>
      </c>
      <c r="D287">
        <v>5</v>
      </c>
      <c r="E287" t="s">
        <v>531</v>
      </c>
      <c r="F287" t="s">
        <v>230</v>
      </c>
      <c r="G287" t="s">
        <v>532</v>
      </c>
      <c r="H287" s="8" t="s">
        <v>7</v>
      </c>
      <c r="I287" s="8">
        <v>66.5</v>
      </c>
      <c r="J287" s="8">
        <v>7130622</v>
      </c>
    </row>
    <row r="288" spans="2:10">
      <c r="B288">
        <v>2020</v>
      </c>
      <c r="C288" t="s">
        <v>45</v>
      </c>
      <c r="D288">
        <v>6</v>
      </c>
      <c r="E288" t="s">
        <v>533</v>
      </c>
      <c r="F288" t="s">
        <v>230</v>
      </c>
      <c r="G288" t="s">
        <v>233</v>
      </c>
      <c r="H288" s="8" t="s">
        <v>15</v>
      </c>
      <c r="I288" s="8">
        <v>84</v>
      </c>
      <c r="J288" s="8">
        <v>5942543</v>
      </c>
    </row>
    <row r="289" spans="2:12">
      <c r="B289">
        <v>2020</v>
      </c>
      <c r="C289" t="s">
        <v>45</v>
      </c>
      <c r="D289">
        <v>7</v>
      </c>
      <c r="E289" t="s">
        <v>534</v>
      </c>
      <c r="F289" t="s">
        <v>230</v>
      </c>
      <c r="G289" t="s">
        <v>528</v>
      </c>
      <c r="H289" s="8" t="s">
        <v>0</v>
      </c>
      <c r="I289" s="8">
        <v>76</v>
      </c>
      <c r="J289" s="8">
        <v>7126793</v>
      </c>
    </row>
    <row r="290" spans="2:12">
      <c r="B290">
        <v>2020</v>
      </c>
      <c r="C290" t="s">
        <v>45</v>
      </c>
      <c r="D290">
        <v>8</v>
      </c>
      <c r="E290" t="s">
        <v>535</v>
      </c>
      <c r="F290" t="s">
        <v>230</v>
      </c>
      <c r="G290" t="s">
        <v>528</v>
      </c>
      <c r="H290" s="8" t="s">
        <v>12</v>
      </c>
      <c r="I290" s="8">
        <v>70.5</v>
      </c>
      <c r="J290" s="8">
        <v>7153516</v>
      </c>
    </row>
    <row r="291" spans="2:12">
      <c r="B291">
        <v>2020</v>
      </c>
      <c r="C291" t="s">
        <v>45</v>
      </c>
      <c r="D291">
        <v>9</v>
      </c>
      <c r="E291" t="s">
        <v>536</v>
      </c>
      <c r="F291" t="s">
        <v>230</v>
      </c>
      <c r="G291" t="s">
        <v>537</v>
      </c>
      <c r="H291" s="8" t="s">
        <v>2</v>
      </c>
      <c r="I291" s="8">
        <v>79</v>
      </c>
      <c r="J291" s="8">
        <v>6472799</v>
      </c>
    </row>
    <row r="292" spans="2:12">
      <c r="B292">
        <v>2020</v>
      </c>
      <c r="C292" t="s">
        <v>45</v>
      </c>
      <c r="D292">
        <v>10</v>
      </c>
      <c r="E292" t="s">
        <v>538</v>
      </c>
      <c r="F292" t="s">
        <v>230</v>
      </c>
      <c r="G292" t="s">
        <v>405</v>
      </c>
      <c r="H292" s="8" t="s">
        <v>0</v>
      </c>
      <c r="I292" s="8">
        <v>70</v>
      </c>
      <c r="J292" s="8">
        <v>7068421</v>
      </c>
    </row>
    <row r="293" spans="2:12">
      <c r="B293">
        <v>2020</v>
      </c>
      <c r="C293" t="s">
        <v>45</v>
      </c>
      <c r="D293">
        <v>11</v>
      </c>
      <c r="E293" t="s">
        <v>539</v>
      </c>
      <c r="F293" t="s">
        <v>230</v>
      </c>
      <c r="G293" t="s">
        <v>526</v>
      </c>
      <c r="H293" s="8" t="s">
        <v>20</v>
      </c>
      <c r="I293" s="8">
        <v>68</v>
      </c>
      <c r="J293" s="8">
        <v>7151239</v>
      </c>
    </row>
    <row r="294" spans="2:12">
      <c r="B294">
        <v>2020</v>
      </c>
      <c r="C294" t="s">
        <v>46</v>
      </c>
      <c r="D294">
        <v>1</v>
      </c>
      <c r="E294" t="s">
        <v>165</v>
      </c>
      <c r="F294" t="s">
        <v>230</v>
      </c>
      <c r="G294" t="s">
        <v>230</v>
      </c>
      <c r="L294" s="28" t="s">
        <v>183</v>
      </c>
    </row>
    <row r="295" spans="2:12">
      <c r="B295">
        <v>2020</v>
      </c>
      <c r="C295" t="s">
        <v>46</v>
      </c>
      <c r="D295">
        <v>2</v>
      </c>
      <c r="E295" t="s">
        <v>540</v>
      </c>
      <c r="F295" t="s">
        <v>230</v>
      </c>
      <c r="G295" t="s">
        <v>541</v>
      </c>
      <c r="H295" s="8" t="s">
        <v>12</v>
      </c>
      <c r="I295" s="8">
        <v>68.5</v>
      </c>
      <c r="J295" s="8">
        <v>7133494</v>
      </c>
      <c r="L295" s="28"/>
    </row>
    <row r="296" spans="2:12">
      <c r="B296">
        <v>2020</v>
      </c>
      <c r="C296" t="s">
        <v>46</v>
      </c>
      <c r="D296">
        <v>3</v>
      </c>
      <c r="E296" t="s">
        <v>542</v>
      </c>
      <c r="F296" t="s">
        <v>230</v>
      </c>
      <c r="G296" t="s">
        <v>543</v>
      </c>
      <c r="H296" s="8" t="s">
        <v>20</v>
      </c>
      <c r="I296" s="8">
        <v>77</v>
      </c>
      <c r="J296" s="8">
        <v>7125876</v>
      </c>
      <c r="L296" s="28"/>
    </row>
    <row r="297" spans="2:12">
      <c r="B297">
        <v>2020</v>
      </c>
      <c r="C297" t="s">
        <v>46</v>
      </c>
      <c r="D297">
        <v>4</v>
      </c>
      <c r="E297" t="s">
        <v>166</v>
      </c>
      <c r="F297" t="s">
        <v>230</v>
      </c>
      <c r="G297" t="s">
        <v>230</v>
      </c>
      <c r="L297" s="28" t="s">
        <v>183</v>
      </c>
    </row>
    <row r="298" spans="2:12">
      <c r="B298">
        <v>2020</v>
      </c>
      <c r="C298" t="s">
        <v>46</v>
      </c>
      <c r="D298">
        <v>5</v>
      </c>
      <c r="E298" t="s">
        <v>544</v>
      </c>
      <c r="F298" t="s">
        <v>230</v>
      </c>
      <c r="G298" t="s">
        <v>545</v>
      </c>
      <c r="H298" s="8" t="s">
        <v>18</v>
      </c>
      <c r="I298" s="8">
        <v>68</v>
      </c>
      <c r="J298" s="8">
        <v>7108656</v>
      </c>
      <c r="L298" s="28"/>
    </row>
    <row r="299" spans="2:12">
      <c r="B299">
        <v>2020</v>
      </c>
      <c r="C299" t="s">
        <v>46</v>
      </c>
      <c r="D299">
        <v>6</v>
      </c>
      <c r="E299" t="s">
        <v>546</v>
      </c>
      <c r="F299" t="s">
        <v>230</v>
      </c>
      <c r="G299" t="s">
        <v>547</v>
      </c>
      <c r="H299" s="8" t="s">
        <v>12</v>
      </c>
      <c r="I299" s="8">
        <v>69</v>
      </c>
      <c r="J299" s="8">
        <v>19007</v>
      </c>
      <c r="L299" s="28"/>
    </row>
    <row r="300" spans="2:12">
      <c r="B300">
        <v>2020</v>
      </c>
      <c r="C300" t="s">
        <v>46</v>
      </c>
      <c r="D300">
        <v>7</v>
      </c>
      <c r="E300" t="s">
        <v>167</v>
      </c>
      <c r="F300" t="s">
        <v>230</v>
      </c>
      <c r="G300" t="s">
        <v>230</v>
      </c>
      <c r="L300" s="28" t="s">
        <v>183</v>
      </c>
    </row>
    <row r="301" spans="2:12">
      <c r="B301">
        <v>2020</v>
      </c>
      <c r="C301" t="s">
        <v>46</v>
      </c>
      <c r="D301">
        <v>8</v>
      </c>
      <c r="E301" t="s">
        <v>168</v>
      </c>
      <c r="F301" t="s">
        <v>230</v>
      </c>
      <c r="G301" t="s">
        <v>230</v>
      </c>
      <c r="L301" s="28" t="s">
        <v>183</v>
      </c>
    </row>
    <row r="302" spans="2:12">
      <c r="B302">
        <v>2020</v>
      </c>
      <c r="C302" t="s">
        <v>46</v>
      </c>
      <c r="D302">
        <v>9</v>
      </c>
      <c r="E302" t="s">
        <v>169</v>
      </c>
      <c r="F302" t="s">
        <v>230</v>
      </c>
      <c r="G302" t="s">
        <v>230</v>
      </c>
      <c r="L302" s="28" t="s">
        <v>183</v>
      </c>
    </row>
    <row r="303" spans="2:12">
      <c r="B303">
        <v>2020</v>
      </c>
      <c r="C303" t="s">
        <v>46</v>
      </c>
      <c r="D303">
        <v>10</v>
      </c>
      <c r="E303" t="s">
        <v>170</v>
      </c>
      <c r="F303" t="s">
        <v>230</v>
      </c>
      <c r="G303" t="s">
        <v>230</v>
      </c>
      <c r="L303" s="28" t="s">
        <v>183</v>
      </c>
    </row>
    <row r="304" spans="2:12">
      <c r="B304">
        <v>2100</v>
      </c>
      <c r="C304" t="s">
        <v>185</v>
      </c>
      <c r="D304">
        <v>1</v>
      </c>
      <c r="E304" t="s">
        <v>606</v>
      </c>
      <c r="F304" t="s">
        <v>230</v>
      </c>
      <c r="G304" t="s">
        <v>233</v>
      </c>
      <c r="H304" t="s">
        <v>26</v>
      </c>
      <c r="I304">
        <v>81</v>
      </c>
      <c r="J304" s="3">
        <v>7148126</v>
      </c>
    </row>
    <row r="305" spans="2:10">
      <c r="B305">
        <v>2100</v>
      </c>
      <c r="C305" t="s">
        <v>185</v>
      </c>
      <c r="D305">
        <v>2</v>
      </c>
      <c r="E305" t="s">
        <v>533</v>
      </c>
      <c r="F305" t="s">
        <v>186</v>
      </c>
      <c r="G305" t="s">
        <v>233</v>
      </c>
      <c r="H305" t="s">
        <v>15</v>
      </c>
      <c r="I305">
        <v>84</v>
      </c>
      <c r="J305" s="3">
        <v>5942543</v>
      </c>
    </row>
    <row r="306" spans="2:10">
      <c r="B306">
        <v>2100</v>
      </c>
      <c r="C306" t="s">
        <v>185</v>
      </c>
      <c r="D306">
        <v>3</v>
      </c>
      <c r="E306" t="s">
        <v>607</v>
      </c>
      <c r="F306" t="s">
        <v>186</v>
      </c>
      <c r="G306" t="s">
        <v>386</v>
      </c>
      <c r="H306" t="s">
        <v>2</v>
      </c>
      <c r="I306">
        <v>82</v>
      </c>
      <c r="J306" s="3">
        <v>7119315</v>
      </c>
    </row>
    <row r="307" spans="2:10">
      <c r="B307">
        <v>2100</v>
      </c>
      <c r="C307" t="s">
        <v>185</v>
      </c>
      <c r="D307">
        <v>4</v>
      </c>
      <c r="E307" t="s">
        <v>608</v>
      </c>
      <c r="F307" t="s">
        <v>186</v>
      </c>
      <c r="G307" t="s">
        <v>400</v>
      </c>
      <c r="H307" t="s">
        <v>20</v>
      </c>
      <c r="I307">
        <v>64</v>
      </c>
      <c r="J307" s="3">
        <v>7104628</v>
      </c>
    </row>
    <row r="308" spans="2:10">
      <c r="B308">
        <v>2100</v>
      </c>
      <c r="C308" t="s">
        <v>185</v>
      </c>
      <c r="D308">
        <v>5</v>
      </c>
      <c r="E308" t="s">
        <v>609</v>
      </c>
      <c r="F308" t="s">
        <v>186</v>
      </c>
      <c r="G308" t="s">
        <v>237</v>
      </c>
      <c r="H308" t="s">
        <v>18</v>
      </c>
      <c r="I308">
        <v>63</v>
      </c>
      <c r="J308" s="3">
        <v>7123203</v>
      </c>
    </row>
    <row r="309" spans="2:10">
      <c r="B309">
        <v>2100</v>
      </c>
      <c r="C309" t="s">
        <v>185</v>
      </c>
      <c r="D309">
        <v>6</v>
      </c>
      <c r="E309" t="s">
        <v>610</v>
      </c>
      <c r="F309" t="s">
        <v>186</v>
      </c>
      <c r="G309" t="s">
        <v>400</v>
      </c>
      <c r="H309" t="s">
        <v>15</v>
      </c>
      <c r="I309">
        <v>70</v>
      </c>
      <c r="J309" s="3">
        <v>6605236</v>
      </c>
    </row>
    <row r="310" spans="2:10">
      <c r="B310">
        <v>2100</v>
      </c>
      <c r="C310" t="s">
        <v>185</v>
      </c>
      <c r="D310">
        <v>7</v>
      </c>
      <c r="E310" t="s">
        <v>611</v>
      </c>
      <c r="F310" t="s">
        <v>186</v>
      </c>
      <c r="G310" t="s">
        <v>261</v>
      </c>
      <c r="H310" t="s">
        <v>0</v>
      </c>
      <c r="I310">
        <v>80</v>
      </c>
      <c r="J310" s="3">
        <v>3407011</v>
      </c>
    </row>
    <row r="311" spans="2:10">
      <c r="B311">
        <v>2100</v>
      </c>
      <c r="C311" t="s">
        <v>185</v>
      </c>
      <c r="D311">
        <v>8</v>
      </c>
      <c r="E311" t="s">
        <v>170</v>
      </c>
      <c r="F311" t="s">
        <v>186</v>
      </c>
      <c r="G311" t="s">
        <v>261</v>
      </c>
      <c r="H311" t="s">
        <v>20</v>
      </c>
      <c r="I311">
        <v>80</v>
      </c>
      <c r="J311" s="3">
        <v>3406988</v>
      </c>
    </row>
    <row r="312" spans="2:10">
      <c r="B312">
        <v>2100</v>
      </c>
      <c r="C312" t="s">
        <v>185</v>
      </c>
      <c r="D312">
        <v>9</v>
      </c>
      <c r="E312" t="s">
        <v>612</v>
      </c>
      <c r="F312" t="s">
        <v>186</v>
      </c>
      <c r="G312" t="s">
        <v>261</v>
      </c>
      <c r="H312" t="s">
        <v>20</v>
      </c>
      <c r="I312">
        <v>118</v>
      </c>
      <c r="J312" s="3">
        <v>6590815</v>
      </c>
    </row>
    <row r="313" spans="2:10">
      <c r="B313">
        <v>2100</v>
      </c>
      <c r="C313" t="s">
        <v>185</v>
      </c>
      <c r="D313">
        <v>10</v>
      </c>
      <c r="E313" t="s">
        <v>613</v>
      </c>
      <c r="F313" t="s">
        <v>186</v>
      </c>
      <c r="G313" t="s">
        <v>261</v>
      </c>
      <c r="H313" t="s">
        <v>4</v>
      </c>
      <c r="I313">
        <v>72</v>
      </c>
      <c r="J313" s="3">
        <v>5627789</v>
      </c>
    </row>
    <row r="314" spans="2:10">
      <c r="B314">
        <v>2100</v>
      </c>
      <c r="C314" t="s">
        <v>187</v>
      </c>
      <c r="D314">
        <v>1</v>
      </c>
      <c r="E314" t="s">
        <v>614</v>
      </c>
      <c r="F314" t="s">
        <v>230</v>
      </c>
      <c r="G314" t="s">
        <v>615</v>
      </c>
      <c r="H314" t="s">
        <v>4</v>
      </c>
      <c r="I314">
        <v>85</v>
      </c>
      <c r="J314" s="10">
        <v>7087777</v>
      </c>
    </row>
  </sheetData>
  <autoFilter ref="A1:V314" xr:uid="{220F441B-9C4B-4B59-B4D6-DC4C22C010AF}">
    <sortState xmlns:xlrd2="http://schemas.microsoft.com/office/spreadsheetml/2017/richdata2" ref="A2:V314">
      <sortCondition ref="B2:B314"/>
      <sortCondition ref="C2:C314"/>
      <sortCondition ref="D2:D314"/>
    </sortState>
  </autoFilter>
  <sortState xmlns:xlrd2="http://schemas.microsoft.com/office/spreadsheetml/2017/richdata2" ref="B2:V314">
    <sortCondition ref="B2:B314"/>
    <sortCondition ref="C2:C314"/>
    <sortCondition ref="D2:D314"/>
  </sortState>
  <phoneticPr fontId="5" type="noConversion"/>
  <conditionalFormatting sqref="J234:J243">
    <cfRule type="duplicateValues" dxfId="29" priority="29"/>
  </conditionalFormatting>
  <conditionalFormatting sqref="J257:J266">
    <cfRule type="duplicateValues" dxfId="28" priority="28"/>
  </conditionalFormatting>
  <conditionalFormatting sqref="J267:J286">
    <cfRule type="duplicateValues" dxfId="27" priority="27"/>
  </conditionalFormatting>
  <conditionalFormatting sqref="J267">
    <cfRule type="duplicateValues" dxfId="26" priority="26"/>
  </conditionalFormatting>
  <conditionalFormatting sqref="J267">
    <cfRule type="duplicateValues" dxfId="25" priority="25"/>
  </conditionalFormatting>
  <conditionalFormatting sqref="J268">
    <cfRule type="duplicateValues" dxfId="24" priority="24"/>
  </conditionalFormatting>
  <conditionalFormatting sqref="J268">
    <cfRule type="duplicateValues" dxfId="23" priority="23"/>
  </conditionalFormatting>
  <conditionalFormatting sqref="J269">
    <cfRule type="duplicateValues" dxfId="22" priority="22"/>
  </conditionalFormatting>
  <conditionalFormatting sqref="J269">
    <cfRule type="duplicateValues" dxfId="21" priority="21"/>
  </conditionalFormatting>
  <conditionalFormatting sqref="J270">
    <cfRule type="duplicateValues" dxfId="20" priority="20"/>
  </conditionalFormatting>
  <conditionalFormatting sqref="J270">
    <cfRule type="duplicateValues" dxfId="19" priority="19"/>
  </conditionalFormatting>
  <conditionalFormatting sqref="J271">
    <cfRule type="duplicateValues" dxfId="18" priority="18"/>
  </conditionalFormatting>
  <conditionalFormatting sqref="J271">
    <cfRule type="duplicateValues" dxfId="17" priority="17"/>
  </conditionalFormatting>
  <conditionalFormatting sqref="J272">
    <cfRule type="duplicateValues" dxfId="16" priority="16"/>
  </conditionalFormatting>
  <conditionalFormatting sqref="J272">
    <cfRule type="duplicateValues" dxfId="15" priority="15"/>
  </conditionalFormatting>
  <conditionalFormatting sqref="J273">
    <cfRule type="duplicateValues" dxfId="14" priority="14"/>
  </conditionalFormatting>
  <conditionalFormatting sqref="J273">
    <cfRule type="duplicateValues" dxfId="13" priority="13"/>
  </conditionalFormatting>
  <conditionalFormatting sqref="J274">
    <cfRule type="duplicateValues" dxfId="12" priority="12"/>
  </conditionalFormatting>
  <conditionalFormatting sqref="J274">
    <cfRule type="duplicateValues" dxfId="11" priority="11"/>
  </conditionalFormatting>
  <conditionalFormatting sqref="J279">
    <cfRule type="duplicateValues" dxfId="10" priority="10"/>
  </conditionalFormatting>
  <conditionalFormatting sqref="J279">
    <cfRule type="duplicateValues" dxfId="9" priority="9"/>
  </conditionalFormatting>
  <conditionalFormatting sqref="J280">
    <cfRule type="duplicateValues" dxfId="8" priority="8"/>
  </conditionalFormatting>
  <conditionalFormatting sqref="J280">
    <cfRule type="duplicateValues" dxfId="7" priority="7"/>
  </conditionalFormatting>
  <conditionalFormatting sqref="J283">
    <cfRule type="duplicateValues" dxfId="6" priority="6"/>
  </conditionalFormatting>
  <conditionalFormatting sqref="J283">
    <cfRule type="duplicateValues" dxfId="5" priority="5"/>
  </conditionalFormatting>
  <conditionalFormatting sqref="J286">
    <cfRule type="duplicateValues" dxfId="4" priority="4"/>
  </conditionalFormatting>
  <conditionalFormatting sqref="J286">
    <cfRule type="duplicateValues" dxfId="3" priority="3"/>
  </conditionalFormatting>
  <conditionalFormatting sqref="J292:J303">
    <cfRule type="duplicateValues" dxfId="2" priority="2"/>
  </conditionalFormatting>
  <conditionalFormatting sqref="J304:J313">
    <cfRule type="duplicateValues" dxfId="1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Statistics</vt:lpstr>
      <vt:lpstr>Albums</vt:lpstr>
      <vt:lpstr>Songs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Robichaud</dc:creator>
  <cp:lastModifiedBy>Patrick Robichaud</cp:lastModifiedBy>
  <dcterms:created xsi:type="dcterms:W3CDTF">2020-12-16T20:52:48Z</dcterms:created>
  <dcterms:modified xsi:type="dcterms:W3CDTF">2021-01-08T05:11:02Z</dcterms:modified>
</cp:coreProperties>
</file>