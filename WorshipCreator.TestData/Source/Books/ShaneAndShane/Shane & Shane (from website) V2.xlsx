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PageOptimizer\Data\WorshipCreator.TestData\Source\Books\ShaneAndShane\"/>
    </mc:Choice>
  </mc:AlternateContent>
  <xr:revisionPtr revIDLastSave="0" documentId="13_ncr:1_{06E3B5F9-C8F3-4116-A9BB-CF1F4D373744}" xr6:coauthVersionLast="45" xr6:coauthVersionMax="45" xr10:uidLastSave="{00000000-0000-0000-0000-000000000000}"/>
  <bookViews>
    <workbookView xWindow="-120" yWindow="-120" windowWidth="29040" windowHeight="15990" xr2:uid="{1898BBCD-4A5D-4B3F-9317-061045B1813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Sheet1!$A$1:$V$233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314" i="1" l="1"/>
  <c r="F314" i="1" s="1"/>
  <c r="H314" i="1"/>
  <c r="E244" i="1"/>
  <c r="F244" i="1" s="1"/>
  <c r="H244" i="1"/>
  <c r="E245" i="1"/>
  <c r="F245" i="1" s="1"/>
  <c r="H245" i="1"/>
  <c r="E246" i="1"/>
  <c r="F246" i="1" s="1"/>
  <c r="H246" i="1"/>
  <c r="E247" i="1"/>
  <c r="F247" i="1" s="1"/>
  <c r="H247" i="1"/>
  <c r="E248" i="1"/>
  <c r="F248" i="1" s="1"/>
  <c r="H248" i="1"/>
  <c r="E249" i="1"/>
  <c r="F249" i="1" s="1"/>
  <c r="H249" i="1"/>
  <c r="E250" i="1"/>
  <c r="F250" i="1" s="1"/>
  <c r="H250" i="1"/>
  <c r="E251" i="1"/>
  <c r="F251" i="1" s="1"/>
  <c r="H251" i="1"/>
  <c r="E252" i="1"/>
  <c r="F252" i="1" s="1"/>
  <c r="H252" i="1"/>
  <c r="E253" i="1"/>
  <c r="F253" i="1" s="1"/>
  <c r="H253" i="1"/>
  <c r="E254" i="1"/>
  <c r="F254" i="1" s="1"/>
  <c r="H254" i="1"/>
  <c r="E255" i="1"/>
  <c r="F255" i="1" s="1"/>
  <c r="H255" i="1"/>
  <c r="E256" i="1"/>
  <c r="F256" i="1" s="1"/>
  <c r="H256" i="1"/>
  <c r="E257" i="1"/>
  <c r="F257" i="1" s="1"/>
  <c r="H257" i="1"/>
  <c r="E258" i="1"/>
  <c r="F258" i="1" s="1"/>
  <c r="H258" i="1"/>
  <c r="E259" i="1"/>
  <c r="F259" i="1" s="1"/>
  <c r="H259" i="1"/>
  <c r="E260" i="1"/>
  <c r="F260" i="1" s="1"/>
  <c r="H260" i="1"/>
  <c r="E261" i="1"/>
  <c r="F261" i="1" s="1"/>
  <c r="H261" i="1"/>
  <c r="E262" i="1"/>
  <c r="F262" i="1" s="1"/>
  <c r="H262" i="1"/>
  <c r="E263" i="1"/>
  <c r="F263" i="1" s="1"/>
  <c r="H263" i="1"/>
  <c r="E264" i="1"/>
  <c r="F264" i="1" s="1"/>
  <c r="H264" i="1"/>
  <c r="E265" i="1"/>
  <c r="F265" i="1" s="1"/>
  <c r="H265" i="1"/>
  <c r="E266" i="1"/>
  <c r="F266" i="1" s="1"/>
  <c r="H266" i="1"/>
  <c r="E267" i="1"/>
  <c r="F267" i="1" s="1"/>
  <c r="H267" i="1"/>
  <c r="E268" i="1"/>
  <c r="F268" i="1" s="1"/>
  <c r="H268" i="1"/>
  <c r="E269" i="1"/>
  <c r="F269" i="1" s="1"/>
  <c r="H269" i="1"/>
  <c r="E270" i="1"/>
  <c r="F270" i="1" s="1"/>
  <c r="H270" i="1"/>
  <c r="E271" i="1"/>
  <c r="F271" i="1" s="1"/>
  <c r="H271" i="1"/>
  <c r="E272" i="1"/>
  <c r="F272" i="1" s="1"/>
  <c r="H272" i="1"/>
  <c r="E273" i="1"/>
  <c r="F273" i="1" s="1"/>
  <c r="H273" i="1"/>
  <c r="E274" i="1"/>
  <c r="F274" i="1" s="1"/>
  <c r="H274" i="1"/>
  <c r="E275" i="1"/>
  <c r="F275" i="1" s="1"/>
  <c r="H275" i="1"/>
  <c r="E276" i="1"/>
  <c r="F276" i="1" s="1"/>
  <c r="H276" i="1"/>
  <c r="E277" i="1"/>
  <c r="F277" i="1" s="1"/>
  <c r="H277" i="1"/>
  <c r="E278" i="1"/>
  <c r="F278" i="1" s="1"/>
  <c r="H278" i="1"/>
  <c r="E279" i="1"/>
  <c r="F279" i="1" s="1"/>
  <c r="H279" i="1"/>
  <c r="E280" i="1"/>
  <c r="F280" i="1" s="1"/>
  <c r="H280" i="1"/>
  <c r="E281" i="1"/>
  <c r="F281" i="1" s="1"/>
  <c r="H281" i="1"/>
  <c r="E282" i="1"/>
  <c r="F282" i="1" s="1"/>
  <c r="H282" i="1"/>
  <c r="E283" i="1"/>
  <c r="F283" i="1" s="1"/>
  <c r="H283" i="1"/>
  <c r="E284" i="1"/>
  <c r="F284" i="1" s="1"/>
  <c r="H284" i="1"/>
  <c r="E285" i="1"/>
  <c r="F285" i="1" s="1"/>
  <c r="H285" i="1"/>
  <c r="E286" i="1"/>
  <c r="F286" i="1" s="1"/>
  <c r="H286" i="1"/>
  <c r="E287" i="1"/>
  <c r="F287" i="1" s="1"/>
  <c r="H287" i="1"/>
  <c r="E288" i="1"/>
  <c r="F288" i="1" s="1"/>
  <c r="H288" i="1"/>
  <c r="E289" i="1"/>
  <c r="F289" i="1" s="1"/>
  <c r="H289" i="1"/>
  <c r="E290" i="1"/>
  <c r="F290" i="1" s="1"/>
  <c r="H290" i="1"/>
  <c r="E291" i="1"/>
  <c r="F291" i="1" s="1"/>
  <c r="H291" i="1"/>
  <c r="E292" i="1"/>
  <c r="F292" i="1" s="1"/>
  <c r="H292" i="1"/>
  <c r="E293" i="1"/>
  <c r="F293" i="1" s="1"/>
  <c r="H293" i="1"/>
  <c r="E294" i="1"/>
  <c r="F294" i="1" s="1"/>
  <c r="H294" i="1"/>
  <c r="E295" i="1"/>
  <c r="F295" i="1" s="1"/>
  <c r="H295" i="1"/>
  <c r="E296" i="1"/>
  <c r="F296" i="1" s="1"/>
  <c r="H296" i="1"/>
  <c r="E297" i="1"/>
  <c r="F297" i="1" s="1"/>
  <c r="H297" i="1"/>
  <c r="E298" i="1"/>
  <c r="F298" i="1" s="1"/>
  <c r="H298" i="1"/>
  <c r="E299" i="1"/>
  <c r="F299" i="1" s="1"/>
  <c r="H299" i="1"/>
  <c r="E300" i="1"/>
  <c r="F300" i="1" s="1"/>
  <c r="H300" i="1"/>
  <c r="E301" i="1"/>
  <c r="F301" i="1" s="1"/>
  <c r="H301" i="1"/>
  <c r="E302" i="1"/>
  <c r="F302" i="1" s="1"/>
  <c r="H302" i="1"/>
  <c r="E303" i="1"/>
  <c r="F303" i="1" s="1"/>
  <c r="H303" i="1"/>
  <c r="E304" i="1"/>
  <c r="F304" i="1" s="1"/>
  <c r="H304" i="1"/>
  <c r="E305" i="1"/>
  <c r="F305" i="1" s="1"/>
  <c r="H305" i="1"/>
  <c r="E306" i="1"/>
  <c r="F306" i="1" s="1"/>
  <c r="H306" i="1"/>
  <c r="E307" i="1"/>
  <c r="F307" i="1" s="1"/>
  <c r="H307" i="1"/>
  <c r="E308" i="1"/>
  <c r="F308" i="1" s="1"/>
  <c r="H308" i="1"/>
  <c r="E309" i="1"/>
  <c r="F309" i="1" s="1"/>
  <c r="H309" i="1"/>
  <c r="E310" i="1"/>
  <c r="F310" i="1" s="1"/>
  <c r="H310" i="1"/>
  <c r="E311" i="1"/>
  <c r="F311" i="1" s="1"/>
  <c r="H311" i="1"/>
  <c r="E312" i="1"/>
  <c r="F312" i="1" s="1"/>
  <c r="H312" i="1"/>
  <c r="E313" i="1"/>
  <c r="F313" i="1" s="1"/>
  <c r="H313" i="1"/>
  <c r="E224" i="1"/>
  <c r="F224" i="1" s="1"/>
  <c r="H224" i="1"/>
  <c r="E225" i="1"/>
  <c r="F225" i="1" s="1"/>
  <c r="H225" i="1"/>
  <c r="E226" i="1"/>
  <c r="F226" i="1" s="1"/>
  <c r="H226" i="1"/>
  <c r="E227" i="1"/>
  <c r="F227" i="1" s="1"/>
  <c r="H227" i="1"/>
  <c r="E228" i="1"/>
  <c r="F228" i="1" s="1"/>
  <c r="H228" i="1"/>
  <c r="E229" i="1"/>
  <c r="F229" i="1" s="1"/>
  <c r="H229" i="1"/>
  <c r="E230" i="1"/>
  <c r="F230" i="1" s="1"/>
  <c r="H230" i="1"/>
  <c r="E231" i="1"/>
  <c r="F231" i="1" s="1"/>
  <c r="H231" i="1"/>
  <c r="E232" i="1"/>
  <c r="F232" i="1" s="1"/>
  <c r="H232" i="1"/>
  <c r="E233" i="1"/>
  <c r="F233" i="1" s="1"/>
  <c r="H233" i="1"/>
  <c r="E234" i="1"/>
  <c r="F234" i="1" s="1"/>
  <c r="H234" i="1"/>
  <c r="E235" i="1"/>
  <c r="F235" i="1" s="1"/>
  <c r="H235" i="1"/>
  <c r="E236" i="1"/>
  <c r="F236" i="1" s="1"/>
  <c r="H236" i="1"/>
  <c r="E237" i="1"/>
  <c r="F237" i="1" s="1"/>
  <c r="H237" i="1"/>
  <c r="E238" i="1"/>
  <c r="F238" i="1" s="1"/>
  <c r="H238" i="1"/>
  <c r="E239" i="1"/>
  <c r="F239" i="1" s="1"/>
  <c r="H239" i="1"/>
  <c r="E240" i="1"/>
  <c r="F240" i="1" s="1"/>
  <c r="H240" i="1"/>
  <c r="E241" i="1"/>
  <c r="F241" i="1" s="1"/>
  <c r="H241" i="1"/>
  <c r="E242" i="1"/>
  <c r="F242" i="1" s="1"/>
  <c r="H242" i="1"/>
  <c r="E243" i="1"/>
  <c r="F243" i="1" s="1"/>
  <c r="H243" i="1"/>
  <c r="E22" i="1"/>
  <c r="F22" i="1" s="1"/>
  <c r="H22" i="1"/>
  <c r="E23" i="1"/>
  <c r="F23" i="1" s="1"/>
  <c r="H23" i="1"/>
  <c r="E24" i="1"/>
  <c r="H24" i="1"/>
  <c r="E25" i="1"/>
  <c r="F25" i="1" s="1"/>
  <c r="H25" i="1"/>
  <c r="E26" i="1"/>
  <c r="H26" i="1"/>
  <c r="E27" i="1"/>
  <c r="F27" i="1" s="1"/>
  <c r="H27" i="1"/>
  <c r="E28" i="1"/>
  <c r="H28" i="1"/>
  <c r="E29" i="1"/>
  <c r="H29" i="1"/>
  <c r="E30" i="1"/>
  <c r="H30" i="1"/>
  <c r="E31" i="1"/>
  <c r="H31" i="1"/>
  <c r="E32" i="1"/>
  <c r="H32" i="1"/>
  <c r="E33" i="1"/>
  <c r="H33" i="1"/>
  <c r="E34" i="1"/>
  <c r="H34" i="1"/>
  <c r="E35" i="1"/>
  <c r="H35" i="1"/>
  <c r="E36" i="1"/>
  <c r="H36" i="1"/>
  <c r="E37" i="1"/>
  <c r="H37" i="1"/>
  <c r="E38" i="1"/>
  <c r="H38" i="1"/>
  <c r="E39" i="1"/>
  <c r="H39" i="1"/>
  <c r="E40" i="1"/>
  <c r="H40" i="1"/>
  <c r="E41" i="1"/>
  <c r="H41" i="1"/>
  <c r="E42" i="1"/>
  <c r="H42" i="1"/>
  <c r="E43" i="1"/>
  <c r="H43" i="1"/>
  <c r="E44" i="1"/>
  <c r="H44" i="1"/>
  <c r="E45" i="1"/>
  <c r="H45" i="1"/>
  <c r="E46" i="1"/>
  <c r="H46" i="1"/>
  <c r="E47" i="1"/>
  <c r="H47" i="1"/>
  <c r="E48" i="1"/>
  <c r="H48" i="1"/>
  <c r="E49" i="1"/>
  <c r="H49" i="1"/>
  <c r="E50" i="1"/>
  <c r="H50" i="1"/>
  <c r="E51" i="1"/>
  <c r="H51" i="1"/>
  <c r="E52" i="1"/>
  <c r="H52" i="1"/>
  <c r="E53" i="1"/>
  <c r="H53" i="1"/>
  <c r="E54" i="1"/>
  <c r="H54" i="1"/>
  <c r="E55" i="1"/>
  <c r="H55" i="1"/>
  <c r="E56" i="1"/>
  <c r="H56" i="1"/>
  <c r="E57" i="1"/>
  <c r="H57" i="1"/>
  <c r="E58" i="1"/>
  <c r="H58" i="1"/>
  <c r="E59" i="1"/>
  <c r="H59" i="1"/>
  <c r="E60" i="1"/>
  <c r="H60" i="1"/>
  <c r="E61" i="1"/>
  <c r="H61" i="1"/>
  <c r="E62" i="1"/>
  <c r="H62" i="1"/>
  <c r="E63" i="1"/>
  <c r="H63" i="1"/>
  <c r="E64" i="1"/>
  <c r="H64" i="1"/>
  <c r="E65" i="1"/>
  <c r="H65" i="1"/>
  <c r="E66" i="1"/>
  <c r="H66" i="1"/>
  <c r="E67" i="1"/>
  <c r="H67" i="1"/>
  <c r="E68" i="1"/>
  <c r="H68" i="1"/>
  <c r="E69" i="1"/>
  <c r="H69" i="1"/>
  <c r="E70" i="1"/>
  <c r="H70" i="1"/>
  <c r="E71" i="1"/>
  <c r="H71" i="1"/>
  <c r="E72" i="1"/>
  <c r="H72" i="1"/>
  <c r="E73" i="1"/>
  <c r="H73" i="1"/>
  <c r="E74" i="1"/>
  <c r="H74" i="1"/>
  <c r="E75" i="1"/>
  <c r="H75" i="1"/>
  <c r="E76" i="1"/>
  <c r="H76" i="1"/>
  <c r="E77" i="1"/>
  <c r="H77" i="1"/>
  <c r="E78" i="1"/>
  <c r="H78" i="1"/>
  <c r="E79" i="1"/>
  <c r="H79" i="1"/>
  <c r="E80" i="1"/>
  <c r="H80" i="1"/>
  <c r="E81" i="1"/>
  <c r="H81" i="1"/>
  <c r="E82" i="1"/>
  <c r="H82" i="1"/>
  <c r="E83" i="1"/>
  <c r="H83" i="1"/>
  <c r="E84" i="1"/>
  <c r="H84" i="1"/>
  <c r="E85" i="1"/>
  <c r="H85" i="1"/>
  <c r="E86" i="1"/>
  <c r="H86" i="1"/>
  <c r="E87" i="1"/>
  <c r="H87" i="1"/>
  <c r="E88" i="1"/>
  <c r="H88" i="1"/>
  <c r="E89" i="1"/>
  <c r="H89" i="1"/>
  <c r="E90" i="1"/>
  <c r="H90" i="1"/>
  <c r="E91" i="1"/>
  <c r="H91" i="1"/>
  <c r="E92" i="1"/>
  <c r="H92" i="1"/>
  <c r="E93" i="1"/>
  <c r="H93" i="1"/>
  <c r="E94" i="1"/>
  <c r="H94" i="1"/>
  <c r="E95" i="1"/>
  <c r="H95" i="1"/>
  <c r="E96" i="1"/>
  <c r="H96" i="1"/>
  <c r="E97" i="1"/>
  <c r="H97" i="1"/>
  <c r="E98" i="1"/>
  <c r="H98" i="1"/>
  <c r="E99" i="1"/>
  <c r="H99" i="1"/>
  <c r="E100" i="1"/>
  <c r="H100" i="1"/>
  <c r="E101" i="1"/>
  <c r="H101" i="1"/>
  <c r="E102" i="1"/>
  <c r="H102" i="1"/>
  <c r="E103" i="1"/>
  <c r="H103" i="1"/>
  <c r="E104" i="1"/>
  <c r="H104" i="1"/>
  <c r="E105" i="1"/>
  <c r="H105" i="1"/>
  <c r="E106" i="1"/>
  <c r="H106" i="1"/>
  <c r="E107" i="1"/>
  <c r="H107" i="1"/>
  <c r="E108" i="1"/>
  <c r="H108" i="1"/>
  <c r="E109" i="1"/>
  <c r="H109" i="1"/>
  <c r="E110" i="1"/>
  <c r="H110" i="1"/>
  <c r="E111" i="1"/>
  <c r="H111" i="1"/>
  <c r="E112" i="1"/>
  <c r="H112" i="1"/>
  <c r="E113" i="1"/>
  <c r="H113" i="1"/>
  <c r="E114" i="1"/>
  <c r="H114" i="1"/>
  <c r="E115" i="1"/>
  <c r="H115" i="1"/>
  <c r="E116" i="1"/>
  <c r="H116" i="1"/>
  <c r="E117" i="1"/>
  <c r="H117" i="1"/>
  <c r="E118" i="1"/>
  <c r="H118" i="1"/>
  <c r="E119" i="1"/>
  <c r="H119" i="1"/>
  <c r="E120" i="1"/>
  <c r="H120" i="1"/>
  <c r="E121" i="1"/>
  <c r="H121" i="1"/>
  <c r="E122" i="1"/>
  <c r="H122" i="1"/>
  <c r="E123" i="1"/>
  <c r="H123" i="1"/>
  <c r="E124" i="1"/>
  <c r="H124" i="1"/>
  <c r="E125" i="1"/>
  <c r="H125" i="1"/>
  <c r="E126" i="1"/>
  <c r="H126" i="1"/>
  <c r="E127" i="1"/>
  <c r="H127" i="1"/>
  <c r="E128" i="1"/>
  <c r="H128" i="1"/>
  <c r="E129" i="1"/>
  <c r="H129" i="1"/>
  <c r="E130" i="1"/>
  <c r="H130" i="1"/>
  <c r="E131" i="1"/>
  <c r="H131" i="1"/>
  <c r="E132" i="1"/>
  <c r="H132" i="1"/>
  <c r="E133" i="1"/>
  <c r="H133" i="1"/>
  <c r="E134" i="1"/>
  <c r="H134" i="1"/>
  <c r="E135" i="1"/>
  <c r="H135" i="1"/>
  <c r="E136" i="1"/>
  <c r="H136" i="1"/>
  <c r="E137" i="1"/>
  <c r="H137" i="1"/>
  <c r="E138" i="1"/>
  <c r="H138" i="1"/>
  <c r="E139" i="1"/>
  <c r="H139" i="1"/>
  <c r="E140" i="1"/>
  <c r="H140" i="1"/>
  <c r="E141" i="1"/>
  <c r="H141" i="1"/>
  <c r="E142" i="1"/>
  <c r="H142" i="1"/>
  <c r="E143" i="1"/>
  <c r="H143" i="1"/>
  <c r="E144" i="1"/>
  <c r="H144" i="1"/>
  <c r="E145" i="1"/>
  <c r="H145" i="1"/>
  <c r="E146" i="1"/>
  <c r="H146" i="1"/>
  <c r="E147" i="1"/>
  <c r="H147" i="1"/>
  <c r="E148" i="1"/>
  <c r="H148" i="1"/>
  <c r="E149" i="1"/>
  <c r="H149" i="1"/>
  <c r="E150" i="1"/>
  <c r="H150" i="1"/>
  <c r="E151" i="1"/>
  <c r="H151" i="1"/>
  <c r="E152" i="1"/>
  <c r="H152" i="1"/>
  <c r="E153" i="1"/>
  <c r="H153" i="1"/>
  <c r="E154" i="1"/>
  <c r="H154" i="1"/>
  <c r="E155" i="1"/>
  <c r="H155" i="1"/>
  <c r="E156" i="1"/>
  <c r="H156" i="1"/>
  <c r="E157" i="1"/>
  <c r="H157" i="1"/>
  <c r="E158" i="1"/>
  <c r="H158" i="1"/>
  <c r="E159" i="1"/>
  <c r="H159" i="1"/>
  <c r="E160" i="1"/>
  <c r="H160" i="1"/>
  <c r="E161" i="1"/>
  <c r="H161" i="1"/>
  <c r="E162" i="1"/>
  <c r="H162" i="1"/>
  <c r="E163" i="1"/>
  <c r="H163" i="1"/>
  <c r="E164" i="1"/>
  <c r="H164" i="1"/>
  <c r="E165" i="1"/>
  <c r="H165" i="1"/>
  <c r="E166" i="1"/>
  <c r="H166" i="1"/>
  <c r="E167" i="1"/>
  <c r="H167" i="1"/>
  <c r="E168" i="1"/>
  <c r="H168" i="1"/>
  <c r="E169" i="1"/>
  <c r="H169" i="1"/>
  <c r="E170" i="1"/>
  <c r="H170" i="1"/>
  <c r="E171" i="1"/>
  <c r="H171" i="1"/>
  <c r="E172" i="1"/>
  <c r="H172" i="1"/>
  <c r="E173" i="1"/>
  <c r="H173" i="1"/>
  <c r="E174" i="1"/>
  <c r="H174" i="1"/>
  <c r="E175" i="1"/>
  <c r="H175" i="1"/>
  <c r="E176" i="1"/>
  <c r="H176" i="1"/>
  <c r="E177" i="1"/>
  <c r="H177" i="1"/>
  <c r="E178" i="1"/>
  <c r="H178" i="1"/>
  <c r="E179" i="1"/>
  <c r="H179" i="1"/>
  <c r="E180" i="1"/>
  <c r="H180" i="1"/>
  <c r="E181" i="1"/>
  <c r="G181" i="1" s="1"/>
  <c r="H181" i="1"/>
  <c r="E182" i="1"/>
  <c r="F182" i="1" s="1"/>
  <c r="H182" i="1"/>
  <c r="E183" i="1"/>
  <c r="F183" i="1" s="1"/>
  <c r="H183" i="1"/>
  <c r="E184" i="1"/>
  <c r="F184" i="1" s="1"/>
  <c r="H184" i="1"/>
  <c r="E185" i="1"/>
  <c r="F185" i="1" s="1"/>
  <c r="H185" i="1"/>
  <c r="E186" i="1"/>
  <c r="F186" i="1" s="1"/>
  <c r="H186" i="1"/>
  <c r="E187" i="1"/>
  <c r="F187" i="1" s="1"/>
  <c r="H187" i="1"/>
  <c r="E188" i="1"/>
  <c r="F188" i="1" s="1"/>
  <c r="H188" i="1"/>
  <c r="E189" i="1"/>
  <c r="F189" i="1" s="1"/>
  <c r="H189" i="1"/>
  <c r="E190" i="1"/>
  <c r="F190" i="1" s="1"/>
  <c r="H190" i="1"/>
  <c r="E191" i="1"/>
  <c r="F191" i="1" s="1"/>
  <c r="H191" i="1"/>
  <c r="E192" i="1"/>
  <c r="F192" i="1" s="1"/>
  <c r="H192" i="1"/>
  <c r="E193" i="1"/>
  <c r="F193" i="1" s="1"/>
  <c r="H193" i="1"/>
  <c r="E194" i="1"/>
  <c r="F194" i="1" s="1"/>
  <c r="H194" i="1"/>
  <c r="E195" i="1"/>
  <c r="G195" i="1" s="1"/>
  <c r="H195" i="1"/>
  <c r="E196" i="1"/>
  <c r="F196" i="1" s="1"/>
  <c r="H196" i="1"/>
  <c r="E197" i="1"/>
  <c r="G197" i="1" s="1"/>
  <c r="H197" i="1"/>
  <c r="E198" i="1"/>
  <c r="F198" i="1" s="1"/>
  <c r="H198" i="1"/>
  <c r="E199" i="1"/>
  <c r="G199" i="1" s="1"/>
  <c r="H199" i="1"/>
  <c r="E200" i="1"/>
  <c r="F200" i="1" s="1"/>
  <c r="H200" i="1"/>
  <c r="E201" i="1"/>
  <c r="G201" i="1" s="1"/>
  <c r="H201" i="1"/>
  <c r="E202" i="1"/>
  <c r="F202" i="1" s="1"/>
  <c r="H202" i="1"/>
  <c r="E203" i="1"/>
  <c r="G203" i="1" s="1"/>
  <c r="H203" i="1"/>
  <c r="E204" i="1"/>
  <c r="F204" i="1" s="1"/>
  <c r="H204" i="1"/>
  <c r="E205" i="1"/>
  <c r="G205" i="1" s="1"/>
  <c r="H205" i="1"/>
  <c r="E206" i="1"/>
  <c r="F206" i="1" s="1"/>
  <c r="H206" i="1"/>
  <c r="E207" i="1"/>
  <c r="G207" i="1" s="1"/>
  <c r="H207" i="1"/>
  <c r="E208" i="1"/>
  <c r="F208" i="1" s="1"/>
  <c r="H208" i="1"/>
  <c r="E209" i="1"/>
  <c r="G209" i="1" s="1"/>
  <c r="H209" i="1"/>
  <c r="E210" i="1"/>
  <c r="F210" i="1" s="1"/>
  <c r="H210" i="1"/>
  <c r="E211" i="1"/>
  <c r="G211" i="1" s="1"/>
  <c r="H211" i="1"/>
  <c r="E212" i="1"/>
  <c r="F212" i="1" s="1"/>
  <c r="H212" i="1"/>
  <c r="E213" i="1"/>
  <c r="G213" i="1" s="1"/>
  <c r="H213" i="1"/>
  <c r="E214" i="1"/>
  <c r="F214" i="1" s="1"/>
  <c r="H214" i="1"/>
  <c r="E215" i="1"/>
  <c r="G215" i="1" s="1"/>
  <c r="H215" i="1"/>
  <c r="E216" i="1"/>
  <c r="F216" i="1" s="1"/>
  <c r="H216" i="1"/>
  <c r="E217" i="1"/>
  <c r="G217" i="1" s="1"/>
  <c r="F217" i="1"/>
  <c r="H217" i="1"/>
  <c r="E218" i="1"/>
  <c r="F218" i="1" s="1"/>
  <c r="H218" i="1"/>
  <c r="E219" i="1"/>
  <c r="G219" i="1" s="1"/>
  <c r="H219" i="1"/>
  <c r="E220" i="1"/>
  <c r="F220" i="1" s="1"/>
  <c r="H220" i="1"/>
  <c r="E221" i="1"/>
  <c r="G221" i="1" s="1"/>
  <c r="H221" i="1"/>
  <c r="E222" i="1"/>
  <c r="F222" i="1" s="1"/>
  <c r="H222" i="1"/>
  <c r="E223" i="1"/>
  <c r="G223" i="1" s="1"/>
  <c r="H223" i="1"/>
  <c r="H21" i="1"/>
  <c r="E21" i="1"/>
  <c r="G21" i="1" s="1"/>
  <c r="H20" i="1"/>
  <c r="E20" i="1"/>
  <c r="G20" i="1" s="1"/>
  <c r="H19" i="1"/>
  <c r="E19" i="1"/>
  <c r="G19" i="1" s="1"/>
  <c r="H18" i="1"/>
  <c r="E18" i="1"/>
  <c r="G18" i="1" s="1"/>
  <c r="H17" i="1"/>
  <c r="E17" i="1"/>
  <c r="G17" i="1" s="1"/>
  <c r="H16" i="1"/>
  <c r="E16" i="1"/>
  <c r="G16" i="1" s="1"/>
  <c r="H15" i="1"/>
  <c r="E15" i="1"/>
  <c r="G15" i="1" s="1"/>
  <c r="H14" i="1"/>
  <c r="E14" i="1"/>
  <c r="G14" i="1" s="1"/>
  <c r="H13" i="1"/>
  <c r="E13" i="1"/>
  <c r="G13" i="1" s="1"/>
  <c r="H12" i="1"/>
  <c r="E12" i="1"/>
  <c r="G12" i="1" s="1"/>
  <c r="H11" i="1"/>
  <c r="E11" i="1"/>
  <c r="G11" i="1" s="1"/>
  <c r="H10" i="1"/>
  <c r="E10" i="1"/>
  <c r="G10" i="1" s="1"/>
  <c r="H9" i="1"/>
  <c r="E9" i="1"/>
  <c r="G9" i="1" s="1"/>
  <c r="H8" i="1"/>
  <c r="E8" i="1"/>
  <c r="G8" i="1" s="1"/>
  <c r="H7" i="1"/>
  <c r="E7" i="1"/>
  <c r="G7" i="1" s="1"/>
  <c r="H6" i="1"/>
  <c r="E6" i="1"/>
  <c r="G6" i="1" s="1"/>
  <c r="H5" i="1"/>
  <c r="E5" i="1"/>
  <c r="G5" i="1" s="1"/>
  <c r="H4" i="1"/>
  <c r="E4" i="1"/>
  <c r="G4" i="1" s="1"/>
  <c r="H3" i="1"/>
  <c r="E3" i="1"/>
  <c r="G3" i="1" s="1"/>
  <c r="H2" i="1"/>
  <c r="E2" i="1"/>
  <c r="G2" i="1" s="1"/>
  <c r="G314" i="1" l="1"/>
  <c r="G193" i="1"/>
  <c r="F215" i="1"/>
  <c r="G186" i="1"/>
  <c r="F199" i="1"/>
  <c r="F205" i="1"/>
  <c r="G187" i="1"/>
  <c r="F223" i="1"/>
  <c r="F195" i="1"/>
  <c r="F201" i="1"/>
  <c r="F207" i="1"/>
  <c r="F221" i="1"/>
  <c r="F211" i="1"/>
  <c r="G184" i="1"/>
  <c r="F213" i="1"/>
  <c r="F197" i="1"/>
  <c r="F219" i="1"/>
  <c r="F203" i="1"/>
  <c r="G191" i="1"/>
  <c r="G185" i="1"/>
  <c r="F209" i="1"/>
  <c r="G312" i="1"/>
  <c r="G310" i="1"/>
  <c r="G308" i="1"/>
  <c r="G306" i="1"/>
  <c r="G304" i="1"/>
  <c r="G303" i="1"/>
  <c r="G301" i="1"/>
  <c r="G299" i="1"/>
  <c r="G297" i="1"/>
  <c r="G295" i="1"/>
  <c r="G293" i="1"/>
  <c r="G290" i="1"/>
  <c r="G288" i="1"/>
  <c r="G286" i="1"/>
  <c r="G284" i="1"/>
  <c r="G282" i="1"/>
  <c r="G280" i="1"/>
  <c r="G278" i="1"/>
  <c r="G276" i="1"/>
  <c r="G274" i="1"/>
  <c r="G272" i="1"/>
  <c r="G270" i="1"/>
  <c r="G268" i="1"/>
  <c r="G265" i="1"/>
  <c r="G263" i="1"/>
  <c r="G261" i="1"/>
  <c r="G259" i="1"/>
  <c r="G257" i="1"/>
  <c r="G255" i="1"/>
  <c r="G253" i="1"/>
  <c r="G251" i="1"/>
  <c r="G249" i="1"/>
  <c r="G247" i="1"/>
  <c r="G245" i="1"/>
  <c r="G313" i="1"/>
  <c r="G311" i="1"/>
  <c r="G309" i="1"/>
  <c r="G307" i="1"/>
  <c r="G305" i="1"/>
  <c r="G302" i="1"/>
  <c r="G300" i="1"/>
  <c r="G298" i="1"/>
  <c r="G296" i="1"/>
  <c r="G294" i="1"/>
  <c r="G292" i="1"/>
  <c r="G291" i="1"/>
  <c r="G289" i="1"/>
  <c r="G287" i="1"/>
  <c r="G285" i="1"/>
  <c r="G283" i="1"/>
  <c r="G281" i="1"/>
  <c r="G279" i="1"/>
  <c r="G277" i="1"/>
  <c r="G275" i="1"/>
  <c r="G273" i="1"/>
  <c r="G271" i="1"/>
  <c r="G269" i="1"/>
  <c r="G267" i="1"/>
  <c r="G266" i="1"/>
  <c r="G264" i="1"/>
  <c r="G262" i="1"/>
  <c r="G260" i="1"/>
  <c r="G258" i="1"/>
  <c r="G256" i="1"/>
  <c r="G254" i="1"/>
  <c r="G252" i="1"/>
  <c r="G250" i="1"/>
  <c r="G248" i="1"/>
  <c r="G246" i="1"/>
  <c r="G244" i="1"/>
  <c r="G242" i="1"/>
  <c r="G240" i="1"/>
  <c r="G238" i="1"/>
  <c r="G236" i="1"/>
  <c r="G234" i="1"/>
  <c r="G233" i="1"/>
  <c r="G231" i="1"/>
  <c r="G229" i="1"/>
  <c r="G227" i="1"/>
  <c r="G225" i="1"/>
  <c r="G243" i="1"/>
  <c r="G241" i="1"/>
  <c r="G239" i="1"/>
  <c r="G237" i="1"/>
  <c r="G235" i="1"/>
  <c r="G232" i="1"/>
  <c r="G230" i="1"/>
  <c r="G228" i="1"/>
  <c r="G226" i="1"/>
  <c r="G224" i="1"/>
  <c r="G222" i="1"/>
  <c r="G220" i="1"/>
  <c r="G218" i="1"/>
  <c r="G216" i="1"/>
  <c r="G214" i="1"/>
  <c r="G212" i="1"/>
  <c r="G210" i="1"/>
  <c r="G208" i="1"/>
  <c r="G206" i="1"/>
  <c r="G204" i="1"/>
  <c r="G202" i="1"/>
  <c r="G200" i="1"/>
  <c r="G198" i="1"/>
  <c r="G196" i="1"/>
  <c r="G194" i="1"/>
  <c r="G192" i="1"/>
  <c r="G190" i="1"/>
  <c r="G183" i="1"/>
  <c r="F181" i="1"/>
  <c r="F177" i="1"/>
  <c r="G177" i="1"/>
  <c r="F173" i="1"/>
  <c r="G173" i="1"/>
  <c r="F169" i="1"/>
  <c r="G169" i="1"/>
  <c r="F165" i="1"/>
  <c r="G165" i="1"/>
  <c r="F161" i="1"/>
  <c r="G161" i="1"/>
  <c r="F157" i="1"/>
  <c r="G157" i="1"/>
  <c r="F153" i="1"/>
  <c r="G153" i="1"/>
  <c r="F149" i="1"/>
  <c r="G149" i="1"/>
  <c r="F145" i="1"/>
  <c r="G145" i="1"/>
  <c r="F141" i="1"/>
  <c r="G141" i="1"/>
  <c r="F137" i="1"/>
  <c r="G137" i="1"/>
  <c r="F133" i="1"/>
  <c r="G133" i="1"/>
  <c r="F129" i="1"/>
  <c r="G129" i="1"/>
  <c r="F125" i="1"/>
  <c r="G125" i="1"/>
  <c r="F121" i="1"/>
  <c r="G121" i="1"/>
  <c r="F117" i="1"/>
  <c r="G117" i="1"/>
  <c r="F113" i="1"/>
  <c r="G113" i="1"/>
  <c r="F109" i="1"/>
  <c r="G109" i="1"/>
  <c r="F105" i="1"/>
  <c r="G105" i="1"/>
  <c r="F101" i="1"/>
  <c r="G101" i="1"/>
  <c r="F97" i="1"/>
  <c r="G97" i="1"/>
  <c r="F93" i="1"/>
  <c r="G93" i="1"/>
  <c r="F89" i="1"/>
  <c r="G89" i="1"/>
  <c r="F85" i="1"/>
  <c r="G85" i="1"/>
  <c r="F81" i="1"/>
  <c r="G81" i="1"/>
  <c r="F77" i="1"/>
  <c r="G77" i="1"/>
  <c r="F73" i="1"/>
  <c r="G73" i="1"/>
  <c r="F69" i="1"/>
  <c r="G69" i="1"/>
  <c r="F65" i="1"/>
  <c r="G65" i="1"/>
  <c r="F61" i="1"/>
  <c r="G61" i="1"/>
  <c r="F57" i="1"/>
  <c r="G57" i="1"/>
  <c r="F53" i="1"/>
  <c r="G53" i="1"/>
  <c r="F49" i="1"/>
  <c r="G49" i="1"/>
  <c r="F45" i="1"/>
  <c r="G45" i="1"/>
  <c r="F41" i="1"/>
  <c r="G41" i="1"/>
  <c r="F37" i="1"/>
  <c r="G37" i="1"/>
  <c r="F33" i="1"/>
  <c r="G33" i="1"/>
  <c r="F29" i="1"/>
  <c r="G29" i="1"/>
  <c r="G189" i="1"/>
  <c r="F180" i="1"/>
  <c r="G180" i="1"/>
  <c r="F176" i="1"/>
  <c r="G176" i="1"/>
  <c r="F172" i="1"/>
  <c r="G172" i="1"/>
  <c r="F168" i="1"/>
  <c r="G168" i="1"/>
  <c r="F164" i="1"/>
  <c r="G164" i="1"/>
  <c r="F160" i="1"/>
  <c r="G160" i="1"/>
  <c r="F156" i="1"/>
  <c r="G156" i="1"/>
  <c r="F152" i="1"/>
  <c r="G152" i="1"/>
  <c r="F148" i="1"/>
  <c r="G148" i="1"/>
  <c r="F144" i="1"/>
  <c r="G144" i="1"/>
  <c r="F140" i="1"/>
  <c r="G140" i="1"/>
  <c r="F136" i="1"/>
  <c r="G136" i="1"/>
  <c r="F132" i="1"/>
  <c r="G132" i="1"/>
  <c r="F128" i="1"/>
  <c r="G128" i="1"/>
  <c r="F124" i="1"/>
  <c r="G124" i="1"/>
  <c r="F120" i="1"/>
  <c r="G120" i="1"/>
  <c r="F116" i="1"/>
  <c r="G116" i="1"/>
  <c r="F112" i="1"/>
  <c r="G112" i="1"/>
  <c r="F108" i="1"/>
  <c r="G108" i="1"/>
  <c r="F104" i="1"/>
  <c r="G104" i="1"/>
  <c r="F100" i="1"/>
  <c r="G100" i="1"/>
  <c r="F96" i="1"/>
  <c r="G96" i="1"/>
  <c r="F92" i="1"/>
  <c r="G92" i="1"/>
  <c r="F88" i="1"/>
  <c r="G88" i="1"/>
  <c r="F84" i="1"/>
  <c r="G84" i="1"/>
  <c r="F80" i="1"/>
  <c r="G80" i="1"/>
  <c r="F76" i="1"/>
  <c r="G76" i="1"/>
  <c r="F72" i="1"/>
  <c r="G72" i="1"/>
  <c r="F68" i="1"/>
  <c r="G68" i="1"/>
  <c r="F64" i="1"/>
  <c r="G64" i="1"/>
  <c r="F60" i="1"/>
  <c r="G60" i="1"/>
  <c r="F56" i="1"/>
  <c r="G56" i="1"/>
  <c r="F52" i="1"/>
  <c r="G52" i="1"/>
  <c r="F48" i="1"/>
  <c r="G48" i="1"/>
  <c r="F44" i="1"/>
  <c r="G44" i="1"/>
  <c r="F40" i="1"/>
  <c r="G40" i="1"/>
  <c r="F36" i="1"/>
  <c r="G36" i="1"/>
  <c r="F32" i="1"/>
  <c r="G32" i="1"/>
  <c r="F28" i="1"/>
  <c r="G28" i="1"/>
  <c r="F24" i="1"/>
  <c r="G24" i="1"/>
  <c r="G182" i="1"/>
  <c r="F179" i="1"/>
  <c r="G179" i="1"/>
  <c r="F175" i="1"/>
  <c r="G175" i="1"/>
  <c r="F171" i="1"/>
  <c r="G171" i="1"/>
  <c r="F167" i="1"/>
  <c r="G167" i="1"/>
  <c r="F163" i="1"/>
  <c r="G163" i="1"/>
  <c r="F159" i="1"/>
  <c r="G159" i="1"/>
  <c r="F155" i="1"/>
  <c r="G155" i="1"/>
  <c r="F151" i="1"/>
  <c r="G151" i="1"/>
  <c r="F147" i="1"/>
  <c r="G147" i="1"/>
  <c r="F143" i="1"/>
  <c r="G143" i="1"/>
  <c r="F139" i="1"/>
  <c r="G139" i="1"/>
  <c r="F135" i="1"/>
  <c r="G135" i="1"/>
  <c r="F131" i="1"/>
  <c r="G131" i="1"/>
  <c r="F127" i="1"/>
  <c r="G127" i="1"/>
  <c r="F123" i="1"/>
  <c r="G123" i="1"/>
  <c r="F119" i="1"/>
  <c r="G119" i="1"/>
  <c r="F115" i="1"/>
  <c r="G115" i="1"/>
  <c r="F111" i="1"/>
  <c r="G111" i="1"/>
  <c r="F107" i="1"/>
  <c r="G107" i="1"/>
  <c r="F103" i="1"/>
  <c r="G103" i="1"/>
  <c r="F99" i="1"/>
  <c r="G99" i="1"/>
  <c r="F95" i="1"/>
  <c r="G95" i="1"/>
  <c r="F91" i="1"/>
  <c r="G91" i="1"/>
  <c r="F87" i="1"/>
  <c r="G87" i="1"/>
  <c r="F83" i="1"/>
  <c r="G83" i="1"/>
  <c r="F79" i="1"/>
  <c r="G79" i="1"/>
  <c r="F75" i="1"/>
  <c r="G75" i="1"/>
  <c r="F71" i="1"/>
  <c r="G71" i="1"/>
  <c r="F67" i="1"/>
  <c r="G67" i="1"/>
  <c r="F63" i="1"/>
  <c r="G63" i="1"/>
  <c r="F59" i="1"/>
  <c r="G59" i="1"/>
  <c r="F55" i="1"/>
  <c r="G55" i="1"/>
  <c r="F51" i="1"/>
  <c r="G51" i="1"/>
  <c r="F47" i="1"/>
  <c r="G47" i="1"/>
  <c r="F43" i="1"/>
  <c r="G43" i="1"/>
  <c r="F39" i="1"/>
  <c r="G39" i="1"/>
  <c r="F35" i="1"/>
  <c r="G35" i="1"/>
  <c r="F31" i="1"/>
  <c r="G31" i="1"/>
  <c r="G188" i="1"/>
  <c r="F178" i="1"/>
  <c r="G178" i="1"/>
  <c r="F174" i="1"/>
  <c r="G174" i="1"/>
  <c r="F170" i="1"/>
  <c r="G170" i="1"/>
  <c r="F166" i="1"/>
  <c r="G166" i="1"/>
  <c r="F162" i="1"/>
  <c r="G162" i="1"/>
  <c r="F158" i="1"/>
  <c r="G158" i="1"/>
  <c r="F154" i="1"/>
  <c r="G154" i="1"/>
  <c r="F150" i="1"/>
  <c r="G150" i="1"/>
  <c r="F146" i="1"/>
  <c r="G146" i="1"/>
  <c r="F142" i="1"/>
  <c r="G142" i="1"/>
  <c r="F138" i="1"/>
  <c r="G138" i="1"/>
  <c r="F134" i="1"/>
  <c r="G134" i="1"/>
  <c r="F130" i="1"/>
  <c r="G130" i="1"/>
  <c r="F126" i="1"/>
  <c r="G126" i="1"/>
  <c r="F122" i="1"/>
  <c r="G122" i="1"/>
  <c r="F118" i="1"/>
  <c r="G118" i="1"/>
  <c r="F114" i="1"/>
  <c r="G114" i="1"/>
  <c r="F110" i="1"/>
  <c r="G110" i="1"/>
  <c r="F106" i="1"/>
  <c r="G106" i="1"/>
  <c r="F102" i="1"/>
  <c r="G102" i="1"/>
  <c r="F98" i="1"/>
  <c r="G98" i="1"/>
  <c r="F94" i="1"/>
  <c r="G94" i="1"/>
  <c r="F90" i="1"/>
  <c r="G90" i="1"/>
  <c r="F86" i="1"/>
  <c r="G86" i="1"/>
  <c r="F82" i="1"/>
  <c r="G82" i="1"/>
  <c r="F78" i="1"/>
  <c r="G78" i="1"/>
  <c r="F74" i="1"/>
  <c r="G74" i="1"/>
  <c r="F70" i="1"/>
  <c r="G70" i="1"/>
  <c r="F66" i="1"/>
  <c r="G66" i="1"/>
  <c r="F62" i="1"/>
  <c r="G62" i="1"/>
  <c r="F58" i="1"/>
  <c r="G58" i="1"/>
  <c r="F54" i="1"/>
  <c r="G54" i="1"/>
  <c r="F50" i="1"/>
  <c r="G50" i="1"/>
  <c r="F46" i="1"/>
  <c r="G46" i="1"/>
  <c r="F42" i="1"/>
  <c r="G42" i="1"/>
  <c r="F38" i="1"/>
  <c r="G38" i="1"/>
  <c r="F34" i="1"/>
  <c r="G34" i="1"/>
  <c r="F30" i="1"/>
  <c r="G30" i="1"/>
  <c r="F26" i="1"/>
  <c r="G26" i="1"/>
  <c r="G27" i="1"/>
  <c r="G25" i="1"/>
  <c r="G23" i="1"/>
  <c r="G22" i="1"/>
  <c r="F4" i="1"/>
  <c r="F6" i="1"/>
  <c r="F8" i="1"/>
  <c r="F10" i="1"/>
  <c r="F12" i="1"/>
  <c r="F14" i="1"/>
  <c r="F16" i="1"/>
  <c r="F18" i="1"/>
  <c r="F20" i="1"/>
  <c r="F3" i="1"/>
  <c r="F5" i="1"/>
  <c r="F7" i="1"/>
  <c r="F9" i="1"/>
  <c r="F11" i="1"/>
  <c r="F13" i="1"/>
  <c r="F15" i="1"/>
  <c r="F17" i="1"/>
  <c r="F19" i="1"/>
  <c r="F21" i="1"/>
  <c r="F2" i="1"/>
  <c r="W200" i="1" l="1"/>
  <c r="W191" i="1"/>
  <c r="W183" i="1"/>
  <c r="W181" i="1"/>
  <c r="W176" i="1"/>
  <c r="W174" i="1"/>
  <c r="W172" i="1"/>
  <c r="W168" i="1"/>
  <c r="W166" i="1"/>
  <c r="W157" i="1"/>
  <c r="W154" i="1"/>
  <c r="W153" i="1"/>
  <c r="W152" i="1"/>
  <c r="W150" i="1"/>
  <c r="W149" i="1"/>
  <c r="W148" i="1"/>
  <c r="W146" i="1"/>
  <c r="W142" i="1"/>
  <c r="W139" i="1"/>
  <c r="W138" i="1"/>
  <c r="W135" i="1"/>
  <c r="W134" i="1"/>
  <c r="W133" i="1"/>
  <c r="W132" i="1"/>
  <c r="W129" i="1"/>
  <c r="W125" i="1"/>
  <c r="W119" i="1"/>
  <c r="W118" i="1"/>
  <c r="W115" i="1"/>
  <c r="W114" i="1"/>
  <c r="W112" i="1"/>
  <c r="W101" i="1"/>
  <c r="W100" i="1"/>
  <c r="W99" i="1"/>
  <c r="W98" i="1"/>
  <c r="W97" i="1"/>
  <c r="W96" i="1"/>
  <c r="W93" i="1"/>
  <c r="W86" i="1"/>
  <c r="W85" i="1"/>
  <c r="W84" i="1"/>
  <c r="W79" i="1"/>
  <c r="W72" i="1"/>
  <c r="W64" i="1"/>
  <c r="W63" i="1"/>
  <c r="W61" i="1"/>
  <c r="W60" i="1"/>
  <c r="W59" i="1"/>
  <c r="W58" i="1"/>
  <c r="W55" i="1"/>
  <c r="W54" i="1"/>
  <c r="W52" i="1"/>
  <c r="W51" i="1"/>
  <c r="W50" i="1"/>
  <c r="W49" i="1"/>
  <c r="W42" i="1"/>
  <c r="W39" i="1"/>
  <c r="W37" i="1"/>
  <c r="W31" i="1"/>
  <c r="W30" i="1"/>
  <c r="W29" i="1"/>
  <c r="W28" i="1"/>
  <c r="W23" i="1"/>
  <c r="W21" i="1"/>
  <c r="W20" i="1"/>
  <c r="W19" i="1"/>
  <c r="W17" i="1"/>
  <c r="W16" i="1"/>
  <c r="W15" i="1"/>
  <c r="W13" i="1"/>
  <c r="W10" i="1"/>
  <c r="W9" i="1"/>
  <c r="W6" i="1"/>
  <c r="W5" i="1"/>
  <c r="W4" i="1"/>
  <c r="W3" i="1"/>
  <c r="W2" i="1"/>
  <c r="W111" i="1"/>
  <c r="W110" i="1"/>
  <c r="W106" i="1"/>
  <c r="W105" i="1"/>
  <c r="J3" i="2" l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2" i="2"/>
  <c r="H17" i="2" l="1"/>
  <c r="I17" i="2"/>
  <c r="H80" i="2"/>
  <c r="I80" i="2"/>
  <c r="H72" i="2"/>
  <c r="I72" i="2"/>
  <c r="H81" i="2"/>
  <c r="I81" i="2"/>
  <c r="H48" i="2"/>
  <c r="I48" i="2"/>
  <c r="H93" i="2"/>
  <c r="I93" i="2"/>
  <c r="I29" i="2"/>
  <c r="H29" i="2"/>
  <c r="H65" i="2"/>
  <c r="I65" i="2"/>
  <c r="H94" i="2"/>
  <c r="I94" i="2"/>
  <c r="H30" i="2"/>
  <c r="I30" i="2"/>
  <c r="H12" i="2"/>
  <c r="I12" i="2"/>
  <c r="I82" i="2"/>
  <c r="H82" i="2"/>
  <c r="H95" i="2"/>
  <c r="I95" i="2"/>
  <c r="I59" i="2"/>
  <c r="H59" i="2"/>
  <c r="H11" i="2"/>
  <c r="I11" i="2"/>
  <c r="H66" i="2"/>
  <c r="I66" i="2"/>
  <c r="H47" i="2"/>
  <c r="I47" i="2"/>
  <c r="H75" i="2"/>
  <c r="I75" i="2"/>
  <c r="H43" i="2"/>
  <c r="I43" i="2"/>
  <c r="H96" i="2"/>
  <c r="I96" i="2"/>
  <c r="I74" i="2"/>
  <c r="H74" i="2"/>
  <c r="I58" i="2"/>
  <c r="H58" i="2"/>
  <c r="I42" i="2"/>
  <c r="H42" i="2"/>
  <c r="I26" i="2"/>
  <c r="H26" i="2"/>
  <c r="I88" i="2"/>
  <c r="H88" i="2"/>
  <c r="I10" i="2"/>
  <c r="H10" i="2"/>
  <c r="H18" i="2"/>
  <c r="I18" i="2"/>
  <c r="I31" i="2"/>
  <c r="H31" i="2"/>
  <c r="I13" i="2"/>
  <c r="H13" i="2"/>
  <c r="I60" i="2"/>
  <c r="H60" i="2"/>
  <c r="H76" i="2"/>
  <c r="I76" i="2"/>
  <c r="H32" i="2"/>
  <c r="I32" i="2"/>
  <c r="H49" i="2"/>
  <c r="I49" i="2"/>
  <c r="H61" i="2"/>
  <c r="I61" i="2"/>
  <c r="H77" i="2"/>
  <c r="I77" i="2"/>
  <c r="I90" i="2"/>
  <c r="H90" i="2"/>
  <c r="I89" i="2"/>
  <c r="H89" i="2"/>
  <c r="H57" i="2"/>
  <c r="I57" i="2"/>
  <c r="H41" i="2"/>
  <c r="I41" i="2"/>
  <c r="I25" i="2"/>
  <c r="H25" i="2"/>
  <c r="I40" i="2"/>
  <c r="H40" i="2"/>
  <c r="I24" i="2"/>
  <c r="H24" i="2"/>
  <c r="H8" i="2"/>
  <c r="I8" i="2"/>
  <c r="H91" i="2"/>
  <c r="I91" i="2"/>
  <c r="I87" i="2"/>
  <c r="H87" i="2"/>
  <c r="H71" i="2"/>
  <c r="I71" i="2"/>
  <c r="H44" i="2"/>
  <c r="I44" i="2"/>
  <c r="H62" i="2"/>
  <c r="I62" i="2"/>
  <c r="I7" i="2"/>
  <c r="H7" i="2"/>
  <c r="I97" i="2"/>
  <c r="H97" i="2"/>
  <c r="H86" i="2"/>
  <c r="I86" i="2"/>
  <c r="I54" i="2"/>
  <c r="H54" i="2"/>
  <c r="H22" i="2"/>
  <c r="I22" i="2"/>
  <c r="I15" i="2"/>
  <c r="H15" i="2"/>
  <c r="I101" i="2"/>
  <c r="H101" i="2"/>
  <c r="I69" i="2"/>
  <c r="H69" i="2"/>
  <c r="H37" i="2"/>
  <c r="I37" i="2"/>
  <c r="H5" i="2"/>
  <c r="I5" i="2"/>
  <c r="H14" i="2"/>
  <c r="I14" i="2"/>
  <c r="I33" i="2"/>
  <c r="H33" i="2"/>
  <c r="H102" i="2"/>
  <c r="I102" i="2"/>
  <c r="H70" i="2"/>
  <c r="I70" i="2"/>
  <c r="I38" i="2"/>
  <c r="H38" i="2"/>
  <c r="H6" i="2"/>
  <c r="I6" i="2"/>
  <c r="H27" i="2"/>
  <c r="I27" i="2"/>
  <c r="I45" i="2"/>
  <c r="H45" i="2"/>
  <c r="I55" i="2"/>
  <c r="H55" i="2"/>
  <c r="I63" i="2"/>
  <c r="H63" i="2"/>
  <c r="I53" i="2"/>
  <c r="H53" i="2"/>
  <c r="H9" i="2"/>
  <c r="I9" i="2"/>
  <c r="H39" i="2"/>
  <c r="I39" i="2"/>
  <c r="I73" i="2"/>
  <c r="H73" i="2"/>
  <c r="I78" i="2"/>
  <c r="H78" i="2"/>
  <c r="I85" i="2"/>
  <c r="H85" i="2"/>
  <c r="I92" i="2"/>
  <c r="H92" i="2"/>
  <c r="I98" i="2"/>
  <c r="H98" i="2"/>
  <c r="I100" i="2"/>
  <c r="H100" i="2"/>
  <c r="I84" i="2"/>
  <c r="H84" i="2"/>
  <c r="I68" i="2"/>
  <c r="H68" i="2"/>
  <c r="I52" i="2"/>
  <c r="H52" i="2"/>
  <c r="H36" i="2"/>
  <c r="I36" i="2"/>
  <c r="H20" i="2"/>
  <c r="I20" i="2"/>
  <c r="H4" i="2"/>
  <c r="I4" i="2"/>
  <c r="H103" i="2"/>
  <c r="I103" i="2"/>
  <c r="I23" i="2"/>
  <c r="H23" i="2"/>
  <c r="H16" i="2"/>
  <c r="I16" i="2"/>
  <c r="I21" i="2"/>
  <c r="H21" i="2"/>
  <c r="I28" i="2"/>
  <c r="H28" i="2"/>
  <c r="H34" i="2"/>
  <c r="I34" i="2"/>
  <c r="H46" i="2"/>
  <c r="I46" i="2"/>
  <c r="H50" i="2"/>
  <c r="I50" i="2"/>
  <c r="I56" i="2"/>
  <c r="H56" i="2"/>
  <c r="H64" i="2"/>
  <c r="I64" i="2"/>
  <c r="I79" i="2"/>
  <c r="H79" i="2"/>
  <c r="H99" i="2"/>
  <c r="I99" i="2"/>
  <c r="H83" i="2"/>
  <c r="I83" i="2"/>
  <c r="I67" i="2"/>
  <c r="H67" i="2"/>
  <c r="H51" i="2"/>
  <c r="I51" i="2"/>
  <c r="H35" i="2"/>
  <c r="I35" i="2"/>
  <c r="H19" i="2"/>
  <c r="I19" i="2"/>
  <c r="H3" i="2"/>
  <c r="I3" i="2"/>
  <c r="I2" i="2"/>
  <c r="H2" i="2"/>
</calcChain>
</file>

<file path=xl/sharedStrings.xml><?xml version="1.0" encoding="utf-8"?>
<sst xmlns="http://schemas.openxmlformats.org/spreadsheetml/2006/main" count="2117" uniqueCount="763">
  <si>
    <t>G</t>
  </si>
  <si>
    <t>Christmas 1 album border</t>
  </si>
  <si>
    <t>O Come All Ye Faithful</t>
  </si>
  <si>
    <t>C</t>
  </si>
  <si>
    <t>O Holy Night (Vol. 1) by Shane &amp; Shane</t>
  </si>
  <si>
    <t>Angels We Have Heard On High</t>
  </si>
  <si>
    <t>B</t>
  </si>
  <si>
    <t>Go Tell It On The Mountain</t>
  </si>
  <si>
    <t>O Come O Come Emmanuel (Vol. 1) by Shane &amp; Shane</t>
  </si>
  <si>
    <t>Silent Night</t>
  </si>
  <si>
    <t>The First Noel (Vol. 1) by Shane &amp; Shane</t>
  </si>
  <si>
    <t>E</t>
  </si>
  <si>
    <t>Love Comes Down by Michael Farren</t>
  </si>
  <si>
    <t>Joy To The World</t>
  </si>
  <si>
    <t>Little Drummer Boy (Vol. 1) by Shane &amp; Shane</t>
  </si>
  <si>
    <t>Wi christmas copy 2</t>
  </si>
  <si>
    <t>Joy to the World (Joyful, Joyful) by Phil Wickham</t>
  </si>
  <si>
    <t>F#</t>
  </si>
  <si>
    <t>What Child Is This</t>
  </si>
  <si>
    <t>Come Thou Long Expected Jesus</t>
  </si>
  <si>
    <t>F</t>
  </si>
  <si>
    <t>O Little Town of Bethlehem</t>
  </si>
  <si>
    <t>Hark the Herald Angels Sing</t>
  </si>
  <si>
    <t>Breath of Heaven by Amy Grant</t>
  </si>
  <si>
    <t>A</t>
  </si>
  <si>
    <t>Face of God</t>
  </si>
  <si>
    <t>Away in a Manger</t>
  </si>
  <si>
    <t>Bb</t>
  </si>
  <si>
    <t>It Came Upon A Midnight Clear</t>
  </si>
  <si>
    <t>D</t>
  </si>
  <si>
    <t>Winter Snow by Audrey Assad</t>
  </si>
  <si>
    <t>Eb</t>
  </si>
  <si>
    <t>Img 6805</t>
  </si>
  <si>
    <t>Ancient of Days by CityAlight</t>
  </si>
  <si>
    <t>Screen shot 2019 01 23 at 11.53.26 am</t>
  </si>
  <si>
    <t>Is He Worthy [Live] by Andrew Peterson</t>
  </si>
  <si>
    <t>The Lord is My Salvation [Live] by Keith &amp; Kristyn Getty</t>
  </si>
  <si>
    <t>Amazing Grace [Live] by Shane &amp; Shane</t>
  </si>
  <si>
    <t>He Will Hold Me Fast [Live] by Keith &amp; Krystin Getty</t>
  </si>
  <si>
    <t>In Christ Alone [Live] by Keith Getty</t>
  </si>
  <si>
    <t>His Mercy is More [Live] by Matt Boswell and Matt Papa</t>
  </si>
  <si>
    <t>I Will Wait For You (Psalm 130) [Live] by Getty Music</t>
  </si>
  <si>
    <t>Tis So Sweet [Live] by Shane &amp; Shane</t>
  </si>
  <si>
    <t>Holy, Holy, Holy [Live] by Shane &amp; Shane</t>
  </si>
  <si>
    <t>There is A Fountain [Live] by Shane &amp; Shane</t>
  </si>
  <si>
    <t>My Worth Is Not In What I Own [Live] by Getty Music</t>
  </si>
  <si>
    <t>Come Thou Fount [Live] by Shane &amp; Shane</t>
  </si>
  <si>
    <t>How Great Thou Art [Live] by Shane &amp; Shane</t>
  </si>
  <si>
    <t>Hymns thumbnail</t>
  </si>
  <si>
    <t>In Christ Alone [Hymns] by Keith Getty</t>
  </si>
  <si>
    <t>Come Thou Fount (Above All Else) by Shane &amp; Shane</t>
  </si>
  <si>
    <t>Holy, Holy, Holy (We Bow Before Thee) by Shane &amp; Shane</t>
  </si>
  <si>
    <t>Tis So Sweet by Shane &amp; Shane</t>
  </si>
  <si>
    <t>My Worth Is Not In What I Own by Keith &amp; Kristyn Getty</t>
  </si>
  <si>
    <t>Give Me Jesus by Shane &amp; Shane</t>
  </si>
  <si>
    <t>There Is A Fountain (Full of Love) by Shane &amp; Shane</t>
  </si>
  <si>
    <t>He Will Hold Me Fast by Keith &amp; Kristyn Getty</t>
  </si>
  <si>
    <t>How Great Thou Art by Shane &amp; Shane</t>
  </si>
  <si>
    <t>The Lord is My Salvation by Keith &amp; Kristyn Getty</t>
  </si>
  <si>
    <t>Hymns 2 2</t>
  </si>
  <si>
    <t>Come Behold the Wondrous Mystery by Matt Boswell</t>
  </si>
  <si>
    <t>Ab</t>
  </si>
  <si>
    <t>Crown Him With Many Crowns</t>
  </si>
  <si>
    <t>Praise to the Lord (Joyful, Joyful)</t>
  </si>
  <si>
    <t>Turn Your Eyes Upon Jesus (Amazing Grace)</t>
  </si>
  <si>
    <t>My Jesus I Love Thee</t>
  </si>
  <si>
    <t>Be Thou My Vision (Lord You Are) by Shane &amp; Shane</t>
  </si>
  <si>
    <t>Living Waters (As the Deer) by Keith and Kristyn Getty</t>
  </si>
  <si>
    <t>Power of the Cross by Keith and Kristyn Getty</t>
  </si>
  <si>
    <t>Oh Lord Almighty by Shane &amp; Shane</t>
  </si>
  <si>
    <t>All Hail The Power of Jesus Name</t>
  </si>
  <si>
    <t>Psalms david front</t>
  </si>
  <si>
    <t>Psalm 46 (Lord of Hosts) by Shane &amp; Shane</t>
  </si>
  <si>
    <t>Psalm 23 (Surely Goodness, Surely Mercy) by Shane &amp; Shane</t>
  </si>
  <si>
    <t>Take Over by Shane &amp; Shane</t>
  </si>
  <si>
    <t>Psalm 16 (Fullness of Joy) by Shane &amp; Shane</t>
  </si>
  <si>
    <t>Psalm 34 (Taste and See) by Shane &amp; Shane</t>
  </si>
  <si>
    <t>Psalm 63 (Better than Life) by Shane &amp; Shane</t>
  </si>
  <si>
    <t>Psalm 139 (Far Too Wonderful) by Shane &amp; Shane</t>
  </si>
  <si>
    <t>Psalm 27 (One Thing) by Shane &amp; Shane</t>
  </si>
  <si>
    <t>Psalm 51 (Wisdom in the Secret Heart) by Shane &amp; Shane</t>
  </si>
  <si>
    <t>Psalm 91 (On Eagles' Wings) by Shane &amp; Shane</t>
  </si>
  <si>
    <t>Psalm 45 (Fairest of All) by Shane &amp; Shane</t>
  </si>
  <si>
    <t>Psalm 98 (Sing Unto The Lord) by Shane &amp; Shane</t>
  </si>
  <si>
    <t>Twi album border</t>
  </si>
  <si>
    <t>Great Are You Lord by All Sons &amp; Daughters</t>
  </si>
  <si>
    <t>Christ Be All Around Me by All Sons &amp; Daughters</t>
  </si>
  <si>
    <t>This I Believe by Hillsong</t>
  </si>
  <si>
    <t>Scandal of Grace by Hillsong United</t>
  </si>
  <si>
    <t>Forever (We Sing Hallelujah) by Kari Jobe</t>
  </si>
  <si>
    <t>Man of Sorrows by Hillsong</t>
  </si>
  <si>
    <t>God of Ages Past by Shane &amp; Shane</t>
  </si>
  <si>
    <t>You Make Me Brave by Amanda Cook</t>
  </si>
  <si>
    <t>Jesus Loves Me by Chris Tomlin</t>
  </si>
  <si>
    <t>Seas of Crimson by Brian Johnson</t>
  </si>
  <si>
    <t>Christmas ep 500</t>
  </si>
  <si>
    <t>The First Noel (Vol. 3) by The Worship Initiative</t>
  </si>
  <si>
    <t>Oh Holy Night (Vol. 3) by The Worship Initiative</t>
  </si>
  <si>
    <t>O Come O Come Emmanuel (Vol. 3) by The Worship Initiative</t>
  </si>
  <si>
    <t>Sing We The Song of Emmanuel by The Worship Initiative</t>
  </si>
  <si>
    <t>Little Drummer Boy (Vol. 3) by The Worship Initiative</t>
  </si>
  <si>
    <t>Vintage</t>
  </si>
  <si>
    <t>Awesome God by Rich Mullins</t>
  </si>
  <si>
    <t>Ancient of Days (Blessing and Honor) by Shane &amp; Shane</t>
  </si>
  <si>
    <t>Breathe (Yearn) by Vineyard</t>
  </si>
  <si>
    <t>As the Deer by Shane &amp; Shane</t>
  </si>
  <si>
    <t>Draw Me Close (Be Near) by Shane &amp; Shane</t>
  </si>
  <si>
    <t>In The Secret by Andy Park</t>
  </si>
  <si>
    <t>Sometimes By Step by Rich Mullins</t>
  </si>
  <si>
    <t>Knowing You by Graham Kendrick</t>
  </si>
  <si>
    <t>Lord I Lift Your Name on High by Shane &amp; Shane</t>
  </si>
  <si>
    <t>I Could Sing of Your Love Forever by Delirious</t>
  </si>
  <si>
    <t>The Stand by Hillsong</t>
  </si>
  <si>
    <t>Amazing Grace (My Chains Are Gone) by Chris Tomlin</t>
  </si>
  <si>
    <t>No Sweeter Name by Kari Jobe</t>
  </si>
  <si>
    <t>I Give You My Heart by Hillsong</t>
  </si>
  <si>
    <t>Enough by Chris Tomlin</t>
  </si>
  <si>
    <t>Alive Again by Matt Maher</t>
  </si>
  <si>
    <t>Yearn by Shane &amp; Shane</t>
  </si>
  <si>
    <t>Indescribable by Chris Tomlin</t>
  </si>
  <si>
    <t>You Never Let Go by Matt Redman</t>
  </si>
  <si>
    <t>Nothing But The Blood by Matt Redman</t>
  </si>
  <si>
    <t>All Hail King Jesus by Jeremy Riddle</t>
  </si>
  <si>
    <t>King of Kings by Hillsong Worship</t>
  </si>
  <si>
    <t>Yet Not I But Through Christ in Me by CityAlight</t>
  </si>
  <si>
    <t>How Great is Your Love by Phil Wickham</t>
  </si>
  <si>
    <t>Stand in Your Love by Josh Baldwin</t>
  </si>
  <si>
    <t>Hallelujah For The Cross by Chris McClarney</t>
  </si>
  <si>
    <t>Yes I Will by Vertical Worship</t>
  </si>
  <si>
    <t>The Way (New Horizon) by Pat Barrett</t>
  </si>
  <si>
    <t>Jesus You Alone by Highlands Worship</t>
  </si>
  <si>
    <t>Great Things by Phil Wickham</t>
  </si>
  <si>
    <t>Good Good Father by HouseFires</t>
  </si>
  <si>
    <t>No Longer Slaves by Jonathan David &amp; Melissa Helser</t>
  </si>
  <si>
    <t>Praise The King by Corey Voss</t>
  </si>
  <si>
    <t>O Come To The Altar by Elevation Worship</t>
  </si>
  <si>
    <t>At The Cross (Love Ran Red) by Chris Tomlin</t>
  </si>
  <si>
    <t>Be Enthroned by Jeremy Riddle</t>
  </si>
  <si>
    <t>Trust You by Aaron Keyes</t>
  </si>
  <si>
    <t>Holy Spirit by Bryan &amp; Katie Torwalt</t>
  </si>
  <si>
    <t>Open Up The Heavens by Vertical</t>
  </si>
  <si>
    <t>Sovereign Over Us by Aaron Keyes</t>
  </si>
  <si>
    <t>Holy Spirit (Girls) by Bryan &amp; Katie Torwalt</t>
  </si>
  <si>
    <t>Reckless Love by Cory Asbury</t>
  </si>
  <si>
    <t>Christ Is Enough by Hillsong</t>
  </si>
  <si>
    <t>Your Love Awakens Me by Phil Wickham</t>
  </si>
  <si>
    <t>Tremble by Mosaic MSC</t>
  </si>
  <si>
    <t>Db</t>
  </si>
  <si>
    <t>Resurrecting by Elevation</t>
  </si>
  <si>
    <t>Jesus Paid It All by Passion</t>
  </si>
  <si>
    <t>Cornerstone by Hillsong</t>
  </si>
  <si>
    <t>Cannons by Phil Wickham</t>
  </si>
  <si>
    <t>Give Us Clean Hands by Chris Tomlin</t>
  </si>
  <si>
    <t>I Am Set Free by All Sons &amp; Daughters</t>
  </si>
  <si>
    <t>Your Great Name by Natalie Grant</t>
  </si>
  <si>
    <t>The Wonderful Cross by Chris Tomlin</t>
  </si>
  <si>
    <t>Though You Slay Me by Shane &amp; Shane</t>
  </si>
  <si>
    <t>Reign In Us by Starfield</t>
  </si>
  <si>
    <t>Let My Words Be Few by Matt Redman</t>
  </si>
  <si>
    <t>Holy Is The Lord by Chris Tomlin</t>
  </si>
  <si>
    <t>Here For You by Matt Redman</t>
  </si>
  <si>
    <t>I Stand Amazed (How Marvelous) by Chris Tomlin</t>
  </si>
  <si>
    <t>Healer by Hillsong</t>
  </si>
  <si>
    <t>Worthy of Affection by Shane &amp; Shane</t>
  </si>
  <si>
    <t>O Praise Him (All This For a King) by Crowder</t>
  </si>
  <si>
    <t>Here I Am To Worship by Tim Hughes</t>
  </si>
  <si>
    <t>It Is Well (Hymn) by The Worship Initiative</t>
  </si>
  <si>
    <t>Always by Passion</t>
  </si>
  <si>
    <t>Our God Is Love by Hillsong</t>
  </si>
  <si>
    <t>Build My Life by Housefires</t>
  </si>
  <si>
    <t>Lamb of God by Vertical</t>
  </si>
  <si>
    <t>Worthy of Your Name by Passion</t>
  </si>
  <si>
    <t>Death Was Arrested by North Point InsideOut</t>
  </si>
  <si>
    <t>Here's My Heart by Passion</t>
  </si>
  <si>
    <t>Christ Is Risen by Matt Maher</t>
  </si>
  <si>
    <t>Heart of Worship by Matt Redman</t>
  </si>
  <si>
    <t>Your Name by Paul Baloche</t>
  </si>
  <si>
    <t>From The Inside Out by Hillsong</t>
  </si>
  <si>
    <t>Stronger by Hillsong</t>
  </si>
  <si>
    <t>When the Stars Burn Down by Phillips Craig &amp; Dean</t>
  </si>
  <si>
    <t>He is Exalted by Twila Paris</t>
  </si>
  <si>
    <t>Your Love Is Strong by Jon Foreman</t>
  </si>
  <si>
    <t>I'm Yours (Nothing But The Blood) by Shane &amp; Shane</t>
  </si>
  <si>
    <t>That's How You Forgive by Shane &amp; Shane</t>
  </si>
  <si>
    <t>Alabaster Heart by Kalley</t>
  </si>
  <si>
    <t>Another In the Fire by Hillsong United</t>
  </si>
  <si>
    <t>Christ Is Mine Forevermore by CityAlight</t>
  </si>
  <si>
    <t>King of Glory by Passion Music</t>
  </si>
  <si>
    <t>Heart of God by Hillsong Young &amp; Free</t>
  </si>
  <si>
    <t>Only A Holy God by CityAlight</t>
  </si>
  <si>
    <t>Yes and Amen by HouseFires</t>
  </si>
  <si>
    <t>Faithful by Erik Nieder</t>
  </si>
  <si>
    <t>All I Have Is Christ by Jordan Kauflin</t>
  </si>
  <si>
    <t>Blessed Assurance by Elevation Worship</t>
  </si>
  <si>
    <t>Come Thou Fount (Vol. 1) by The Worship Initiative</t>
  </si>
  <si>
    <t>Lord I Need You by Matt Maher</t>
  </si>
  <si>
    <t>In Christ Alone (Passion) by Passion</t>
  </si>
  <si>
    <t>Beautiful Things by Gungor</t>
  </si>
  <si>
    <t>10,000 Reasons by Matt Redman</t>
  </si>
  <si>
    <t>This Is Amazing Grace by Phil Wickham</t>
  </si>
  <si>
    <t>Whom Shall I Fear (God of Angel Armies) by Chris Tomlin</t>
  </si>
  <si>
    <t>Oceans by Hillsong</t>
  </si>
  <si>
    <t>All the Poor and Powerless by All Sons &amp; Daughters</t>
  </si>
  <si>
    <t>Happy Day by Tim Hughes</t>
  </si>
  <si>
    <t>You're Beautiful by Phil Wickham</t>
  </si>
  <si>
    <t>Glorify Thy Name by The Maranatha! Singers</t>
  </si>
  <si>
    <t>Hosanna by Hillsong</t>
  </si>
  <si>
    <t>Holy and Anointed One by Brian Doerksen</t>
  </si>
  <si>
    <t>Mighty to Save by Hillsong</t>
  </si>
  <si>
    <t>Desert Song by Hillsong</t>
  </si>
  <si>
    <t>Everything is Different by Shane &amp; Shane</t>
  </si>
  <si>
    <t>Everlasting God by Brenton Brown</t>
  </si>
  <si>
    <t>I Will Exalt You by Hillsong</t>
  </si>
  <si>
    <t>Where Would I Be by Patrick Ryan Clark</t>
  </si>
  <si>
    <t>Lean Back by Capital City Worship</t>
  </si>
  <si>
    <t>New Wine by Hillsong</t>
  </si>
  <si>
    <t>Broken Vessels by Hillsong</t>
  </si>
  <si>
    <t>Goodness of God by Jenn Johnson</t>
  </si>
  <si>
    <t>I Shall Not Want by Audrey Assad</t>
  </si>
  <si>
    <t>Isn't He by The Belonging Co.</t>
  </si>
  <si>
    <t>It Is Well by Kristene DiMarco</t>
  </si>
  <si>
    <t>Defender by Rita Springer</t>
  </si>
  <si>
    <t>Touch the Sky by Hillsong Young &amp; Free</t>
  </si>
  <si>
    <t>Holy Ground by Passion</t>
  </si>
  <si>
    <t>Jesus is Better by Austin Stone Worship</t>
  </si>
  <si>
    <t>Give Us Your Heart by Melanie Tierce-Slay</t>
  </si>
  <si>
    <t>Great Is Thy Faithfulness by The Worship Initiative</t>
  </si>
  <si>
    <t>Revelation Song by Kari Jobe</t>
  </si>
  <si>
    <t>Your Grace is Enough by Matt Maher</t>
  </si>
  <si>
    <t>Forever (Sing Praise) by Chris Tomlin</t>
  </si>
  <si>
    <t>Because He Lives by William Gaither</t>
  </si>
  <si>
    <t>Now and Always by Shane &amp; Shane</t>
  </si>
  <si>
    <t>Marvelous Light by Charlie Hall</t>
  </si>
  <si>
    <t>The Cross Stands by Tim Hughes</t>
  </si>
  <si>
    <t>One Thing Remains by Brian Johnson</t>
  </si>
  <si>
    <t>Lead Me to the Cross by Hillsong</t>
  </si>
  <si>
    <t>Living Hope by Phil Wickham</t>
  </si>
  <si>
    <t>Look To The Son by Hillsong</t>
  </si>
  <si>
    <t>Who You Say I Am by Hillsong</t>
  </si>
  <si>
    <t>Chain Breaker by Zach Williams</t>
  </si>
  <si>
    <t>So Will I (100 Billion X) by Hillsong Worship</t>
  </si>
  <si>
    <t>Do It Again by Elevation</t>
  </si>
  <si>
    <t>Life Defined by Shane &amp; Shane</t>
  </si>
  <si>
    <t>This We Know by Passion</t>
  </si>
  <si>
    <t>Behold (Then Sings My Soul) by Hillsong Worship</t>
  </si>
  <si>
    <t>Let It Be Jesus by Passion</t>
  </si>
  <si>
    <t>Jesus Messiah by Chris Tomlin</t>
  </si>
  <si>
    <t>How Deep the Father's Love for Us by Stuart Townend</t>
  </si>
  <si>
    <t>Majesty by Delirious</t>
  </si>
  <si>
    <t>Your Grace Finds Me by Matt Redman</t>
  </si>
  <si>
    <t>You Are My King (Amazing Love) by Hillsong</t>
  </si>
  <si>
    <t>I Will Rise by Chris Tomlin</t>
  </si>
  <si>
    <t>God is Able by Hillsong</t>
  </si>
  <si>
    <t>Your Love Never Fails by Chris McClarney</t>
  </si>
  <si>
    <t>I Found It All by Shane &amp; Shane</t>
  </si>
  <si>
    <t>God of Wonders by Third Day</t>
  </si>
  <si>
    <t>Love So Great by Hillsong</t>
  </si>
  <si>
    <t>Glorious Day by Passion</t>
  </si>
  <si>
    <t>How Can It Be by Lauren Daigle</t>
  </si>
  <si>
    <t>God I Look To You by Jenn Johnson</t>
  </si>
  <si>
    <t>King of My Heart by John Mark &amp; Sarah McMillan</t>
  </si>
  <si>
    <t>Blessed Be Your Name by Matt Redman</t>
  </si>
  <si>
    <t>Before The Throne of God Above by Shane &amp; Shane</t>
  </si>
  <si>
    <t>Oh Lord, You're Beautiful by Keith Green</t>
  </si>
  <si>
    <t>I Will Follow by Chris Tomlin</t>
  </si>
  <si>
    <t>How He Loves by John Mark McMillan</t>
  </si>
  <si>
    <t>Never Once by Matt Redman</t>
  </si>
  <si>
    <t>Shout to the Lord by Hillsong</t>
  </si>
  <si>
    <t>So I Can Love by The Worship Initiative</t>
  </si>
  <si>
    <t>Beautiful One by Tim Hughes</t>
  </si>
  <si>
    <t>Liberty by Shane &amp; Shane</t>
  </si>
  <si>
    <t>What A Beautiful Name by Hillsong Worship</t>
  </si>
  <si>
    <t>Even So Come by Passion</t>
  </si>
  <si>
    <t>Alive by Hillsong Young &amp; Free</t>
  </si>
  <si>
    <t>Lion and The Lamb by Leeland</t>
  </si>
  <si>
    <t>The Lord Our God by Passion</t>
  </si>
  <si>
    <t>Jesus We Love You by Paul McClure</t>
  </si>
  <si>
    <t>O Praise The Name by Hillsong</t>
  </si>
  <si>
    <t>Once For All by Shane &amp; Shane</t>
  </si>
  <si>
    <t>You're Worthy of It All by Shane &amp; Shane</t>
  </si>
  <si>
    <t>Ever Be (Guys) by Kalley Heiligenthal</t>
  </si>
  <si>
    <t>Come As You Are by Crowder</t>
  </si>
  <si>
    <t>Ever Be (Girls) by Kalley Heiligenthal</t>
  </si>
  <si>
    <t>Great I Am by Jared Anderson</t>
  </si>
  <si>
    <t>Behold the Lamb by Passion Music</t>
  </si>
  <si>
    <t>Christ Our Hope in Life and Death by Getty Music</t>
  </si>
  <si>
    <t>Christ Is Risen by Phil Wickham</t>
  </si>
  <si>
    <t>Glorious Day (Living He Loved Me) by Casting Crowns</t>
  </si>
  <si>
    <t>His Heart Beats by Andrew Peterson</t>
  </si>
  <si>
    <t>Jesus, Only Jesus by Passion Music</t>
  </si>
  <si>
    <t>You Cannot Be Stopped by Phil Wickham and Chris Quilala</t>
  </si>
  <si>
    <t>Overcome by Elevation Worship</t>
  </si>
  <si>
    <t>The Passion by Hillsong</t>
  </si>
  <si>
    <t>My Victory by Crowder</t>
  </si>
  <si>
    <t>Faithful To the End by Paul and Hannah McClure</t>
  </si>
  <si>
    <t>Doxology//Amen by Phil Wickham</t>
  </si>
  <si>
    <t>Hymn of Surrender by Matt Redman</t>
  </si>
  <si>
    <t>There's A River by Bethany Barnard</t>
  </si>
  <si>
    <t>What A Friend We Have In Jesus by The Worship Initiative</t>
  </si>
  <si>
    <t>I Surrender All (All I Am) by The Worship Initiative</t>
  </si>
  <si>
    <t>Sing To Jesus by Fernando Ortega</t>
  </si>
  <si>
    <t>The Blessing by Kari Jobe, Cody Carnes, Elevation Worship</t>
  </si>
  <si>
    <t>Graves Into Gardens by Elevation Worship</t>
  </si>
  <si>
    <t>There's Nothing That Our God Can't Do by Passion Music</t>
  </si>
  <si>
    <t>You Keep Hope Alive by Jon Reddick, Mandisa</t>
  </si>
  <si>
    <t>No One Ever Cared For Me Like Jesus by Steffany Gretzinger</t>
  </si>
  <si>
    <t>Run To the Father by Cody Carnes</t>
  </si>
  <si>
    <t>Miracle Or Not by Alisa Turner</t>
  </si>
  <si>
    <t>New Jerusalem by Jon Guerra</t>
  </si>
  <si>
    <t>My Truest Praise by Jon Guerra</t>
  </si>
  <si>
    <t>Such An Awesome God by Maverick City, Anthony Evans</t>
  </si>
  <si>
    <t>Jesus, Firm Foundation by Robbie Seay</t>
  </si>
  <si>
    <t>Promises by Maverick City</t>
  </si>
  <si>
    <t>Come Ye Sinners by The Worship Initiative</t>
  </si>
  <si>
    <t>Nothing Without You by United Pursuit</t>
  </si>
  <si>
    <t>At Your Name by Phil Wickham</t>
  </si>
  <si>
    <t>You Keep On Getting Better by Maverick City</t>
  </si>
  <si>
    <t>The Story I'll Tell by Maverick City</t>
  </si>
  <si>
    <t>Crowns by Hillsong Worship</t>
  </si>
  <si>
    <t>Open the Eyes of My Heart by Paul Baloche</t>
  </si>
  <si>
    <t>Better Is One Day by Matt Redman</t>
  </si>
  <si>
    <t>Forever Reign by Hillsong</t>
  </si>
  <si>
    <t>We Exalt Thee by Pete Sanchez Jr.</t>
  </si>
  <si>
    <t>Hosanna (Praise is Rising) by Paul Baloche</t>
  </si>
  <si>
    <t>How Great Is Our God by Chris Tomlin</t>
  </si>
  <si>
    <t>Our God by Chris Tomlin</t>
  </si>
  <si>
    <t>Mercy by Matt Redman</t>
  </si>
  <si>
    <t>Heart Starts Beating by Tim Neufeld</t>
  </si>
  <si>
    <t>You Are My All In All by Dennis Jernigan</t>
  </si>
  <si>
    <t>Wi lite 1000x1000 border thumb' (0;00;00;00)</t>
  </si>
  <si>
    <t>Battle Belongs by Phil Wickham</t>
  </si>
  <si>
    <t>At Your Name (Lite) by Phil Wickham</t>
  </si>
  <si>
    <t>The One You'll Find (Lite) by Shane &amp; Shane</t>
  </si>
  <si>
    <t>Psalm 145 (Lite) by Shane &amp; Shane</t>
  </si>
  <si>
    <t>Psalm 13 (Lite) by Shane &amp; Shane</t>
  </si>
  <si>
    <t>Raise A Hallelujah (Lite) by Jonathan David &amp; Melissa Helser</t>
  </si>
  <si>
    <t>Great Reward (Lite) by Shane &amp; Shane</t>
  </si>
  <si>
    <t>Sinking Deep (Lite) by Hillsong Young &amp; Free</t>
  </si>
  <si>
    <t>Peace (Lite) by Hillsong Young &amp; Free</t>
  </si>
  <si>
    <t>Bigger Than I Thought (Lite) by Passion</t>
  </si>
  <si>
    <t>Wi singles thumb border (0;00;00;00)</t>
  </si>
  <si>
    <t>Run by Liberty Worship Collective</t>
  </si>
  <si>
    <t>Tempo</t>
  </si>
  <si>
    <t>Key</t>
  </si>
  <si>
    <t>Album Title</t>
  </si>
  <si>
    <t>The Worship Initiative</t>
  </si>
  <si>
    <t>Album #</t>
  </si>
  <si>
    <t>Title</t>
  </si>
  <si>
    <t>Author</t>
  </si>
  <si>
    <t>Oceans</t>
  </si>
  <si>
    <t>This Is Amazing Grace</t>
  </si>
  <si>
    <t>All the Poor and Powerless</t>
  </si>
  <si>
    <t>Lord I Need You</t>
  </si>
  <si>
    <t>In Christ Alone (Passion)</t>
  </si>
  <si>
    <t>Beautiful Things</t>
  </si>
  <si>
    <t>Come Thou Fount (Vol. 1)</t>
  </si>
  <si>
    <t>10,000 Reasons</t>
  </si>
  <si>
    <t>Whom Shall I Fear (God of Angel Armies)</t>
  </si>
  <si>
    <t>Happy Day</t>
  </si>
  <si>
    <t>Heart Starts Beating</t>
  </si>
  <si>
    <t>Hosanna (Praise is Rising)</t>
  </si>
  <si>
    <t>Forever Reign</t>
  </si>
  <si>
    <t>Mercy</t>
  </si>
  <si>
    <t>How Great Is Our God</t>
  </si>
  <si>
    <t>You Are My All In All</t>
  </si>
  <si>
    <t>We Exalt Thee</t>
  </si>
  <si>
    <t>Our God</t>
  </si>
  <si>
    <t>Open the Eyes of My Heart</t>
  </si>
  <si>
    <t>Better Is One Day</t>
  </si>
  <si>
    <t>So I Can Love</t>
  </si>
  <si>
    <t>I Will Follow</t>
  </si>
  <si>
    <t>Liberty</t>
  </si>
  <si>
    <t>Oh Lord, You're Beautiful</t>
  </si>
  <si>
    <t>How He Loves</t>
  </si>
  <si>
    <t>Never Once</t>
  </si>
  <si>
    <t>Shout to the Lord</t>
  </si>
  <si>
    <t>Before The Throne of God Above</t>
  </si>
  <si>
    <t>Beautiful One</t>
  </si>
  <si>
    <t>Blessed Be Your Name</t>
  </si>
  <si>
    <t>I Stand Amazed (How Marvelous)</t>
  </si>
  <si>
    <t>Our God Is Love</t>
  </si>
  <si>
    <t>Holy Is The Lord</t>
  </si>
  <si>
    <t>Here For You</t>
  </si>
  <si>
    <t>Always</t>
  </si>
  <si>
    <t>Here I Am To Worship</t>
  </si>
  <si>
    <t>Worthy of Affection</t>
  </si>
  <si>
    <t>Healer</t>
  </si>
  <si>
    <t>It Is Well (Hymn)</t>
  </si>
  <si>
    <t>O Praise Him (All This For a King)</t>
  </si>
  <si>
    <t>Cornerstone</t>
  </si>
  <si>
    <t>Reign In Us</t>
  </si>
  <si>
    <t>Cannons</t>
  </si>
  <si>
    <t>Though You Slay Me</t>
  </si>
  <si>
    <t>Let My Words Be Few</t>
  </si>
  <si>
    <t>I Am Set Free</t>
  </si>
  <si>
    <t>Give Us Clean Hands</t>
  </si>
  <si>
    <t>Jesus Paid It All</t>
  </si>
  <si>
    <t>Your Great Name</t>
  </si>
  <si>
    <t>The Wonderful Cross</t>
  </si>
  <si>
    <t>Because He Lives</t>
  </si>
  <si>
    <t>Now and Always</t>
  </si>
  <si>
    <t>Revelation Song</t>
  </si>
  <si>
    <t>Great Is Thy Faithfulness</t>
  </si>
  <si>
    <t>The Cross Stands</t>
  </si>
  <si>
    <t>Marvelous Light</t>
  </si>
  <si>
    <t>Forever (Sing Praise)</t>
  </si>
  <si>
    <t>One Thing Remains</t>
  </si>
  <si>
    <t>Lead Me to the Cross</t>
  </si>
  <si>
    <t>Your Grace is Enough</t>
  </si>
  <si>
    <t>You're Beautiful</t>
  </si>
  <si>
    <t>Hosanna</t>
  </si>
  <si>
    <t>Mighty to Save</t>
  </si>
  <si>
    <t>Glorify Thy Name</t>
  </si>
  <si>
    <t>Desert Song</t>
  </si>
  <si>
    <t>Holy and Anointed One</t>
  </si>
  <si>
    <t>Where Would I Be</t>
  </si>
  <si>
    <t>Everything is Different</t>
  </si>
  <si>
    <t>Everlasting God</t>
  </si>
  <si>
    <t>I Will Exalt You</t>
  </si>
  <si>
    <t>The Stand</t>
  </si>
  <si>
    <t>Indescribable</t>
  </si>
  <si>
    <t>I Give You My Heart</t>
  </si>
  <si>
    <t>Nothing But The Blood</t>
  </si>
  <si>
    <t>No Sweeter Name</t>
  </si>
  <si>
    <t>You Never Let Go</t>
  </si>
  <si>
    <t>Enough</t>
  </si>
  <si>
    <t>Amazing Grace (My Chains Are Gone)</t>
  </si>
  <si>
    <t>Alive Again</t>
  </si>
  <si>
    <t>Yearn</t>
  </si>
  <si>
    <t>Your Love Is Strong</t>
  </si>
  <si>
    <t>I'm Yours (Nothing But The Blood)</t>
  </si>
  <si>
    <t>Heart of Worship</t>
  </si>
  <si>
    <t>From The Inside Out</t>
  </si>
  <si>
    <t>Stronger</t>
  </si>
  <si>
    <t>That's How You Forgive</t>
  </si>
  <si>
    <t>Christ Is Risen</t>
  </si>
  <si>
    <t>He is Exalted</t>
  </si>
  <si>
    <t>When the Stars Burn Down</t>
  </si>
  <si>
    <t>Your Name</t>
  </si>
  <si>
    <t>God is Able</t>
  </si>
  <si>
    <t>Your Love Never Fails</t>
  </si>
  <si>
    <t>Your Grace Finds Me</t>
  </si>
  <si>
    <t>I Found It All</t>
  </si>
  <si>
    <t>Majesty</t>
  </si>
  <si>
    <t>Jesus Messiah</t>
  </si>
  <si>
    <t>I Will Rise</t>
  </si>
  <si>
    <t>God of Wonders</t>
  </si>
  <si>
    <t>You Are My King (Amazing Love)</t>
  </si>
  <si>
    <t>How Deep the Father's Love for Us</t>
  </si>
  <si>
    <t>O Come To The Altar</t>
  </si>
  <si>
    <t>Open Up The Heavens</t>
  </si>
  <si>
    <t>Be Enthroned</t>
  </si>
  <si>
    <t>Good Good Father</t>
  </si>
  <si>
    <t>Holy Spirit</t>
  </si>
  <si>
    <t>Holy Spirit (Girls)</t>
  </si>
  <si>
    <t>No Longer Slaves</t>
  </si>
  <si>
    <t>At The Cross (Love Ran Red)</t>
  </si>
  <si>
    <t>Praise The King</t>
  </si>
  <si>
    <t>Sovereign Over Us</t>
  </si>
  <si>
    <t>Trust You</t>
  </si>
  <si>
    <t>You're Worthy of It All</t>
  </si>
  <si>
    <t>Jesus We Love You</t>
  </si>
  <si>
    <t>Lion and The Lamb</t>
  </si>
  <si>
    <t>Alive</t>
  </si>
  <si>
    <t>Ever Be (Girls)</t>
  </si>
  <si>
    <t>Ever Be (Guys)</t>
  </si>
  <si>
    <t>What A Beautiful Name</t>
  </si>
  <si>
    <t>Once For All</t>
  </si>
  <si>
    <t>Come As You Are</t>
  </si>
  <si>
    <t>The Lord Our God</t>
  </si>
  <si>
    <t>Even So Come</t>
  </si>
  <si>
    <t>Great I Am</t>
  </si>
  <si>
    <t>O Praise The Name</t>
  </si>
  <si>
    <t>How Can It Be</t>
  </si>
  <si>
    <t>Love So Great</t>
  </si>
  <si>
    <t>Glorious Day</t>
  </si>
  <si>
    <t>King of My Heart</t>
  </si>
  <si>
    <t>God I Look To You</t>
  </si>
  <si>
    <t>Worthy of Your Name</t>
  </si>
  <si>
    <t>Build My Life</t>
  </si>
  <si>
    <t>Lamb of God</t>
  </si>
  <si>
    <t>Here's My Heart</t>
  </si>
  <si>
    <t>Death Was Arrested</t>
  </si>
  <si>
    <t>Reckless Love</t>
  </si>
  <si>
    <t>Your Love Awakens Me</t>
  </si>
  <si>
    <t>Christ Is Enough</t>
  </si>
  <si>
    <t>Tremble</t>
  </si>
  <si>
    <t>Resurrecting</t>
  </si>
  <si>
    <t>Life Defined</t>
  </si>
  <si>
    <t>Do It Again</t>
  </si>
  <si>
    <t>Living Hope</t>
  </si>
  <si>
    <t>Who You Say I Am</t>
  </si>
  <si>
    <t>This We Know</t>
  </si>
  <si>
    <t>Behold (Then Sings My Soul)</t>
  </si>
  <si>
    <t>So Will I (100 Billion X)</t>
  </si>
  <si>
    <t>Let It Be Jesus</t>
  </si>
  <si>
    <t>Look To The Son</t>
  </si>
  <si>
    <t>Chain Breaker</t>
  </si>
  <si>
    <t>Goodness of God</t>
  </si>
  <si>
    <t>Touch the Sky</t>
  </si>
  <si>
    <t>Lean Back</t>
  </si>
  <si>
    <t>Give Us Your Heart</t>
  </si>
  <si>
    <t>Isn't He</t>
  </si>
  <si>
    <t>It Is Well</t>
  </si>
  <si>
    <t>Jesus is Better</t>
  </si>
  <si>
    <t>New Wine</t>
  </si>
  <si>
    <t>I Shall Not Want</t>
  </si>
  <si>
    <t>Holy Ground</t>
  </si>
  <si>
    <t>Defender</t>
  </si>
  <si>
    <t>Broken Vessels</t>
  </si>
  <si>
    <t>All Hail King Jesus</t>
  </si>
  <si>
    <t>Yet Not I But Through Christ in Me</t>
  </si>
  <si>
    <t>How Great is Your Love</t>
  </si>
  <si>
    <t>King of Kings</t>
  </si>
  <si>
    <t>Jesus You Alone</t>
  </si>
  <si>
    <t>Stand in Your Love</t>
  </si>
  <si>
    <t>The Way (New Horizon)</t>
  </si>
  <si>
    <t>Yes I Will</t>
  </si>
  <si>
    <t>Hallelujah For The Cross</t>
  </si>
  <si>
    <t>Great Things</t>
  </si>
  <si>
    <t>Another In the Fire</t>
  </si>
  <si>
    <t>Alabaster Heart</t>
  </si>
  <si>
    <t>Yes and Amen</t>
  </si>
  <si>
    <t>Heart of God</t>
  </si>
  <si>
    <t>Only A Holy God</t>
  </si>
  <si>
    <t>Christ Is Mine Forevermore</t>
  </si>
  <si>
    <t>All I Have Is Christ</t>
  </si>
  <si>
    <t>Faithful</t>
  </si>
  <si>
    <t>Blessed Assurance</t>
  </si>
  <si>
    <t>King of Glory</t>
  </si>
  <si>
    <t>Behold the Lamb</t>
  </si>
  <si>
    <t>The Passion</t>
  </si>
  <si>
    <t>You Cannot Be Stopped</t>
  </si>
  <si>
    <t>His Heart Beats</t>
  </si>
  <si>
    <t>Jesus, Only Jesus</t>
  </si>
  <si>
    <t>Christ Our Hope in Life and Death</t>
  </si>
  <si>
    <t>My Victory</t>
  </si>
  <si>
    <t>Glorious Day (Living He Loved Me)</t>
  </si>
  <si>
    <t>Overcome</t>
  </si>
  <si>
    <t>There's A River</t>
  </si>
  <si>
    <t>Doxology//Amen</t>
  </si>
  <si>
    <t>Graves Into Gardens</t>
  </si>
  <si>
    <t>What A Friend We Have In Jesus</t>
  </si>
  <si>
    <t>Sing To Jesus</t>
  </si>
  <si>
    <t>Faithful To the End</t>
  </si>
  <si>
    <t>Hymn of Surrender</t>
  </si>
  <si>
    <t>I Surrender All (All I Am)</t>
  </si>
  <si>
    <t>There's Nothing That Our God Can't Do</t>
  </si>
  <si>
    <t>The Blessing</t>
  </si>
  <si>
    <t>Come Ye Sinners</t>
  </si>
  <si>
    <t>New Jerusalem</t>
  </si>
  <si>
    <t>Promises</t>
  </si>
  <si>
    <t>Nothing Without You</t>
  </si>
  <si>
    <t>Such An Awesome God</t>
  </si>
  <si>
    <t>At Your Name</t>
  </si>
  <si>
    <t>You Keep On Getting Better</t>
  </si>
  <si>
    <t>The Story I'll Tell</t>
  </si>
  <si>
    <t>Jesus, Firm Foundation</t>
  </si>
  <si>
    <t>Crowns</t>
  </si>
  <si>
    <t>My Truest Praise</t>
  </si>
  <si>
    <t>Run To the Father</t>
  </si>
  <si>
    <t>You Keep Hope Alive</t>
  </si>
  <si>
    <t>Miracle Or Not</t>
  </si>
  <si>
    <t>No One Ever Cared For Me Like Jesus</t>
  </si>
  <si>
    <t>Song #</t>
  </si>
  <si>
    <t>Alt Title</t>
  </si>
  <si>
    <t>Full Title</t>
  </si>
  <si>
    <t>Main Title</t>
  </si>
  <si>
    <t>The Worship Initiative, Vol. 1</t>
  </si>
  <si>
    <t>The Worship Initiative, Vol. 2</t>
  </si>
  <si>
    <t>The Worship Initiative, Vol. 3</t>
  </si>
  <si>
    <t>The Worship Initiative, Vol. 4</t>
  </si>
  <si>
    <t>The Worship Initiative, Vol. 5</t>
  </si>
  <si>
    <t>The Worship Initiative, Vol. 6</t>
  </si>
  <si>
    <t>The Worship Initiative, Vol. 7</t>
  </si>
  <si>
    <t>The Worship Initiative, Vol. 8</t>
  </si>
  <si>
    <t>The Worship Initiative, Vol. 9</t>
  </si>
  <si>
    <t>The Worship Initiative, Vol. 10</t>
  </si>
  <si>
    <t>The Worship Initiative, Vol. 11</t>
  </si>
  <si>
    <t>The Worship Initiative, Vol. 12</t>
  </si>
  <si>
    <t>The Worship Initiative, Vol. 13</t>
  </si>
  <si>
    <t>The Worship Initiative, Vol. 14</t>
  </si>
  <si>
    <t>The Worship Initiative, Vol. 15</t>
  </si>
  <si>
    <t>The Worship Initiative, Vol. 16</t>
  </si>
  <si>
    <t>The Worship Initiative, Vol. 17</t>
  </si>
  <si>
    <t>The Worship Initiative, Vol. 18</t>
  </si>
  <si>
    <t>The Worship Initiative, Vol. 19</t>
  </si>
  <si>
    <t>The Worship Initiative, Vol. 20</t>
  </si>
  <si>
    <t>The Worship Initiative, Vol. 21</t>
  </si>
  <si>
    <t>The Worship Initiative, Vol. 22</t>
  </si>
  <si>
    <t>The Worship Initiative, Vol. 23</t>
  </si>
  <si>
    <t>Done</t>
  </si>
  <si>
    <t>N/A</t>
  </si>
  <si>
    <t>NoNumber</t>
  </si>
  <si>
    <t>Status</t>
  </si>
  <si>
    <t>Joel Houston</t>
  </si>
  <si>
    <t>4/4</t>
  </si>
  <si>
    <t>Hillsong Music Publishing Australia</t>
  </si>
  <si>
    <t>Original Key</t>
  </si>
  <si>
    <t>Tempo (BPM)</t>
  </si>
  <si>
    <t>Time Signature</t>
  </si>
  <si>
    <t>CCLI Song #</t>
  </si>
  <si>
    <t>Publication Year</t>
  </si>
  <si>
    <t>Copyright Holder</t>
  </si>
  <si>
    <t>Chris Tomlin, John Newton</t>
  </si>
  <si>
    <t>sixsteps Music</t>
  </si>
  <si>
    <t>Matt Redman</t>
  </si>
  <si>
    <t>Thankyou Music</t>
  </si>
  <si>
    <t>Ben Fielding, Reuben Morgan</t>
  </si>
  <si>
    <t>3/4</t>
  </si>
  <si>
    <t>Anthony Skinner, Chris McClarney</t>
  </si>
  <si>
    <t>Martin Smith, Stuart Garrard</t>
  </si>
  <si>
    <t>Curious? Music UK</t>
  </si>
  <si>
    <t>Chris Tomlin, Daniel Carson</t>
  </si>
  <si>
    <t>Chris Tomlin, Jesse Reeves</t>
  </si>
  <si>
    <t>Marc Byrd, Steve Hindalong</t>
  </si>
  <si>
    <t>Ab,Bb</t>
  </si>
  <si>
    <t>Never Say Never Songs</t>
  </si>
  <si>
    <t>Billy J. Foote</t>
  </si>
  <si>
    <t>worshiptogether.com songs</t>
  </si>
  <si>
    <t>Stuart Townend</t>
  </si>
  <si>
    <t>Chris Brown, Mack Brock</t>
  </si>
  <si>
    <t>6/8</t>
  </si>
  <si>
    <t>Elevation Worship Publishing</t>
  </si>
  <si>
    <t>Brian Johnson, Hunter Thompson</t>
  </si>
  <si>
    <t>Bethel Music Publishing</t>
  </si>
  <si>
    <t>Anthony Brown, Pat Barrett</t>
  </si>
  <si>
    <t>Capitol CMG Paragon</t>
  </si>
  <si>
    <t>Jonathan D. Helser, Brian Johnson</t>
  </si>
  <si>
    <t>Chris Tomlin, Ed Cash</t>
  </si>
  <si>
    <t>Countless Wonder Publishing</t>
  </si>
  <si>
    <t>Brenton Brown, Brian Johnson</t>
  </si>
  <si>
    <t>Meaux Mercy</t>
  </si>
  <si>
    <t>Ben Fielding, Brooke Ligertwood</t>
  </si>
  <si>
    <t>Jason Ingram, Kristian Stanfill</t>
  </si>
  <si>
    <t>Chris Tomlin, Jason Ingram</t>
  </si>
  <si>
    <t>S. D. G. Publishing</t>
  </si>
  <si>
    <t>Jared Anderson</t>
  </si>
  <si>
    <t>Integrity Worship Music</t>
  </si>
  <si>
    <t>Benjamin Hastings, Dean Ussher</t>
  </si>
  <si>
    <t>Kristian Stanfill, Jason Ingram</t>
  </si>
  <si>
    <t>Kristian Stanfill Publishing Designee</t>
  </si>
  <si>
    <t>John M. McMillan, Sarah McMillan</t>
  </si>
  <si>
    <t>Meaux Jeaux Music</t>
  </si>
  <si>
    <t>Brett Younker, Karl Martin</t>
  </si>
  <si>
    <t>Kaple Music</t>
  </si>
  <si>
    <t>Cory Asbury, Caleb Culver</t>
  </si>
  <si>
    <t>Cory Asbury Publishing</t>
  </si>
  <si>
    <t>Jonas Myrin, Reuben Morgan</t>
  </si>
  <si>
    <t xml:space="preserve"> Hillsong Music Publishing Australia</t>
  </si>
  <si>
    <t>Andres Figueroa, Hank Bentley</t>
  </si>
  <si>
    <t>All Essential Music</t>
  </si>
  <si>
    <t>Phil Wickham, Brian Johnson</t>
  </si>
  <si>
    <t>Phil Wickham Music</t>
  </si>
  <si>
    <t>Joel Houston, Benjamin Hastings</t>
  </si>
  <si>
    <t>2/2</t>
  </si>
  <si>
    <t>Kristene DiMarco, Horatio Spafford</t>
  </si>
  <si>
    <t>3/4+4/4</t>
  </si>
  <si>
    <t>Brooke Ligertwood</t>
  </si>
  <si>
    <t>Joel Houston, Jonas Myrin</t>
  </si>
  <si>
    <t>Jonny Robinson, Rich Thompson</t>
  </si>
  <si>
    <t>CityAlight Music</t>
  </si>
  <si>
    <t>Brooke Ligertwood, Scott Ligertwood</t>
  </si>
  <si>
    <t>Jeff Pardo, Ben Glover</t>
  </si>
  <si>
    <t>9t One Songs</t>
  </si>
  <si>
    <t>Chris Davenport, Joel Houston</t>
  </si>
  <si>
    <t>John W. Chapman, Mark Hall</t>
  </si>
  <si>
    <t>My Refuge Music</t>
  </si>
  <si>
    <t>Joel Houston, Matt Crocker</t>
  </si>
  <si>
    <t>Jeremy Riddle, Josh Farro</t>
  </si>
  <si>
    <t>David Leonard, Leslie Jordan</t>
  </si>
  <si>
    <t>Integrity's Alleluia! Music</t>
  </si>
  <si>
    <t>Christy Nockels, Daniel Carson</t>
  </si>
  <si>
    <t>Keith Getty, Stuart Townend</t>
  </si>
  <si>
    <t>Jonas Myrin, Matt Redman</t>
  </si>
  <si>
    <t>Atlas Mountain Songs</t>
  </si>
  <si>
    <t>Alletrop Music</t>
  </si>
  <si>
    <t>Brenton Brown, Paul Baloche</t>
  </si>
  <si>
    <t>Matt Redman, Jonas Myrin</t>
  </si>
  <si>
    <t>Dennis Jernigan</t>
  </si>
  <si>
    <t>Shepherd's Heart Music, Inc.</t>
  </si>
  <si>
    <t>Paul Baloche</t>
  </si>
  <si>
    <t>Integrity's Hosanna! Music</t>
  </si>
  <si>
    <t>SHOUT! Music Publishing Australia</t>
  </si>
  <si>
    <t>Darlene Zschech</t>
  </si>
  <si>
    <t>Wondrous Worship</t>
  </si>
  <si>
    <t>Charitie L. Bancroft, Vikki Cook</t>
  </si>
  <si>
    <t>Sovereign Grace Worship</t>
  </si>
  <si>
    <t>Tim Hughes</t>
  </si>
  <si>
    <t>Beth Redman, Matt Redman</t>
  </si>
  <si>
    <t>Public Domain</t>
  </si>
  <si>
    <t>Mike Guglielmucci</t>
  </si>
  <si>
    <t>Planetshakers Ministries Int. Inc.</t>
  </si>
  <si>
    <t>Edward Mote, Eric Liljero</t>
  </si>
  <si>
    <t>Elvina M. Hall</t>
  </si>
  <si>
    <t>Krissy Nordhoff, Michael Neale</t>
  </si>
  <si>
    <t>Integrity's Praise! Music</t>
  </si>
  <si>
    <t>Chris Tomlin, Isaac Watts</t>
  </si>
  <si>
    <t>Gloria Gaither, William J. Gaither</t>
  </si>
  <si>
    <t>Hanna Street Music</t>
  </si>
  <si>
    <t>Jennie L. Riddle</t>
  </si>
  <si>
    <t>Gateway Create Publishing</t>
  </si>
  <si>
    <t>Thomas Chisholm, William Runyan</t>
  </si>
  <si>
    <t>Chris Tomlin</t>
  </si>
  <si>
    <t>Brian Johnson, Christa B. Gifford</t>
  </si>
  <si>
    <t>ChristaJoy Music Publishing</t>
  </si>
  <si>
    <t>Matt Maher</t>
  </si>
  <si>
    <t>CCLI #</t>
  </si>
  <si>
    <t>CCWS?</t>
  </si>
  <si>
    <t>Yes</t>
  </si>
  <si>
    <t>Where You Are</t>
  </si>
  <si>
    <t>Better</t>
  </si>
  <si>
    <t>By The Grace of God</t>
  </si>
  <si>
    <t>Good Grace</t>
  </si>
  <si>
    <t>Make Room</t>
  </si>
  <si>
    <t>Psalm 13</t>
  </si>
  <si>
    <t>Notes</t>
  </si>
  <si>
    <t>Brian Johnson, Christa Black Gifford</t>
  </si>
  <si>
    <t>Kari Jobe Carnes Music</t>
  </si>
  <si>
    <t>David Leonard, Jason Ingram</t>
  </si>
  <si>
    <t> Integrity's Alleluia! Music</t>
  </si>
  <si>
    <t>Brooke Ligertwood, Matt Crocker</t>
  </si>
  <si>
    <t>Steven Furtick, Matt Redman</t>
  </si>
  <si>
    <t>Said And Done Music</t>
  </si>
  <si>
    <t>CCLI# Accurate</t>
  </si>
  <si>
    <t>Hymns, Vol. 1</t>
  </si>
  <si>
    <t>Hymns, Vol. 2</t>
  </si>
  <si>
    <t>Is He Worthy [Live]</t>
  </si>
  <si>
    <t>Tis So Sweet [Live]</t>
  </si>
  <si>
    <t>How Great Thou Art [Live]</t>
  </si>
  <si>
    <t>Come Thou Fount [Live]</t>
  </si>
  <si>
    <t>His Mercy is More [Live]</t>
  </si>
  <si>
    <t>Amazing Grace [Live]</t>
  </si>
  <si>
    <t>I Will Wait For You (Psalm 130) [Live]</t>
  </si>
  <si>
    <t>The Lord is My Salvation [Live]</t>
  </si>
  <si>
    <t>Holy, Holy, Holy [Live]</t>
  </si>
  <si>
    <t>He Will Hold Me Fast [Live]</t>
  </si>
  <si>
    <t>There is A Fountain [Live]</t>
  </si>
  <si>
    <t>My Worth Is Not In What I Own [Live]</t>
  </si>
  <si>
    <t>In Christ Alone [Live]</t>
  </si>
  <si>
    <t>Hymns Live</t>
  </si>
  <si>
    <t>TBD</t>
  </si>
  <si>
    <t>A Worship Initiative Christmas Vol. 1</t>
  </si>
  <si>
    <t>A Worship Initiative Christmas Vol. 2</t>
  </si>
  <si>
    <t>Sing We The Song of Emmanuel (Vol. 3)</t>
  </si>
  <si>
    <t>Oh Holy Night (Vol. 3)</t>
  </si>
  <si>
    <t>Little Drummer Boy (Vol. 3)</t>
  </si>
  <si>
    <t>The First Noel (Vol. 3)</t>
  </si>
  <si>
    <t>O Come O Come Emmanuel (Vol. 3)</t>
  </si>
  <si>
    <t>The Worship Initiative Christmas Vol. 3</t>
  </si>
  <si>
    <t>C1</t>
  </si>
  <si>
    <t>C2</t>
  </si>
  <si>
    <t>C3</t>
  </si>
  <si>
    <t>H1</t>
  </si>
  <si>
    <t>H2</t>
  </si>
  <si>
    <t>HL</t>
  </si>
  <si>
    <t>dup</t>
  </si>
  <si>
    <t>P2</t>
  </si>
  <si>
    <t>Psalms 2</t>
  </si>
  <si>
    <t>WI Lite</t>
  </si>
  <si>
    <t>Lite</t>
  </si>
  <si>
    <t>Singles</t>
  </si>
  <si>
    <t>WI Singles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</si>
</sst>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2C2A29"/>
      <name val="Calibri"/>
      <family val="2"/>
      <scheme val="minor"/>
    </font>
    <font>
      <sz val="10"/>
      <color rgb="FF999999"/>
      <name val="Adelle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0" fillId="0" borderId="0" xfId="0" applyAlignment="1">
      <alignment horizontal="left"/>
    </xf>
    <xf numFmtId="0" fontId="0" fillId="0" borderId="0" xfId="0" quotePrefix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4" fillId="0" borderId="0" xfId="0" applyFont="1"/>
    <xf numFmtId="0" fontId="0" fillId="0" borderId="0" xfId="0" applyFont="1"/>
    <xf numFmtId="16" fontId="0" fillId="0" borderId="0" xfId="0" quotePrefix="1" applyNumberFormat="1" applyAlignment="1">
      <alignment horizontal="left"/>
    </xf>
    <xf numFmtId="0" fontId="0" fillId="0" borderId="0" xfId="0" applyFont="1" applyAlignment="1">
      <alignment horizontal="left"/>
    </xf>
  </cellXfs>
  <cellStyles count="1">
    <cellStyle name="Normal" xfId="0" builtinId="0"/>
  </cellStyles>
  <dxfs count="29"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5710C-65C8-40EA-B639-B1B45687620A}">
  <dimension ref="A1:W314"/>
  <sheetViews>
    <sheetView tabSelected="1" zoomScaleNormal="100" workbookViewId="0">
      <pane ySplit="1" topLeftCell="A219" activePane="bottomLeft" state="frozen"/>
      <selection activeCell="D1" sqref="D1"/>
      <selection pane="bottomLeft" activeCell="G314" sqref="G314"/>
    </sheetView>
  </sheetViews>
  <sheetFormatPr defaultRowHeight="15"/>
  <cols>
    <col min="1" max="1" width="8.28515625" bestFit="1" customWidth="1"/>
    <col min="3" max="3" width="36" bestFit="1" customWidth="1"/>
    <col min="4" max="4" width="55" bestFit="1" customWidth="1"/>
    <col min="5" max="5" width="37.7109375" bestFit="1" customWidth="1"/>
    <col min="6" max="6" width="6" customWidth="1"/>
    <col min="7" max="7" width="8.140625" customWidth="1"/>
    <col min="8" max="8" width="20.85546875" customWidth="1"/>
    <col min="9" max="9" width="7.140625" style="9" bestFit="1" customWidth="1"/>
    <col min="10" max="10" width="4.28515625" style="9" bestFit="1" customWidth="1"/>
    <col min="11" max="11" width="9" style="9" bestFit="1" customWidth="1"/>
    <col min="12" max="12" width="8.42578125" style="9" customWidth="1"/>
  </cols>
  <sheetData>
    <row r="1" spans="1:23" s="1" customFormat="1">
      <c r="A1" s="1" t="s">
        <v>346</v>
      </c>
      <c r="B1" s="1" t="s">
        <v>564</v>
      </c>
      <c r="C1" s="1" t="s">
        <v>344</v>
      </c>
      <c r="D1" s="1" t="s">
        <v>566</v>
      </c>
      <c r="E1" s="1" t="s">
        <v>347</v>
      </c>
      <c r="F1" s="1" t="s">
        <v>567</v>
      </c>
      <c r="G1" s="1" t="s">
        <v>565</v>
      </c>
      <c r="H1" s="1" t="s">
        <v>348</v>
      </c>
      <c r="I1" s="1" t="s">
        <v>342</v>
      </c>
      <c r="J1" s="1" t="s">
        <v>343</v>
      </c>
      <c r="K1" s="1" t="s">
        <v>707</v>
      </c>
      <c r="L1" s="1" t="s">
        <v>716</v>
      </c>
      <c r="M1" s="1" t="s">
        <v>594</v>
      </c>
      <c r="N1" s="1" t="s">
        <v>708</v>
      </c>
      <c r="O1" s="6" t="s">
        <v>348</v>
      </c>
      <c r="P1" s="6" t="s">
        <v>343</v>
      </c>
      <c r="Q1" s="6" t="s">
        <v>598</v>
      </c>
      <c r="R1" s="6" t="s">
        <v>599</v>
      </c>
      <c r="S1" s="6" t="s">
        <v>600</v>
      </c>
      <c r="T1" s="6" t="s">
        <v>601</v>
      </c>
      <c r="U1" s="6" t="s">
        <v>602</v>
      </c>
      <c r="V1" s="6" t="s">
        <v>603</v>
      </c>
      <c r="W1" s="1" t="s">
        <v>724</v>
      </c>
    </row>
    <row r="2" spans="1:23">
      <c r="A2">
        <v>1</v>
      </c>
      <c r="B2">
        <v>1</v>
      </c>
      <c r="C2" t="s">
        <v>568</v>
      </c>
      <c r="D2" t="s">
        <v>201</v>
      </c>
      <c r="E2" t="str">
        <f>IF(ISNUMBER(SEARCH(" by", D2)), LEFT(D2, FIND(" by ",D2) - 1),D2)</f>
        <v>Oceans</v>
      </c>
      <c r="F2" t="str">
        <f>LEFT(E2,IF(ISNUMBER(SEARCH(" (",E2)),FIND(" (",E2)-1,LEN(E2)))</f>
        <v>Oceans</v>
      </c>
      <c r="G2" t="str">
        <f>IF(ISNUMBER(SEARCH("(",E2)), LEFT(RIGHT(E2, LEN(E2) - FIND("(",E2)), LEN(RIGHT(E2, LEN(E2) - FIND("(",E2))) - 1), "")</f>
        <v/>
      </c>
      <c r="H2" t="str">
        <f>IF(ISNUMBER(SEARCH(" by",D2)),RIGHT(D2, LEN(D2) - FIND(" by ",D2) - 3),"")</f>
        <v>Hillsong</v>
      </c>
      <c r="I2" s="9">
        <v>130</v>
      </c>
      <c r="J2" s="9" t="s">
        <v>0</v>
      </c>
      <c r="K2" s="9">
        <v>6428767</v>
      </c>
      <c r="L2" s="8"/>
      <c r="M2" t="s">
        <v>591</v>
      </c>
      <c r="N2" t="s">
        <v>709</v>
      </c>
      <c r="O2" t="s">
        <v>668</v>
      </c>
      <c r="P2" s="2" t="s">
        <v>29</v>
      </c>
      <c r="Q2" s="2" t="s">
        <v>29</v>
      </c>
      <c r="R2" s="3">
        <v>60</v>
      </c>
      <c r="S2" s="4" t="s">
        <v>596</v>
      </c>
      <c r="T2" s="5">
        <v>6428767</v>
      </c>
      <c r="U2" s="3">
        <v>2012</v>
      </c>
      <c r="V2" s="3" t="s">
        <v>597</v>
      </c>
      <c r="W2" s="1" t="str">
        <f t="shared" ref="W2:W6" si="0">IF(K2=T2,"Yes","")</f>
        <v>Yes</v>
      </c>
    </row>
    <row r="3" spans="1:23">
      <c r="A3">
        <v>1</v>
      </c>
      <c r="B3">
        <v>2</v>
      </c>
      <c r="C3" t="s">
        <v>568</v>
      </c>
      <c r="D3" t="s">
        <v>199</v>
      </c>
      <c r="E3" t="str">
        <f t="shared" ref="E3:E66" si="1">IF(ISNUMBER(SEARCH(" by", D3)), LEFT(D3, FIND(" by ",D3) - 1),D3)</f>
        <v>This Is Amazing Grace</v>
      </c>
      <c r="F3" t="str">
        <f t="shared" ref="F3:F66" si="2">LEFT(E3,IF(ISNUMBER(SEARCH(" (",E3)),FIND(" (",E3)-1,LEN(E3)))</f>
        <v>This Is Amazing Grace</v>
      </c>
      <c r="G3" t="str">
        <f t="shared" ref="G3:G22" si="3">IF(ISNUMBER(SEARCH("(",E3)), LEFT(RIGHT(E3, LEN(E3) - FIND("(",E3)), LEN(RIGHT(E3, LEN(E3) - FIND("(",E3))) - 1), "")</f>
        <v/>
      </c>
      <c r="H3" t="str">
        <f t="shared" ref="H3:H22" si="4">IF(ISNUMBER(SEARCH(" by",D3)),RIGHT(D3, LEN(D3) - FIND(" by ",D3) - 3),"")</f>
        <v>Phil Wickham</v>
      </c>
      <c r="I3" s="9">
        <v>99</v>
      </c>
      <c r="J3" s="9" t="s">
        <v>27</v>
      </c>
      <c r="K3" s="9">
        <v>6333821</v>
      </c>
      <c r="L3" s="8"/>
      <c r="M3" t="s">
        <v>591</v>
      </c>
      <c r="N3" t="s">
        <v>709</v>
      </c>
      <c r="O3" t="s">
        <v>669</v>
      </c>
      <c r="P3" s="2" t="s">
        <v>0</v>
      </c>
      <c r="Q3" s="2" t="s">
        <v>27</v>
      </c>
      <c r="R3" s="3">
        <v>100</v>
      </c>
      <c r="S3" s="4" t="s">
        <v>596</v>
      </c>
      <c r="T3" s="5">
        <v>6333821</v>
      </c>
      <c r="U3" s="3">
        <v>2012</v>
      </c>
      <c r="V3" s="3" t="s">
        <v>653</v>
      </c>
      <c r="W3" s="1" t="str">
        <f t="shared" si="0"/>
        <v>Yes</v>
      </c>
    </row>
    <row r="4" spans="1:23">
      <c r="A4">
        <v>1</v>
      </c>
      <c r="B4">
        <v>3</v>
      </c>
      <c r="C4" t="s">
        <v>568</v>
      </c>
      <c r="D4" t="s">
        <v>202</v>
      </c>
      <c r="E4" t="str">
        <f t="shared" si="1"/>
        <v>All the Poor and Powerless</v>
      </c>
      <c r="F4" t="str">
        <f t="shared" si="2"/>
        <v>All the Poor and Powerless</v>
      </c>
      <c r="G4" t="str">
        <f t="shared" si="3"/>
        <v/>
      </c>
      <c r="H4" t="str">
        <f t="shared" si="4"/>
        <v>All Sons &amp; Daughters</v>
      </c>
      <c r="I4" s="9">
        <v>72</v>
      </c>
      <c r="J4" s="9" t="s">
        <v>6</v>
      </c>
      <c r="K4" s="9">
        <v>5881130</v>
      </c>
      <c r="L4" s="8"/>
      <c r="M4" t="s">
        <v>591</v>
      </c>
      <c r="N4" t="s">
        <v>709</v>
      </c>
      <c r="O4" t="s">
        <v>670</v>
      </c>
      <c r="P4" s="2" t="s">
        <v>24</v>
      </c>
      <c r="Q4" s="2" t="s">
        <v>24</v>
      </c>
      <c r="R4" s="3">
        <v>76</v>
      </c>
      <c r="S4" s="4" t="s">
        <v>596</v>
      </c>
      <c r="T4" s="5">
        <v>5881130</v>
      </c>
      <c r="U4" s="3">
        <v>2011</v>
      </c>
      <c r="V4" s="7" t="s">
        <v>671</v>
      </c>
      <c r="W4" s="1" t="str">
        <f t="shared" si="0"/>
        <v>Yes</v>
      </c>
    </row>
    <row r="5" spans="1:23">
      <c r="A5">
        <v>1</v>
      </c>
      <c r="B5">
        <v>4</v>
      </c>
      <c r="C5" t="s">
        <v>568</v>
      </c>
      <c r="D5" t="s">
        <v>195</v>
      </c>
      <c r="E5" t="str">
        <f t="shared" si="1"/>
        <v>Lord I Need You</v>
      </c>
      <c r="F5" t="str">
        <f t="shared" si="2"/>
        <v>Lord I Need You</v>
      </c>
      <c r="G5" t="str">
        <f t="shared" si="3"/>
        <v/>
      </c>
      <c r="H5" t="str">
        <f t="shared" si="4"/>
        <v>Matt Maher</v>
      </c>
      <c r="I5" s="9">
        <v>72</v>
      </c>
      <c r="J5" s="9" t="s">
        <v>6</v>
      </c>
      <c r="K5" s="9">
        <v>5925687</v>
      </c>
      <c r="L5" s="8"/>
      <c r="M5" t="s">
        <v>591</v>
      </c>
      <c r="N5" t="s">
        <v>709</v>
      </c>
      <c r="O5" t="s">
        <v>672</v>
      </c>
      <c r="P5" s="2" t="s">
        <v>6</v>
      </c>
      <c r="Q5" s="2" t="s">
        <v>6</v>
      </c>
      <c r="R5" s="3">
        <v>74</v>
      </c>
      <c r="S5" s="3" t="s">
        <v>596</v>
      </c>
      <c r="T5" s="5">
        <v>5925687</v>
      </c>
      <c r="U5" s="3">
        <v>2011</v>
      </c>
      <c r="V5" s="3" t="s">
        <v>605</v>
      </c>
      <c r="W5" s="1" t="str">
        <f t="shared" si="0"/>
        <v>Yes</v>
      </c>
    </row>
    <row r="6" spans="1:23">
      <c r="A6">
        <v>1</v>
      </c>
      <c r="B6">
        <v>5</v>
      </c>
      <c r="C6" t="s">
        <v>568</v>
      </c>
      <c r="D6" t="s">
        <v>196</v>
      </c>
      <c r="E6" t="str">
        <f t="shared" si="1"/>
        <v>In Christ Alone (Passion)</v>
      </c>
      <c r="F6" t="str">
        <f t="shared" si="2"/>
        <v>In Christ Alone</v>
      </c>
      <c r="G6" t="str">
        <f t="shared" si="3"/>
        <v>Passion</v>
      </c>
      <c r="H6" t="str">
        <f t="shared" si="4"/>
        <v>Passion</v>
      </c>
      <c r="I6" s="9">
        <v>64</v>
      </c>
      <c r="J6" s="9" t="s">
        <v>11</v>
      </c>
      <c r="K6" s="9">
        <v>3350395</v>
      </c>
      <c r="L6" s="8"/>
      <c r="M6" t="s">
        <v>591</v>
      </c>
      <c r="N6" t="s">
        <v>709</v>
      </c>
      <c r="O6" t="s">
        <v>673</v>
      </c>
      <c r="P6" s="2" t="s">
        <v>29</v>
      </c>
      <c r="Q6" s="2" t="s">
        <v>29</v>
      </c>
      <c r="R6" s="3">
        <v>60</v>
      </c>
      <c r="S6" s="4" t="s">
        <v>609</v>
      </c>
      <c r="T6" s="5">
        <v>3350395</v>
      </c>
      <c r="U6" s="3">
        <v>2001</v>
      </c>
      <c r="V6" s="3" t="s">
        <v>607</v>
      </c>
      <c r="W6" s="1" t="str">
        <f t="shared" si="0"/>
        <v>Yes</v>
      </c>
    </row>
    <row r="7" spans="1:23">
      <c r="A7">
        <v>1</v>
      </c>
      <c r="B7">
        <v>6</v>
      </c>
      <c r="C7" t="s">
        <v>568</v>
      </c>
      <c r="D7" t="s">
        <v>197</v>
      </c>
      <c r="E7" t="str">
        <f t="shared" si="1"/>
        <v>Beautiful Things</v>
      </c>
      <c r="F7" t="str">
        <f t="shared" si="2"/>
        <v>Beautiful Things</v>
      </c>
      <c r="G7" t="str">
        <f t="shared" si="3"/>
        <v/>
      </c>
      <c r="H7" t="str">
        <f t="shared" si="4"/>
        <v>Gungor</v>
      </c>
      <c r="I7" s="9">
        <v>78</v>
      </c>
      <c r="J7" s="9" t="s">
        <v>29</v>
      </c>
      <c r="K7" s="9">
        <v>5665521</v>
      </c>
      <c r="L7" s="8"/>
      <c r="M7" t="s">
        <v>591</v>
      </c>
    </row>
    <row r="8" spans="1:23">
      <c r="A8">
        <v>1</v>
      </c>
      <c r="B8">
        <v>7</v>
      </c>
      <c r="C8" t="s">
        <v>568</v>
      </c>
      <c r="D8" t="s">
        <v>194</v>
      </c>
      <c r="E8" t="str">
        <f t="shared" si="1"/>
        <v>Come Thou Fount (Vol. 1)</v>
      </c>
      <c r="F8" t="str">
        <f t="shared" si="2"/>
        <v>Come Thou Fount</v>
      </c>
      <c r="G8" t="str">
        <f t="shared" si="3"/>
        <v>Vol. 1</v>
      </c>
      <c r="H8" t="str">
        <f t="shared" si="4"/>
        <v>The Worship Initiative</v>
      </c>
      <c r="I8" s="9">
        <v>68</v>
      </c>
      <c r="J8" s="9" t="s">
        <v>29</v>
      </c>
      <c r="K8" s="9">
        <v>7029505</v>
      </c>
      <c r="L8" s="8"/>
      <c r="M8" t="s">
        <v>591</v>
      </c>
    </row>
    <row r="9" spans="1:23">
      <c r="A9">
        <v>1</v>
      </c>
      <c r="B9">
        <v>8</v>
      </c>
      <c r="C9" t="s">
        <v>568</v>
      </c>
      <c r="D9" t="s">
        <v>198</v>
      </c>
      <c r="E9" t="str">
        <f t="shared" si="1"/>
        <v>10,000 Reasons</v>
      </c>
      <c r="F9" t="str">
        <f t="shared" si="2"/>
        <v>10,000 Reasons</v>
      </c>
      <c r="G9" t="str">
        <f t="shared" si="3"/>
        <v/>
      </c>
      <c r="H9" t="str">
        <f t="shared" si="4"/>
        <v>Matt Redman</v>
      </c>
      <c r="I9" s="9">
        <v>70</v>
      </c>
      <c r="J9" s="9" t="s">
        <v>0</v>
      </c>
      <c r="K9" s="9">
        <v>6016351</v>
      </c>
      <c r="L9" s="8"/>
      <c r="M9" t="s">
        <v>591</v>
      </c>
      <c r="N9" t="s">
        <v>709</v>
      </c>
      <c r="O9" t="s">
        <v>674</v>
      </c>
      <c r="P9" s="2" t="s">
        <v>0</v>
      </c>
      <c r="Q9" s="2" t="s">
        <v>0</v>
      </c>
      <c r="R9" s="3">
        <v>73</v>
      </c>
      <c r="S9" s="4" t="s">
        <v>596</v>
      </c>
      <c r="T9" s="5">
        <v>6016351</v>
      </c>
      <c r="U9" s="3">
        <v>2011</v>
      </c>
      <c r="V9" s="7" t="s">
        <v>675</v>
      </c>
      <c r="W9" s="1" t="str">
        <f t="shared" ref="W9:W10" si="5">IF(K9=T9,"Yes","")</f>
        <v>Yes</v>
      </c>
    </row>
    <row r="10" spans="1:23">
      <c r="A10">
        <v>1</v>
      </c>
      <c r="B10">
        <v>9</v>
      </c>
      <c r="C10" t="s">
        <v>568</v>
      </c>
      <c r="D10" t="s">
        <v>200</v>
      </c>
      <c r="E10" t="str">
        <f t="shared" si="1"/>
        <v>Whom Shall I Fear (God of Angel Armies)</v>
      </c>
      <c r="F10" t="str">
        <f t="shared" si="2"/>
        <v>Whom Shall I Fear</v>
      </c>
      <c r="G10" t="str">
        <f t="shared" si="3"/>
        <v>God of Angel Armies</v>
      </c>
      <c r="H10" t="str">
        <f t="shared" si="4"/>
        <v>Chris Tomlin</v>
      </c>
      <c r="I10" s="9">
        <v>74</v>
      </c>
      <c r="J10" s="9" t="s">
        <v>3</v>
      </c>
      <c r="K10" s="9">
        <v>6440288</v>
      </c>
      <c r="L10" s="8"/>
      <c r="M10" t="s">
        <v>591</v>
      </c>
      <c r="N10" t="s">
        <v>709</v>
      </c>
      <c r="O10" t="s">
        <v>629</v>
      </c>
      <c r="P10" s="2" t="s">
        <v>3</v>
      </c>
      <c r="Q10" s="2" t="s">
        <v>3</v>
      </c>
      <c r="R10" s="3">
        <v>75</v>
      </c>
      <c r="S10" s="4" t="s">
        <v>596</v>
      </c>
      <c r="T10" s="5">
        <v>6440288</v>
      </c>
      <c r="U10" s="3">
        <v>2012</v>
      </c>
      <c r="V10" s="7" t="s">
        <v>676</v>
      </c>
      <c r="W10" s="1" t="str">
        <f t="shared" si="5"/>
        <v>Yes</v>
      </c>
    </row>
    <row r="11" spans="1:23">
      <c r="A11">
        <v>1</v>
      </c>
      <c r="B11">
        <v>10</v>
      </c>
      <c r="C11" t="s">
        <v>568</v>
      </c>
      <c r="D11" t="s">
        <v>203</v>
      </c>
      <c r="E11" t="str">
        <f t="shared" si="1"/>
        <v>Happy Day</v>
      </c>
      <c r="F11" t="str">
        <f t="shared" si="2"/>
        <v>Happy Day</v>
      </c>
      <c r="G11" t="str">
        <f t="shared" si="3"/>
        <v/>
      </c>
      <c r="H11" t="str">
        <f t="shared" si="4"/>
        <v>Tim Hughes</v>
      </c>
      <c r="I11" s="9">
        <v>132</v>
      </c>
      <c r="J11" s="9" t="s">
        <v>3</v>
      </c>
      <c r="K11" s="9">
        <v>4847027</v>
      </c>
      <c r="L11" s="8"/>
      <c r="M11" t="s">
        <v>591</v>
      </c>
    </row>
    <row r="12" spans="1:23">
      <c r="A12">
        <v>2</v>
      </c>
      <c r="B12">
        <v>1</v>
      </c>
      <c r="C12" t="s">
        <v>569</v>
      </c>
      <c r="D12" t="s">
        <v>327</v>
      </c>
      <c r="E12" t="str">
        <f t="shared" si="1"/>
        <v>Heart Starts Beating</v>
      </c>
      <c r="F12" t="str">
        <f t="shared" si="2"/>
        <v>Heart Starts Beating</v>
      </c>
      <c r="G12" t="str">
        <f t="shared" si="3"/>
        <v/>
      </c>
      <c r="H12" t="str">
        <f t="shared" si="4"/>
        <v>Tim Neufeld</v>
      </c>
      <c r="I12" s="9">
        <v>112</v>
      </c>
      <c r="J12" s="9" t="s">
        <v>24</v>
      </c>
      <c r="K12" s="9">
        <v>6578772</v>
      </c>
      <c r="L12" s="8"/>
      <c r="M12" t="s">
        <v>592</v>
      </c>
    </row>
    <row r="13" spans="1:23">
      <c r="A13">
        <v>2</v>
      </c>
      <c r="B13">
        <v>2</v>
      </c>
      <c r="C13" t="s">
        <v>569</v>
      </c>
      <c r="D13" t="s">
        <v>323</v>
      </c>
      <c r="E13" t="str">
        <f t="shared" si="1"/>
        <v>Hosanna (Praise is Rising)</v>
      </c>
      <c r="F13" t="str">
        <f t="shared" si="2"/>
        <v>Hosanna</v>
      </c>
      <c r="G13" t="str">
        <f t="shared" si="3"/>
        <v>Praise is Rising</v>
      </c>
      <c r="H13" t="str">
        <f t="shared" si="4"/>
        <v>Paul Baloche</v>
      </c>
      <c r="I13" s="9">
        <v>106</v>
      </c>
      <c r="J13" s="9" t="s">
        <v>24</v>
      </c>
      <c r="K13" s="9">
        <v>4662491</v>
      </c>
      <c r="L13" s="8"/>
      <c r="M13" t="s">
        <v>591</v>
      </c>
      <c r="N13" t="s">
        <v>709</v>
      </c>
      <c r="O13" t="s">
        <v>677</v>
      </c>
      <c r="P13" s="2" t="s">
        <v>0</v>
      </c>
      <c r="Q13" s="2" t="s">
        <v>0</v>
      </c>
      <c r="R13" s="3">
        <v>114</v>
      </c>
      <c r="S13" s="4" t="s">
        <v>596</v>
      </c>
      <c r="T13" s="5">
        <v>4662491</v>
      </c>
      <c r="U13" s="3">
        <v>2006</v>
      </c>
      <c r="V13" s="7" t="s">
        <v>607</v>
      </c>
      <c r="W13" s="1" t="str">
        <f>IF(K13=T13,"Yes","")</f>
        <v>Yes</v>
      </c>
    </row>
    <row r="14" spans="1:23">
      <c r="A14">
        <v>2</v>
      </c>
      <c r="B14">
        <v>3</v>
      </c>
      <c r="C14" t="s">
        <v>569</v>
      </c>
      <c r="D14" t="s">
        <v>321</v>
      </c>
      <c r="E14" t="str">
        <f t="shared" si="1"/>
        <v>Forever Reign</v>
      </c>
      <c r="F14" t="str">
        <f t="shared" si="2"/>
        <v>Forever Reign</v>
      </c>
      <c r="G14" t="str">
        <f t="shared" si="3"/>
        <v/>
      </c>
      <c r="H14" t="str">
        <f t="shared" si="4"/>
        <v>Hillsong</v>
      </c>
      <c r="I14" s="9">
        <v>83</v>
      </c>
      <c r="J14" s="9" t="s">
        <v>3</v>
      </c>
      <c r="K14" s="9">
        <v>5639997</v>
      </c>
      <c r="L14" s="8"/>
      <c r="M14" t="s">
        <v>591</v>
      </c>
    </row>
    <row r="15" spans="1:23">
      <c r="A15">
        <v>2</v>
      </c>
      <c r="B15">
        <v>4</v>
      </c>
      <c r="C15" t="s">
        <v>569</v>
      </c>
      <c r="D15" t="s">
        <v>326</v>
      </c>
      <c r="E15" t="str">
        <f t="shared" si="1"/>
        <v>Mercy</v>
      </c>
      <c r="F15" t="str">
        <f t="shared" si="2"/>
        <v>Mercy</v>
      </c>
      <c r="G15" t="str">
        <f t="shared" si="3"/>
        <v/>
      </c>
      <c r="H15" t="str">
        <f t="shared" si="4"/>
        <v>Matt Redman</v>
      </c>
      <c r="I15" s="9">
        <v>73</v>
      </c>
      <c r="J15" s="9" t="s">
        <v>3</v>
      </c>
      <c r="K15" s="9">
        <v>7000689</v>
      </c>
      <c r="L15" s="8"/>
      <c r="M15" t="s">
        <v>591</v>
      </c>
      <c r="N15" t="s">
        <v>709</v>
      </c>
      <c r="O15" t="s">
        <v>678</v>
      </c>
      <c r="P15" s="2" t="s">
        <v>3</v>
      </c>
      <c r="Q15" s="2" t="s">
        <v>3</v>
      </c>
      <c r="R15" s="3">
        <v>73</v>
      </c>
      <c r="S15" s="3" t="s">
        <v>596</v>
      </c>
      <c r="T15" s="5">
        <v>7000689</v>
      </c>
      <c r="U15" s="3">
        <v>2013</v>
      </c>
      <c r="V15" s="7" t="s">
        <v>675</v>
      </c>
      <c r="W15" s="1" t="str">
        <f t="shared" ref="W15:W17" si="6">IF(K15=T15,"Yes","")</f>
        <v>Yes</v>
      </c>
    </row>
    <row r="16" spans="1:23">
      <c r="A16">
        <v>2</v>
      </c>
      <c r="B16">
        <v>5</v>
      </c>
      <c r="C16" t="s">
        <v>569</v>
      </c>
      <c r="D16" t="s">
        <v>324</v>
      </c>
      <c r="E16" t="str">
        <f t="shared" si="1"/>
        <v>How Great Is Our God</v>
      </c>
      <c r="F16" t="str">
        <f t="shared" si="2"/>
        <v>How Great Is Our God</v>
      </c>
      <c r="G16" t="str">
        <f t="shared" si="3"/>
        <v/>
      </c>
      <c r="H16" t="str">
        <f t="shared" si="4"/>
        <v>Chris Tomlin</v>
      </c>
      <c r="I16" s="9">
        <v>84</v>
      </c>
      <c r="J16" s="9" t="s">
        <v>3</v>
      </c>
      <c r="K16" s="9">
        <v>4348399</v>
      </c>
      <c r="L16" s="8"/>
      <c r="M16" t="s">
        <v>591</v>
      </c>
      <c r="N16" t="s">
        <v>709</v>
      </c>
      <c r="O16" t="s">
        <v>629</v>
      </c>
      <c r="P16" s="2" t="s">
        <v>3</v>
      </c>
      <c r="Q16" s="2" t="s">
        <v>3</v>
      </c>
      <c r="R16" s="3">
        <v>76</v>
      </c>
      <c r="S16" s="3" t="s">
        <v>596</v>
      </c>
      <c r="T16" s="5">
        <v>4348399</v>
      </c>
      <c r="U16" s="3">
        <v>2004</v>
      </c>
      <c r="V16" s="3" t="s">
        <v>605</v>
      </c>
      <c r="W16" s="1" t="str">
        <f t="shared" si="6"/>
        <v>Yes</v>
      </c>
    </row>
    <row r="17" spans="1:23">
      <c r="A17">
        <v>2</v>
      </c>
      <c r="B17">
        <v>6</v>
      </c>
      <c r="C17" t="s">
        <v>569</v>
      </c>
      <c r="D17" t="s">
        <v>328</v>
      </c>
      <c r="E17" t="str">
        <f t="shared" si="1"/>
        <v>You Are My All In All</v>
      </c>
      <c r="F17" t="str">
        <f t="shared" si="2"/>
        <v>You Are My All In All</v>
      </c>
      <c r="G17" t="str">
        <f t="shared" si="3"/>
        <v/>
      </c>
      <c r="H17" t="str">
        <f t="shared" si="4"/>
        <v>Dennis Jernigan</v>
      </c>
      <c r="I17" s="9">
        <v>128</v>
      </c>
      <c r="J17" s="9" t="s">
        <v>0</v>
      </c>
      <c r="K17" s="9">
        <v>825356</v>
      </c>
      <c r="L17" s="8"/>
      <c r="M17" t="s">
        <v>591</v>
      </c>
      <c r="N17" t="s">
        <v>709</v>
      </c>
      <c r="O17" t="s">
        <v>679</v>
      </c>
      <c r="P17" s="2" t="s">
        <v>20</v>
      </c>
      <c r="Q17" s="2" t="s">
        <v>20</v>
      </c>
      <c r="R17" s="3">
        <v>80</v>
      </c>
      <c r="S17" s="4" t="s">
        <v>596</v>
      </c>
      <c r="T17" s="5">
        <v>825356</v>
      </c>
      <c r="U17" s="3">
        <v>1991</v>
      </c>
      <c r="V17" s="7" t="s">
        <v>680</v>
      </c>
      <c r="W17" s="1" t="str">
        <f t="shared" si="6"/>
        <v>Yes</v>
      </c>
    </row>
    <row r="18" spans="1:23">
      <c r="A18">
        <v>2</v>
      </c>
      <c r="B18">
        <v>7</v>
      </c>
      <c r="C18" t="s">
        <v>569</v>
      </c>
      <c r="D18" t="s">
        <v>322</v>
      </c>
      <c r="E18" t="str">
        <f t="shared" si="1"/>
        <v>We Exalt Thee</v>
      </c>
      <c r="F18" t="str">
        <f t="shared" si="2"/>
        <v>We Exalt Thee</v>
      </c>
      <c r="G18" t="str">
        <f t="shared" si="3"/>
        <v/>
      </c>
      <c r="H18" t="str">
        <f t="shared" si="4"/>
        <v>Pete Sanchez Jr.</v>
      </c>
      <c r="I18" s="9">
        <v>68</v>
      </c>
      <c r="J18" s="9" t="s">
        <v>0</v>
      </c>
      <c r="K18" s="9">
        <v>17803</v>
      </c>
      <c r="L18" s="8"/>
      <c r="M18" t="s">
        <v>592</v>
      </c>
    </row>
    <row r="19" spans="1:23">
      <c r="A19">
        <v>2</v>
      </c>
      <c r="B19">
        <v>8</v>
      </c>
      <c r="C19" t="s">
        <v>569</v>
      </c>
      <c r="D19" t="s">
        <v>325</v>
      </c>
      <c r="E19" t="str">
        <f t="shared" si="1"/>
        <v>Our God</v>
      </c>
      <c r="F19" t="str">
        <f t="shared" si="2"/>
        <v>Our God</v>
      </c>
      <c r="G19" t="str">
        <f t="shared" si="3"/>
        <v/>
      </c>
      <c r="H19" t="str">
        <f t="shared" si="4"/>
        <v>Chris Tomlin</v>
      </c>
      <c r="I19" s="9">
        <v>106</v>
      </c>
      <c r="J19" s="9" t="s">
        <v>6</v>
      </c>
      <c r="K19" s="9">
        <v>5677416</v>
      </c>
      <c r="L19" s="8"/>
      <c r="M19" t="s">
        <v>591</v>
      </c>
      <c r="N19" t="s">
        <v>709</v>
      </c>
      <c r="O19" t="s">
        <v>614</v>
      </c>
      <c r="P19" s="2" t="s">
        <v>6</v>
      </c>
      <c r="Q19" s="2" t="s">
        <v>6</v>
      </c>
      <c r="R19" s="3">
        <v>105</v>
      </c>
      <c r="S19" s="4" t="s">
        <v>596</v>
      </c>
      <c r="T19" s="5">
        <v>5677416</v>
      </c>
      <c r="U19" s="3">
        <v>2010</v>
      </c>
      <c r="V19" s="7" t="s">
        <v>675</v>
      </c>
      <c r="W19" s="1" t="str">
        <f t="shared" ref="W19:W21" si="7">IF(K19=T19,"Yes","")</f>
        <v>Yes</v>
      </c>
    </row>
    <row r="20" spans="1:23">
      <c r="A20">
        <v>2</v>
      </c>
      <c r="B20">
        <v>9</v>
      </c>
      <c r="C20" t="s">
        <v>569</v>
      </c>
      <c r="D20" t="s">
        <v>319</v>
      </c>
      <c r="E20" t="str">
        <f t="shared" si="1"/>
        <v>Open the Eyes of My Heart</v>
      </c>
      <c r="F20" t="str">
        <f t="shared" si="2"/>
        <v>Open the Eyes of My Heart</v>
      </c>
      <c r="G20" t="str">
        <f t="shared" si="3"/>
        <v/>
      </c>
      <c r="H20" t="str">
        <f t="shared" si="4"/>
        <v>Paul Baloche</v>
      </c>
      <c r="I20" s="9">
        <v>110</v>
      </c>
      <c r="J20" s="9" t="s">
        <v>6</v>
      </c>
      <c r="K20" s="9">
        <v>2298355</v>
      </c>
      <c r="L20" s="8"/>
      <c r="M20" t="s">
        <v>591</v>
      </c>
      <c r="N20" t="s">
        <v>709</v>
      </c>
      <c r="O20" t="s">
        <v>681</v>
      </c>
      <c r="P20" s="2" t="s">
        <v>11</v>
      </c>
      <c r="Q20" s="2" t="s">
        <v>11</v>
      </c>
      <c r="R20" s="3">
        <v>112</v>
      </c>
      <c r="S20" s="4" t="s">
        <v>596</v>
      </c>
      <c r="T20" s="5">
        <v>2298355</v>
      </c>
      <c r="U20" s="3">
        <v>1997</v>
      </c>
      <c r="V20" s="3" t="s">
        <v>682</v>
      </c>
      <c r="W20" s="1" t="str">
        <f t="shared" si="7"/>
        <v>Yes</v>
      </c>
    </row>
    <row r="21" spans="1:23">
      <c r="A21">
        <v>2</v>
      </c>
      <c r="B21">
        <v>10</v>
      </c>
      <c r="C21" t="s">
        <v>569</v>
      </c>
      <c r="D21" t="s">
        <v>320</v>
      </c>
      <c r="E21" t="str">
        <f t="shared" si="1"/>
        <v>Better Is One Day</v>
      </c>
      <c r="F21" t="str">
        <f t="shared" si="2"/>
        <v>Better Is One Day</v>
      </c>
      <c r="G21" t="str">
        <f t="shared" si="3"/>
        <v/>
      </c>
      <c r="H21" t="str">
        <f t="shared" si="4"/>
        <v>Matt Redman</v>
      </c>
      <c r="I21" s="9">
        <v>79</v>
      </c>
      <c r="J21" s="9" t="s">
        <v>11</v>
      </c>
      <c r="K21" s="9">
        <v>1097451</v>
      </c>
      <c r="L21" s="8"/>
      <c r="M21" t="s">
        <v>591</v>
      </c>
      <c r="N21" t="s">
        <v>709</v>
      </c>
      <c r="O21" t="s">
        <v>606</v>
      </c>
      <c r="P21" s="2" t="s">
        <v>11</v>
      </c>
      <c r="Q21" s="2" t="s">
        <v>11</v>
      </c>
      <c r="R21" s="3">
        <v>77</v>
      </c>
      <c r="S21" s="3" t="s">
        <v>596</v>
      </c>
      <c r="T21" s="5">
        <v>1097451</v>
      </c>
      <c r="U21" s="3">
        <v>1995</v>
      </c>
      <c r="V21" s="7" t="s">
        <v>607</v>
      </c>
      <c r="W21" s="1" t="str">
        <f t="shared" si="7"/>
        <v>Yes</v>
      </c>
    </row>
    <row r="22" spans="1:23">
      <c r="A22">
        <v>3</v>
      </c>
      <c r="B22">
        <v>1</v>
      </c>
      <c r="C22" t="s">
        <v>570</v>
      </c>
      <c r="D22" t="s">
        <v>268</v>
      </c>
      <c r="E22" t="str">
        <f t="shared" si="1"/>
        <v>So I Can Love</v>
      </c>
      <c r="F22" t="str">
        <f t="shared" si="2"/>
        <v>So I Can Love</v>
      </c>
      <c r="G22" t="str">
        <f t="shared" si="3"/>
        <v/>
      </c>
      <c r="H22" t="str">
        <f t="shared" si="4"/>
        <v>The Worship Initiative</v>
      </c>
      <c r="I22" s="9">
        <v>124</v>
      </c>
      <c r="J22" s="9" t="s">
        <v>61</v>
      </c>
      <c r="K22" s="9">
        <v>7031125</v>
      </c>
      <c r="M22" t="s">
        <v>592</v>
      </c>
    </row>
    <row r="23" spans="1:23">
      <c r="A23">
        <v>3</v>
      </c>
      <c r="B23">
        <v>2</v>
      </c>
      <c r="C23" t="s">
        <v>570</v>
      </c>
      <c r="D23" t="s">
        <v>264</v>
      </c>
      <c r="E23" t="str">
        <f t="shared" si="1"/>
        <v>I Will Follow</v>
      </c>
      <c r="F23" t="str">
        <f t="shared" si="2"/>
        <v>I Will Follow</v>
      </c>
      <c r="G23" t="str">
        <f t="shared" ref="G23:G86" si="8">IF(ISNUMBER(SEARCH("(",E23)), LEFT(RIGHT(E23, LEN(E23) - FIND("(",E23)), LEN(RIGHT(E23, LEN(E23) - FIND("(",E23))) - 1), "")</f>
        <v/>
      </c>
      <c r="H23" t="str">
        <f t="shared" ref="H23:H86" si="9">IF(ISNUMBER(SEARCH(" by",D23)),RIGHT(D23, LEN(D23) - FIND(" by ",D23) - 3),"")</f>
        <v>Chris Tomlin</v>
      </c>
      <c r="I23" s="9">
        <v>96</v>
      </c>
      <c r="J23" s="9" t="s">
        <v>0</v>
      </c>
      <c r="K23" s="9">
        <v>5806878</v>
      </c>
      <c r="M23" t="s">
        <v>591</v>
      </c>
      <c r="N23" t="s">
        <v>709</v>
      </c>
      <c r="O23" t="s">
        <v>635</v>
      </c>
      <c r="P23" s="2" t="s">
        <v>24</v>
      </c>
      <c r="Q23" s="2" t="s">
        <v>27</v>
      </c>
      <c r="R23" s="3">
        <v>96</v>
      </c>
      <c r="S23" s="3" t="s">
        <v>596</v>
      </c>
      <c r="T23" s="5">
        <v>5806878</v>
      </c>
      <c r="U23" s="3">
        <v>2010</v>
      </c>
      <c r="V23" s="3" t="s">
        <v>683</v>
      </c>
      <c r="W23" s="1" t="str">
        <f>IF(K23=T23,"Yes","")</f>
        <v>Yes</v>
      </c>
    </row>
    <row r="24" spans="1:23">
      <c r="A24">
        <v>3</v>
      </c>
      <c r="B24">
        <v>3</v>
      </c>
      <c r="C24" t="s">
        <v>570</v>
      </c>
      <c r="D24" t="s">
        <v>270</v>
      </c>
      <c r="E24" t="str">
        <f t="shared" si="1"/>
        <v>Liberty</v>
      </c>
      <c r="F24" t="str">
        <f t="shared" si="2"/>
        <v>Liberty</v>
      </c>
      <c r="G24" t="str">
        <f t="shared" si="8"/>
        <v/>
      </c>
      <c r="H24" t="str">
        <f t="shared" si="9"/>
        <v>Shane &amp; Shane</v>
      </c>
      <c r="I24" s="9">
        <v>111</v>
      </c>
      <c r="J24" s="9" t="s">
        <v>0</v>
      </c>
      <c r="K24" s="9">
        <v>6186872</v>
      </c>
      <c r="M24" t="s">
        <v>592</v>
      </c>
    </row>
    <row r="25" spans="1:23">
      <c r="A25">
        <v>3</v>
      </c>
      <c r="B25">
        <v>4</v>
      </c>
      <c r="C25" t="s">
        <v>570</v>
      </c>
      <c r="D25" t="s">
        <v>263</v>
      </c>
      <c r="E25" t="str">
        <f t="shared" si="1"/>
        <v>Oh Lord, You're Beautiful</v>
      </c>
      <c r="F25" t="str">
        <f t="shared" si="2"/>
        <v>Oh Lord, You're Beautiful</v>
      </c>
      <c r="G25" t="str">
        <f t="shared" si="8"/>
        <v/>
      </c>
      <c r="H25" t="str">
        <f t="shared" si="9"/>
        <v>Keith Green</v>
      </c>
      <c r="I25" s="9">
        <v>56</v>
      </c>
      <c r="J25" s="9" t="s">
        <v>0</v>
      </c>
      <c r="K25" s="9">
        <v>14514</v>
      </c>
      <c r="M25" t="s">
        <v>591</v>
      </c>
    </row>
    <row r="26" spans="1:23">
      <c r="A26">
        <v>3</v>
      </c>
      <c r="B26">
        <v>5</v>
      </c>
      <c r="C26" t="s">
        <v>570</v>
      </c>
      <c r="D26" t="s">
        <v>265</v>
      </c>
      <c r="E26" t="str">
        <f t="shared" si="1"/>
        <v>How He Loves</v>
      </c>
      <c r="F26" t="str">
        <f t="shared" si="2"/>
        <v>How He Loves</v>
      </c>
      <c r="G26" t="str">
        <f t="shared" si="8"/>
        <v/>
      </c>
      <c r="H26" t="str">
        <f t="shared" si="9"/>
        <v>John Mark McMillan</v>
      </c>
      <c r="I26" s="9">
        <v>72.5</v>
      </c>
      <c r="J26" s="9" t="s">
        <v>3</v>
      </c>
      <c r="K26" s="9">
        <v>5032549</v>
      </c>
      <c r="M26" t="s">
        <v>591</v>
      </c>
    </row>
    <row r="27" spans="1:23">
      <c r="A27">
        <v>3</v>
      </c>
      <c r="B27">
        <v>6</v>
      </c>
      <c r="C27" t="s">
        <v>570</v>
      </c>
      <c r="D27" t="s">
        <v>266</v>
      </c>
      <c r="E27" t="str">
        <f t="shared" si="1"/>
        <v>Never Once</v>
      </c>
      <c r="F27" t="str">
        <f t="shared" si="2"/>
        <v>Never Once</v>
      </c>
      <c r="G27" t="str">
        <f t="shared" si="8"/>
        <v/>
      </c>
      <c r="H27" t="str">
        <f t="shared" si="9"/>
        <v>Matt Redman</v>
      </c>
      <c r="I27" s="9">
        <v>70</v>
      </c>
      <c r="J27" s="9" t="s">
        <v>3</v>
      </c>
      <c r="K27" s="9">
        <v>5997055</v>
      </c>
      <c r="M27" t="s">
        <v>591</v>
      </c>
    </row>
    <row r="28" spans="1:23">
      <c r="A28">
        <v>3</v>
      </c>
      <c r="B28">
        <v>7</v>
      </c>
      <c r="C28" t="s">
        <v>570</v>
      </c>
      <c r="D28" t="s">
        <v>267</v>
      </c>
      <c r="E28" t="str">
        <f t="shared" si="1"/>
        <v>Shout to the Lord</v>
      </c>
      <c r="F28" t="str">
        <f t="shared" si="2"/>
        <v>Shout to the Lord</v>
      </c>
      <c r="G28" t="str">
        <f t="shared" si="8"/>
        <v/>
      </c>
      <c r="H28" t="str">
        <f t="shared" si="9"/>
        <v>Hillsong</v>
      </c>
      <c r="I28" s="9">
        <v>80</v>
      </c>
      <c r="J28" s="9" t="s">
        <v>6</v>
      </c>
      <c r="K28" s="9">
        <v>1406918</v>
      </c>
      <c r="M28" t="s">
        <v>591</v>
      </c>
      <c r="N28" t="s">
        <v>709</v>
      </c>
      <c r="O28" t="s">
        <v>684</v>
      </c>
      <c r="P28" s="2" t="s">
        <v>24</v>
      </c>
      <c r="Q28" s="2" t="s">
        <v>24</v>
      </c>
      <c r="R28" s="3">
        <v>76</v>
      </c>
      <c r="S28" s="4" t="s">
        <v>596</v>
      </c>
      <c r="T28" s="5">
        <v>1406918</v>
      </c>
      <c r="U28" s="3">
        <v>1993</v>
      </c>
      <c r="V28" s="7" t="s">
        <v>685</v>
      </c>
      <c r="W28" s="1" t="str">
        <f t="shared" ref="W28:W31" si="10">IF(K28=T28,"Yes","")</f>
        <v>Yes</v>
      </c>
    </row>
    <row r="29" spans="1:23">
      <c r="A29">
        <v>3</v>
      </c>
      <c r="B29">
        <v>8</v>
      </c>
      <c r="C29" t="s">
        <v>570</v>
      </c>
      <c r="D29" t="s">
        <v>262</v>
      </c>
      <c r="E29" t="str">
        <f t="shared" si="1"/>
        <v>Before The Throne of God Above</v>
      </c>
      <c r="F29" t="str">
        <f t="shared" si="2"/>
        <v>Before The Throne of God Above</v>
      </c>
      <c r="G29" t="str">
        <f t="shared" si="8"/>
        <v/>
      </c>
      <c r="H29" t="str">
        <f t="shared" si="9"/>
        <v>Shane &amp; Shane</v>
      </c>
      <c r="I29" s="9">
        <v>68</v>
      </c>
      <c r="J29" s="9" t="s">
        <v>31</v>
      </c>
      <c r="K29" s="9">
        <v>2306412</v>
      </c>
      <c r="M29" t="s">
        <v>591</v>
      </c>
      <c r="N29" t="s">
        <v>709</v>
      </c>
      <c r="O29" t="s">
        <v>686</v>
      </c>
      <c r="P29" s="2" t="s">
        <v>29</v>
      </c>
      <c r="Q29" s="2" t="s">
        <v>29</v>
      </c>
      <c r="R29" s="3">
        <v>76</v>
      </c>
      <c r="S29" s="3" t="s">
        <v>609</v>
      </c>
      <c r="T29" s="3">
        <v>2306412</v>
      </c>
      <c r="U29" s="3">
        <v>1997</v>
      </c>
      <c r="V29" s="3" t="s">
        <v>687</v>
      </c>
      <c r="W29" s="1" t="str">
        <f t="shared" si="10"/>
        <v>Yes</v>
      </c>
    </row>
    <row r="30" spans="1:23">
      <c r="A30">
        <v>3</v>
      </c>
      <c r="B30">
        <v>9</v>
      </c>
      <c r="C30" t="s">
        <v>570</v>
      </c>
      <c r="D30" t="s">
        <v>269</v>
      </c>
      <c r="E30" t="str">
        <f t="shared" si="1"/>
        <v>Beautiful One</v>
      </c>
      <c r="F30" t="str">
        <f t="shared" si="2"/>
        <v>Beautiful One</v>
      </c>
      <c r="G30" t="str">
        <f t="shared" si="8"/>
        <v/>
      </c>
      <c r="H30" t="str">
        <f t="shared" si="9"/>
        <v>Tim Hughes</v>
      </c>
      <c r="I30" s="9">
        <v>120</v>
      </c>
      <c r="J30" s="9" t="s">
        <v>31</v>
      </c>
      <c r="K30" s="9">
        <v>3915912</v>
      </c>
      <c r="M30" t="s">
        <v>591</v>
      </c>
      <c r="N30" t="s">
        <v>709</v>
      </c>
      <c r="O30" t="s">
        <v>688</v>
      </c>
      <c r="P30" s="2" t="s">
        <v>29</v>
      </c>
      <c r="Q30" s="2" t="s">
        <v>29</v>
      </c>
      <c r="R30" s="3">
        <v>122</v>
      </c>
      <c r="S30" s="4" t="s">
        <v>596</v>
      </c>
      <c r="T30" s="3">
        <v>3915912</v>
      </c>
      <c r="U30" s="3">
        <v>2002</v>
      </c>
      <c r="V30" s="3" t="s">
        <v>607</v>
      </c>
      <c r="W30" s="1" t="str">
        <f t="shared" si="10"/>
        <v>Yes</v>
      </c>
    </row>
    <row r="31" spans="1:23">
      <c r="A31">
        <v>3</v>
      </c>
      <c r="B31">
        <v>10</v>
      </c>
      <c r="C31" t="s">
        <v>570</v>
      </c>
      <c r="D31" t="s">
        <v>261</v>
      </c>
      <c r="E31" t="str">
        <f t="shared" si="1"/>
        <v>Blessed Be Your Name</v>
      </c>
      <c r="F31" t="str">
        <f t="shared" si="2"/>
        <v>Blessed Be Your Name</v>
      </c>
      <c r="G31" t="str">
        <f t="shared" si="8"/>
        <v/>
      </c>
      <c r="H31" t="str">
        <f t="shared" si="9"/>
        <v>Matt Redman</v>
      </c>
      <c r="I31" s="9">
        <v>114</v>
      </c>
      <c r="J31" s="9" t="s">
        <v>6</v>
      </c>
      <c r="K31" s="9">
        <v>3798438</v>
      </c>
      <c r="M31" t="s">
        <v>591</v>
      </c>
      <c r="N31" t="s">
        <v>709</v>
      </c>
      <c r="O31" t="s">
        <v>689</v>
      </c>
      <c r="P31" s="2" t="s">
        <v>6</v>
      </c>
      <c r="Q31" s="2" t="s">
        <v>6</v>
      </c>
      <c r="R31" s="3">
        <v>116</v>
      </c>
      <c r="S31" s="3" t="s">
        <v>596</v>
      </c>
      <c r="T31" s="5">
        <v>3798438</v>
      </c>
      <c r="U31" s="3">
        <v>2002</v>
      </c>
      <c r="V31" s="7" t="s">
        <v>607</v>
      </c>
      <c r="W31" s="1" t="str">
        <f t="shared" si="10"/>
        <v>Yes</v>
      </c>
    </row>
    <row r="32" spans="1:23">
      <c r="A32">
        <v>4</v>
      </c>
      <c r="B32">
        <v>1</v>
      </c>
      <c r="C32" t="s">
        <v>571</v>
      </c>
      <c r="D32" t="s">
        <v>161</v>
      </c>
      <c r="E32" t="str">
        <f t="shared" si="1"/>
        <v>I Stand Amazed (How Marvelous)</v>
      </c>
      <c r="F32" t="str">
        <f t="shared" si="2"/>
        <v>I Stand Amazed</v>
      </c>
      <c r="G32" t="str">
        <f t="shared" si="8"/>
        <v>How Marvelous</v>
      </c>
      <c r="H32" t="str">
        <f t="shared" si="9"/>
        <v>Chris Tomlin</v>
      </c>
      <c r="I32" s="9">
        <v>104</v>
      </c>
      <c r="J32" s="9" t="s">
        <v>24</v>
      </c>
      <c r="K32" s="9">
        <v>7029507</v>
      </c>
      <c r="M32" t="s">
        <v>591</v>
      </c>
    </row>
    <row r="33" spans="1:23">
      <c r="A33">
        <v>4</v>
      </c>
      <c r="B33">
        <v>2</v>
      </c>
      <c r="C33" t="s">
        <v>571</v>
      </c>
      <c r="D33" t="s">
        <v>168</v>
      </c>
      <c r="E33" t="str">
        <f t="shared" si="1"/>
        <v>Our God Is Love</v>
      </c>
      <c r="F33" t="str">
        <f t="shared" si="2"/>
        <v>Our God Is Love</v>
      </c>
      <c r="G33" t="str">
        <f t="shared" si="8"/>
        <v/>
      </c>
      <c r="H33" t="str">
        <f t="shared" si="9"/>
        <v>Hillsong</v>
      </c>
      <c r="I33" s="9">
        <v>118</v>
      </c>
      <c r="J33" s="9" t="s">
        <v>17</v>
      </c>
      <c r="K33" s="9">
        <v>5636866</v>
      </c>
      <c r="M33" t="s">
        <v>591</v>
      </c>
    </row>
    <row r="34" spans="1:23">
      <c r="A34">
        <v>4</v>
      </c>
      <c r="B34">
        <v>3</v>
      </c>
      <c r="C34" t="s">
        <v>571</v>
      </c>
      <c r="D34" t="s">
        <v>159</v>
      </c>
      <c r="E34" t="str">
        <f t="shared" si="1"/>
        <v>Holy Is The Lord</v>
      </c>
      <c r="F34" t="str">
        <f t="shared" si="2"/>
        <v>Holy Is The Lord</v>
      </c>
      <c r="G34" t="str">
        <f t="shared" si="8"/>
        <v/>
      </c>
      <c r="H34" t="str">
        <f t="shared" si="9"/>
        <v>Chris Tomlin</v>
      </c>
      <c r="I34" s="9">
        <v>77</v>
      </c>
      <c r="J34" s="9" t="s">
        <v>0</v>
      </c>
      <c r="K34" s="9">
        <v>4158039</v>
      </c>
      <c r="M34" t="s">
        <v>591</v>
      </c>
    </row>
    <row r="35" spans="1:23">
      <c r="A35">
        <v>4</v>
      </c>
      <c r="B35">
        <v>4</v>
      </c>
      <c r="C35" t="s">
        <v>571</v>
      </c>
      <c r="D35" t="s">
        <v>160</v>
      </c>
      <c r="E35" t="str">
        <f t="shared" si="1"/>
        <v>Here For You</v>
      </c>
      <c r="F35" t="str">
        <f t="shared" si="2"/>
        <v>Here For You</v>
      </c>
      <c r="G35" t="str">
        <f t="shared" si="8"/>
        <v/>
      </c>
      <c r="H35" t="str">
        <f t="shared" si="9"/>
        <v>Matt Redman</v>
      </c>
      <c r="I35" s="9">
        <v>86</v>
      </c>
      <c r="J35" s="9" t="s">
        <v>3</v>
      </c>
      <c r="K35" s="9">
        <v>5925649</v>
      </c>
      <c r="M35" t="s">
        <v>591</v>
      </c>
    </row>
    <row r="36" spans="1:23">
      <c r="A36">
        <v>4</v>
      </c>
      <c r="B36">
        <v>5</v>
      </c>
      <c r="C36" t="s">
        <v>571</v>
      </c>
      <c r="D36" t="s">
        <v>167</v>
      </c>
      <c r="E36" t="str">
        <f t="shared" si="1"/>
        <v>Always</v>
      </c>
      <c r="F36" t="str">
        <f t="shared" si="2"/>
        <v>Always</v>
      </c>
      <c r="G36" t="str">
        <f t="shared" si="8"/>
        <v/>
      </c>
      <c r="H36" t="str">
        <f t="shared" si="9"/>
        <v>Passion</v>
      </c>
      <c r="I36" s="9">
        <v>72</v>
      </c>
      <c r="J36" s="9" t="s">
        <v>3</v>
      </c>
      <c r="K36" s="9">
        <v>5881037</v>
      </c>
      <c r="M36" t="s">
        <v>591</v>
      </c>
    </row>
    <row r="37" spans="1:23">
      <c r="A37">
        <v>4</v>
      </c>
      <c r="B37">
        <v>6</v>
      </c>
      <c r="C37" t="s">
        <v>571</v>
      </c>
      <c r="D37" t="s">
        <v>165</v>
      </c>
      <c r="E37" t="str">
        <f t="shared" si="1"/>
        <v>Here I Am To Worship</v>
      </c>
      <c r="F37" t="str">
        <f t="shared" si="2"/>
        <v>Here I Am To Worship</v>
      </c>
      <c r="G37" t="str">
        <f t="shared" si="8"/>
        <v/>
      </c>
      <c r="H37" t="str">
        <f t="shared" si="9"/>
        <v>Tim Hughes</v>
      </c>
      <c r="I37" s="9">
        <v>69</v>
      </c>
      <c r="J37" s="9" t="s">
        <v>3</v>
      </c>
      <c r="K37" s="9">
        <v>3266032</v>
      </c>
      <c r="M37" t="s">
        <v>591</v>
      </c>
      <c r="N37" t="s">
        <v>709</v>
      </c>
      <c r="O37" t="s">
        <v>688</v>
      </c>
      <c r="P37" s="2" t="s">
        <v>11</v>
      </c>
      <c r="Q37" s="2" t="s">
        <v>11</v>
      </c>
      <c r="R37" s="3">
        <v>75</v>
      </c>
      <c r="S37" s="3" t="s">
        <v>596</v>
      </c>
      <c r="T37" s="5">
        <v>3266032</v>
      </c>
      <c r="U37" s="3">
        <v>2000</v>
      </c>
      <c r="V37" s="7" t="s">
        <v>607</v>
      </c>
      <c r="W37" s="1" t="str">
        <f>IF(K37=T37,"Yes","")</f>
        <v>Yes</v>
      </c>
    </row>
    <row r="38" spans="1:23">
      <c r="A38">
        <v>4</v>
      </c>
      <c r="B38">
        <v>7</v>
      </c>
      <c r="C38" t="s">
        <v>571</v>
      </c>
      <c r="D38" t="s">
        <v>163</v>
      </c>
      <c r="E38" t="str">
        <f t="shared" si="1"/>
        <v>Worthy of Affection</v>
      </c>
      <c r="F38" t="str">
        <f t="shared" si="2"/>
        <v>Worthy of Affection</v>
      </c>
      <c r="G38" t="str">
        <f t="shared" si="8"/>
        <v/>
      </c>
      <c r="H38" t="str">
        <f t="shared" si="9"/>
        <v>Shane &amp; Shane</v>
      </c>
      <c r="I38" s="9">
        <v>58</v>
      </c>
      <c r="J38" s="9" t="s">
        <v>3</v>
      </c>
      <c r="K38" s="9">
        <v>5627772</v>
      </c>
      <c r="M38" t="s">
        <v>593</v>
      </c>
    </row>
    <row r="39" spans="1:23">
      <c r="A39">
        <v>4</v>
      </c>
      <c r="B39">
        <v>8</v>
      </c>
      <c r="C39" t="s">
        <v>571</v>
      </c>
      <c r="D39" t="s">
        <v>162</v>
      </c>
      <c r="E39" t="str">
        <f t="shared" si="1"/>
        <v>Healer</v>
      </c>
      <c r="F39" t="str">
        <f t="shared" si="2"/>
        <v>Healer</v>
      </c>
      <c r="G39" t="str">
        <f t="shared" si="8"/>
        <v/>
      </c>
      <c r="H39" t="str">
        <f t="shared" si="9"/>
        <v>Hillsong</v>
      </c>
      <c r="I39" s="9">
        <v>77</v>
      </c>
      <c r="J39" s="9" t="s">
        <v>24</v>
      </c>
      <c r="K39" s="9">
        <v>4873981</v>
      </c>
      <c r="M39" t="s">
        <v>591</v>
      </c>
      <c r="N39" t="s">
        <v>709</v>
      </c>
      <c r="O39" t="s">
        <v>691</v>
      </c>
      <c r="P39" s="2" t="s">
        <v>6</v>
      </c>
      <c r="Q39" s="2" t="s">
        <v>6</v>
      </c>
      <c r="R39" s="3">
        <v>80</v>
      </c>
      <c r="S39" s="3" t="s">
        <v>596</v>
      </c>
      <c r="T39" s="5">
        <v>4873981</v>
      </c>
      <c r="U39" s="3">
        <v>2007</v>
      </c>
      <c r="V39" s="7" t="s">
        <v>692</v>
      </c>
      <c r="W39" s="1" t="str">
        <f>IF(K39=T39,"Yes","")</f>
        <v>Yes</v>
      </c>
    </row>
    <row r="40" spans="1:23">
      <c r="A40">
        <v>4</v>
      </c>
      <c r="B40">
        <v>9</v>
      </c>
      <c r="C40" t="s">
        <v>571</v>
      </c>
      <c r="D40" t="s">
        <v>166</v>
      </c>
      <c r="E40" t="str">
        <f t="shared" si="1"/>
        <v>It Is Well (Hymn)</v>
      </c>
      <c r="F40" t="str">
        <f t="shared" si="2"/>
        <v>It Is Well</v>
      </c>
      <c r="G40" t="str">
        <f t="shared" si="8"/>
        <v>Hymn</v>
      </c>
      <c r="H40" t="str">
        <f t="shared" si="9"/>
        <v>The Worship Initiative</v>
      </c>
      <c r="I40" s="9">
        <v>68</v>
      </c>
      <c r="J40" s="9" t="s">
        <v>147</v>
      </c>
      <c r="K40" s="9">
        <v>7029513</v>
      </c>
      <c r="M40" t="s">
        <v>591</v>
      </c>
    </row>
    <row r="41" spans="1:23">
      <c r="A41">
        <v>4</v>
      </c>
      <c r="B41">
        <v>10</v>
      </c>
      <c r="C41" t="s">
        <v>571</v>
      </c>
      <c r="D41" t="s">
        <v>164</v>
      </c>
      <c r="E41" t="str">
        <f t="shared" si="1"/>
        <v>O Praise Him (All This For a King)</v>
      </c>
      <c r="F41" t="str">
        <f t="shared" si="2"/>
        <v>O Praise Him</v>
      </c>
      <c r="G41" t="str">
        <f t="shared" si="8"/>
        <v>All This For a King</v>
      </c>
      <c r="H41" t="str">
        <f t="shared" si="9"/>
        <v>Crowder</v>
      </c>
      <c r="I41" s="9">
        <v>115</v>
      </c>
      <c r="J41" s="9" t="s">
        <v>27</v>
      </c>
      <c r="K41" s="9">
        <v>4158022</v>
      </c>
      <c r="M41" t="s">
        <v>591</v>
      </c>
    </row>
    <row r="42" spans="1:23">
      <c r="A42">
        <v>5</v>
      </c>
      <c r="B42">
        <v>1</v>
      </c>
      <c r="C42" t="s">
        <v>572</v>
      </c>
      <c r="D42" t="s">
        <v>150</v>
      </c>
      <c r="E42" t="str">
        <f t="shared" si="1"/>
        <v>Cornerstone</v>
      </c>
      <c r="F42" t="str">
        <f t="shared" si="2"/>
        <v>Cornerstone</v>
      </c>
      <c r="G42" t="str">
        <f t="shared" si="8"/>
        <v/>
      </c>
      <c r="H42" t="str">
        <f t="shared" si="9"/>
        <v>Hillsong</v>
      </c>
      <c r="I42" s="9">
        <v>68</v>
      </c>
      <c r="J42" s="9" t="s">
        <v>3</v>
      </c>
      <c r="K42" s="9">
        <v>6158927</v>
      </c>
      <c r="M42" t="s">
        <v>591</v>
      </c>
      <c r="N42" t="s">
        <v>709</v>
      </c>
      <c r="O42" t="s">
        <v>693</v>
      </c>
      <c r="P42" s="2" t="s">
        <v>3</v>
      </c>
      <c r="Q42" s="2" t="s">
        <v>3</v>
      </c>
      <c r="R42" s="3">
        <v>71</v>
      </c>
      <c r="S42" s="3" t="s">
        <v>596</v>
      </c>
      <c r="T42" s="5">
        <v>6158927</v>
      </c>
      <c r="U42" s="3">
        <v>2011</v>
      </c>
      <c r="V42" s="7" t="s">
        <v>597</v>
      </c>
      <c r="W42" s="1" t="str">
        <f>IF(K42=T42,"Yes","")</f>
        <v>Yes</v>
      </c>
    </row>
    <row r="43" spans="1:23">
      <c r="A43">
        <v>5</v>
      </c>
      <c r="B43">
        <v>2</v>
      </c>
      <c r="C43" t="s">
        <v>572</v>
      </c>
      <c r="D43" t="s">
        <v>157</v>
      </c>
      <c r="E43" t="str">
        <f t="shared" si="1"/>
        <v>Reign In Us</v>
      </c>
      <c r="F43" t="str">
        <f t="shared" si="2"/>
        <v>Reign In Us</v>
      </c>
      <c r="G43" t="str">
        <f t="shared" si="8"/>
        <v/>
      </c>
      <c r="H43" t="str">
        <f t="shared" si="9"/>
        <v>Starfield</v>
      </c>
      <c r="I43" s="9">
        <v>71</v>
      </c>
      <c r="J43" s="9" t="s">
        <v>3</v>
      </c>
      <c r="K43" s="9">
        <v>5207587</v>
      </c>
      <c r="M43" t="s">
        <v>591</v>
      </c>
    </row>
    <row r="44" spans="1:23">
      <c r="A44">
        <v>5</v>
      </c>
      <c r="B44">
        <v>3</v>
      </c>
      <c r="C44" t="s">
        <v>572</v>
      </c>
      <c r="D44" t="s">
        <v>151</v>
      </c>
      <c r="E44" t="str">
        <f t="shared" si="1"/>
        <v>Cannons</v>
      </c>
      <c r="F44" t="str">
        <f t="shared" si="2"/>
        <v>Cannons</v>
      </c>
      <c r="G44" t="str">
        <f t="shared" si="8"/>
        <v/>
      </c>
      <c r="H44" t="str">
        <f t="shared" si="9"/>
        <v>Phil Wickham</v>
      </c>
      <c r="I44" s="9">
        <v>79</v>
      </c>
      <c r="J44" s="9" t="s">
        <v>0</v>
      </c>
      <c r="K44" s="9">
        <v>5124055</v>
      </c>
      <c r="M44" t="s">
        <v>591</v>
      </c>
    </row>
    <row r="45" spans="1:23">
      <c r="A45">
        <v>5</v>
      </c>
      <c r="B45">
        <v>4</v>
      </c>
      <c r="C45" t="s">
        <v>572</v>
      </c>
      <c r="D45" t="s">
        <v>156</v>
      </c>
      <c r="E45" t="str">
        <f t="shared" si="1"/>
        <v>Though You Slay Me</v>
      </c>
      <c r="F45" t="str">
        <f t="shared" si="2"/>
        <v>Though You Slay Me</v>
      </c>
      <c r="G45" t="str">
        <f t="shared" si="8"/>
        <v/>
      </c>
      <c r="H45" t="str">
        <f t="shared" si="9"/>
        <v>Shane &amp; Shane</v>
      </c>
      <c r="I45" s="9">
        <v>58</v>
      </c>
      <c r="J45" s="9" t="s">
        <v>0</v>
      </c>
      <c r="K45" s="9">
        <v>6590798</v>
      </c>
      <c r="M45" t="s">
        <v>591</v>
      </c>
    </row>
    <row r="46" spans="1:23">
      <c r="A46">
        <v>5</v>
      </c>
      <c r="B46">
        <v>5</v>
      </c>
      <c r="C46" t="s">
        <v>572</v>
      </c>
      <c r="D46" t="s">
        <v>158</v>
      </c>
      <c r="E46" t="str">
        <f t="shared" si="1"/>
        <v>Let My Words Be Few</v>
      </c>
      <c r="F46" t="str">
        <f t="shared" si="2"/>
        <v>Let My Words Be Few</v>
      </c>
      <c r="G46" t="str">
        <f t="shared" si="8"/>
        <v/>
      </c>
      <c r="H46" t="str">
        <f t="shared" si="9"/>
        <v>Matt Redman</v>
      </c>
      <c r="I46" s="9">
        <v>71</v>
      </c>
      <c r="J46" s="9" t="s">
        <v>24</v>
      </c>
      <c r="K46" s="9">
        <v>3040980</v>
      </c>
      <c r="M46" t="s">
        <v>591</v>
      </c>
    </row>
    <row r="47" spans="1:23">
      <c r="A47">
        <v>5</v>
      </c>
      <c r="B47">
        <v>6</v>
      </c>
      <c r="C47" t="s">
        <v>572</v>
      </c>
      <c r="D47" t="s">
        <v>153</v>
      </c>
      <c r="E47" t="str">
        <f t="shared" si="1"/>
        <v>I Am Set Free</v>
      </c>
      <c r="F47" t="str">
        <f t="shared" si="2"/>
        <v>I Am Set Free</v>
      </c>
      <c r="G47" t="str">
        <f t="shared" si="8"/>
        <v/>
      </c>
      <c r="H47" t="str">
        <f t="shared" si="9"/>
        <v>All Sons &amp; Daughters</v>
      </c>
      <c r="I47" s="9">
        <v>78</v>
      </c>
      <c r="J47" s="9" t="s">
        <v>24</v>
      </c>
      <c r="K47" s="9">
        <v>5880784</v>
      </c>
      <c r="M47" t="s">
        <v>591</v>
      </c>
    </row>
    <row r="48" spans="1:23">
      <c r="A48">
        <v>5</v>
      </c>
      <c r="B48">
        <v>7</v>
      </c>
      <c r="C48" t="s">
        <v>572</v>
      </c>
      <c r="D48" t="s">
        <v>152</v>
      </c>
      <c r="E48" t="str">
        <f t="shared" si="1"/>
        <v>Give Us Clean Hands</v>
      </c>
      <c r="F48" t="str">
        <f t="shared" si="2"/>
        <v>Give Us Clean Hands</v>
      </c>
      <c r="G48" t="str">
        <f t="shared" si="8"/>
        <v/>
      </c>
      <c r="H48" t="str">
        <f t="shared" si="9"/>
        <v>Chris Tomlin</v>
      </c>
      <c r="I48" s="9">
        <v>73</v>
      </c>
      <c r="J48" s="9" t="s">
        <v>24</v>
      </c>
      <c r="K48" s="9">
        <v>2060208</v>
      </c>
      <c r="M48" t="s">
        <v>591</v>
      </c>
    </row>
    <row r="49" spans="1:23">
      <c r="A49">
        <v>5</v>
      </c>
      <c r="B49">
        <v>8</v>
      </c>
      <c r="C49" t="s">
        <v>572</v>
      </c>
      <c r="D49" t="s">
        <v>149</v>
      </c>
      <c r="E49" t="str">
        <f t="shared" si="1"/>
        <v>Jesus Paid It All</v>
      </c>
      <c r="F49" t="str">
        <f t="shared" si="2"/>
        <v>Jesus Paid It All</v>
      </c>
      <c r="G49" t="str">
        <f t="shared" si="8"/>
        <v/>
      </c>
      <c r="H49" t="str">
        <f t="shared" si="9"/>
        <v>Passion</v>
      </c>
      <c r="I49" s="9">
        <v>70</v>
      </c>
      <c r="J49" s="9" t="s">
        <v>29</v>
      </c>
      <c r="K49" s="9">
        <v>4689508</v>
      </c>
      <c r="M49" t="s">
        <v>591</v>
      </c>
      <c r="N49" t="s">
        <v>709</v>
      </c>
      <c r="O49" t="s">
        <v>694</v>
      </c>
      <c r="P49" s="2" t="s">
        <v>3</v>
      </c>
      <c r="Q49" s="2" t="s">
        <v>147</v>
      </c>
      <c r="R49" s="3">
        <v>76</v>
      </c>
      <c r="S49" s="4" t="s">
        <v>609</v>
      </c>
      <c r="T49" s="3">
        <v>22331</v>
      </c>
      <c r="U49" s="3">
        <v>1865</v>
      </c>
      <c r="V49" s="7" t="s">
        <v>690</v>
      </c>
      <c r="W49" s="1" t="str">
        <f t="shared" ref="W49:W52" si="11">IF(K49=T49,"Yes","")</f>
        <v/>
      </c>
    </row>
    <row r="50" spans="1:23">
      <c r="A50">
        <v>5</v>
      </c>
      <c r="B50">
        <v>9</v>
      </c>
      <c r="C50" t="s">
        <v>572</v>
      </c>
      <c r="D50" t="s">
        <v>154</v>
      </c>
      <c r="E50" t="str">
        <f t="shared" si="1"/>
        <v>Your Great Name</v>
      </c>
      <c r="F50" t="str">
        <f t="shared" si="2"/>
        <v>Your Great Name</v>
      </c>
      <c r="G50" t="str">
        <f t="shared" si="8"/>
        <v/>
      </c>
      <c r="H50" t="str">
        <f t="shared" si="9"/>
        <v>Natalie Grant</v>
      </c>
      <c r="I50" s="9">
        <v>75</v>
      </c>
      <c r="J50" s="9" t="s">
        <v>17</v>
      </c>
      <c r="K50" s="9">
        <v>5393329</v>
      </c>
      <c r="M50" t="s">
        <v>591</v>
      </c>
      <c r="N50" t="s">
        <v>709</v>
      </c>
      <c r="O50" t="s">
        <v>695</v>
      </c>
      <c r="P50" s="2" t="s">
        <v>3</v>
      </c>
      <c r="Q50" s="2" t="s">
        <v>3</v>
      </c>
      <c r="R50" s="3">
        <v>75</v>
      </c>
      <c r="S50" s="4" t="s">
        <v>596</v>
      </c>
      <c r="T50" s="5">
        <v>5393329</v>
      </c>
      <c r="U50" s="3">
        <v>2008</v>
      </c>
      <c r="V50" s="3" t="s">
        <v>696</v>
      </c>
      <c r="W50" s="1" t="str">
        <f t="shared" si="11"/>
        <v>Yes</v>
      </c>
    </row>
    <row r="51" spans="1:23">
      <c r="A51">
        <v>5</v>
      </c>
      <c r="B51">
        <v>10</v>
      </c>
      <c r="C51" t="s">
        <v>572</v>
      </c>
      <c r="D51" t="s">
        <v>155</v>
      </c>
      <c r="E51" t="str">
        <f t="shared" si="1"/>
        <v>The Wonderful Cross</v>
      </c>
      <c r="F51" t="str">
        <f t="shared" si="2"/>
        <v>The Wonderful Cross</v>
      </c>
      <c r="G51" t="str">
        <f t="shared" si="8"/>
        <v/>
      </c>
      <c r="H51" t="str">
        <f t="shared" si="9"/>
        <v>Chris Tomlin</v>
      </c>
      <c r="I51" s="9">
        <v>88</v>
      </c>
      <c r="J51" s="9" t="s">
        <v>11</v>
      </c>
      <c r="K51" s="9">
        <v>3148435</v>
      </c>
      <c r="M51" t="s">
        <v>591</v>
      </c>
      <c r="N51" t="s">
        <v>709</v>
      </c>
      <c r="O51" t="s">
        <v>697</v>
      </c>
      <c r="P51" s="2" t="s">
        <v>29</v>
      </c>
      <c r="Q51" s="2" t="s">
        <v>29</v>
      </c>
      <c r="R51" s="3">
        <v>88</v>
      </c>
      <c r="S51" s="4" t="s">
        <v>596</v>
      </c>
      <c r="T51" s="5">
        <v>3148435</v>
      </c>
      <c r="U51" s="3">
        <v>2000</v>
      </c>
      <c r="V51" s="3" t="s">
        <v>605</v>
      </c>
      <c r="W51" s="1" t="str">
        <f t="shared" si="11"/>
        <v>Yes</v>
      </c>
    </row>
    <row r="52" spans="1:23">
      <c r="A52">
        <v>6</v>
      </c>
      <c r="B52">
        <v>1</v>
      </c>
      <c r="C52" t="s">
        <v>573</v>
      </c>
      <c r="D52" t="s">
        <v>230</v>
      </c>
      <c r="E52" t="str">
        <f t="shared" si="1"/>
        <v>Because He Lives</v>
      </c>
      <c r="F52" t="str">
        <f t="shared" si="2"/>
        <v>Because He Lives</v>
      </c>
      <c r="G52" t="str">
        <f t="shared" si="8"/>
        <v/>
      </c>
      <c r="H52" t="str">
        <f t="shared" si="9"/>
        <v>William Gaither</v>
      </c>
      <c r="I52" s="9">
        <v>118</v>
      </c>
      <c r="J52" s="9" t="s">
        <v>24</v>
      </c>
      <c r="K52" s="9">
        <v>16880</v>
      </c>
      <c r="M52" t="s">
        <v>591</v>
      </c>
      <c r="N52" t="s">
        <v>709</v>
      </c>
      <c r="O52" t="s">
        <v>698</v>
      </c>
      <c r="P52" s="2" t="s">
        <v>0</v>
      </c>
      <c r="Q52" s="2" t="s">
        <v>61</v>
      </c>
      <c r="R52" s="3">
        <v>96</v>
      </c>
      <c r="S52" s="4" t="s">
        <v>596</v>
      </c>
      <c r="T52" s="3">
        <v>16880</v>
      </c>
      <c r="U52" s="3">
        <v>1971</v>
      </c>
      <c r="V52" s="3" t="s">
        <v>699</v>
      </c>
      <c r="W52" s="1" t="str">
        <f t="shared" si="11"/>
        <v>Yes</v>
      </c>
    </row>
    <row r="53" spans="1:23">
      <c r="A53">
        <v>6</v>
      </c>
      <c r="B53">
        <v>2</v>
      </c>
      <c r="C53" t="s">
        <v>573</v>
      </c>
      <c r="D53" t="s">
        <v>231</v>
      </c>
      <c r="E53" t="str">
        <f t="shared" si="1"/>
        <v>Now and Always</v>
      </c>
      <c r="F53" t="str">
        <f t="shared" si="2"/>
        <v>Now and Always</v>
      </c>
      <c r="G53" t="str">
        <f t="shared" si="8"/>
        <v/>
      </c>
      <c r="H53" t="str">
        <f t="shared" si="9"/>
        <v>Shane &amp; Shane</v>
      </c>
      <c r="I53" s="9">
        <v>70</v>
      </c>
      <c r="J53" s="9" t="s">
        <v>24</v>
      </c>
      <c r="K53" s="9">
        <v>7029241</v>
      </c>
      <c r="M53" t="s">
        <v>592</v>
      </c>
    </row>
    <row r="54" spans="1:23">
      <c r="A54">
        <v>6</v>
      </c>
      <c r="B54">
        <v>3</v>
      </c>
      <c r="C54" t="s">
        <v>573</v>
      </c>
      <c r="D54" t="s">
        <v>227</v>
      </c>
      <c r="E54" t="str">
        <f t="shared" si="1"/>
        <v>Revelation Song</v>
      </c>
      <c r="F54" t="str">
        <f t="shared" si="2"/>
        <v>Revelation Song</v>
      </c>
      <c r="G54" t="str">
        <f t="shared" si="8"/>
        <v/>
      </c>
      <c r="H54" t="str">
        <f t="shared" si="9"/>
        <v>Kari Jobe</v>
      </c>
      <c r="I54" s="9">
        <v>64</v>
      </c>
      <c r="J54" s="9" t="s">
        <v>11</v>
      </c>
      <c r="K54" s="9">
        <v>4447960</v>
      </c>
      <c r="M54" t="s">
        <v>591</v>
      </c>
      <c r="N54" t="s">
        <v>709</v>
      </c>
      <c r="O54" t="s">
        <v>700</v>
      </c>
      <c r="P54" s="2" t="s">
        <v>29</v>
      </c>
      <c r="Q54" s="2" t="s">
        <v>29</v>
      </c>
      <c r="R54" s="3">
        <v>60</v>
      </c>
      <c r="S54" s="4" t="s">
        <v>596</v>
      </c>
      <c r="T54" s="3">
        <v>4447960</v>
      </c>
      <c r="U54" s="3">
        <v>2004</v>
      </c>
      <c r="V54" s="7" t="s">
        <v>701</v>
      </c>
      <c r="W54" s="1" t="str">
        <f t="shared" ref="W54:W55" si="12">IF(K54=T54,"Yes","")</f>
        <v>Yes</v>
      </c>
    </row>
    <row r="55" spans="1:23">
      <c r="A55">
        <v>6</v>
      </c>
      <c r="B55">
        <v>4</v>
      </c>
      <c r="C55" t="s">
        <v>573</v>
      </c>
      <c r="D55" t="s">
        <v>226</v>
      </c>
      <c r="E55" t="str">
        <f t="shared" si="1"/>
        <v>Great Is Thy Faithfulness</v>
      </c>
      <c r="F55" t="str">
        <f t="shared" si="2"/>
        <v>Great Is Thy Faithfulness</v>
      </c>
      <c r="G55" t="str">
        <f t="shared" si="8"/>
        <v/>
      </c>
      <c r="H55" t="str">
        <f t="shared" si="9"/>
        <v>The Worship Initiative</v>
      </c>
      <c r="I55" s="9">
        <v>85</v>
      </c>
      <c r="J55" s="9" t="s">
        <v>11</v>
      </c>
      <c r="K55" s="9">
        <v>18723</v>
      </c>
      <c r="M55" t="s">
        <v>591</v>
      </c>
      <c r="N55" t="s">
        <v>709</v>
      </c>
      <c r="O55" t="s">
        <v>702</v>
      </c>
      <c r="P55" s="2" t="s">
        <v>29</v>
      </c>
      <c r="Q55" s="2" t="s">
        <v>29</v>
      </c>
      <c r="R55" s="3">
        <v>75</v>
      </c>
      <c r="S55" s="4" t="s">
        <v>609</v>
      </c>
      <c r="T55" s="3">
        <v>18723</v>
      </c>
      <c r="U55" s="3">
        <v>1923</v>
      </c>
      <c r="V55" s="7" t="s">
        <v>690</v>
      </c>
      <c r="W55" s="1" t="str">
        <f t="shared" si="12"/>
        <v>Yes</v>
      </c>
    </row>
    <row r="56" spans="1:23">
      <c r="A56">
        <v>6</v>
      </c>
      <c r="B56">
        <v>5</v>
      </c>
      <c r="C56" t="s">
        <v>573</v>
      </c>
      <c r="D56" t="s">
        <v>233</v>
      </c>
      <c r="E56" t="str">
        <f t="shared" si="1"/>
        <v>The Cross Stands</v>
      </c>
      <c r="F56" t="str">
        <f t="shared" si="2"/>
        <v>The Cross Stands</v>
      </c>
      <c r="G56" t="str">
        <f t="shared" si="8"/>
        <v/>
      </c>
      <c r="H56" t="str">
        <f t="shared" si="9"/>
        <v>Tim Hughes</v>
      </c>
      <c r="I56" s="9">
        <v>74</v>
      </c>
      <c r="J56" s="9" t="s">
        <v>27</v>
      </c>
      <c r="K56" s="9">
        <v>6521035</v>
      </c>
      <c r="M56" t="s">
        <v>593</v>
      </c>
    </row>
    <row r="57" spans="1:23">
      <c r="A57">
        <v>6</v>
      </c>
      <c r="B57">
        <v>6</v>
      </c>
      <c r="C57" t="s">
        <v>573</v>
      </c>
      <c r="D57" t="s">
        <v>232</v>
      </c>
      <c r="E57" t="str">
        <f t="shared" si="1"/>
        <v>Marvelous Light</v>
      </c>
      <c r="F57" t="str">
        <f t="shared" si="2"/>
        <v>Marvelous Light</v>
      </c>
      <c r="G57" t="str">
        <f t="shared" si="8"/>
        <v/>
      </c>
      <c r="H57" t="str">
        <f t="shared" si="9"/>
        <v>Charlie Hall</v>
      </c>
      <c r="I57" s="9">
        <v>113</v>
      </c>
      <c r="J57" s="9" t="s">
        <v>27</v>
      </c>
      <c r="K57" s="9">
        <v>4491002</v>
      </c>
      <c r="M57" t="s">
        <v>591</v>
      </c>
    </row>
    <row r="58" spans="1:23">
      <c r="A58">
        <v>6</v>
      </c>
      <c r="B58">
        <v>7</v>
      </c>
      <c r="C58" t="s">
        <v>573</v>
      </c>
      <c r="D58" t="s">
        <v>229</v>
      </c>
      <c r="E58" t="str">
        <f t="shared" si="1"/>
        <v>Forever (Sing Praise)</v>
      </c>
      <c r="F58" t="str">
        <f t="shared" si="2"/>
        <v>Forever</v>
      </c>
      <c r="G58" t="str">
        <f t="shared" si="8"/>
        <v>Sing Praise</v>
      </c>
      <c r="H58" t="str">
        <f t="shared" si="9"/>
        <v>Chris Tomlin</v>
      </c>
      <c r="I58" s="9">
        <v>123</v>
      </c>
      <c r="J58" s="9" t="s">
        <v>27</v>
      </c>
      <c r="K58" s="9">
        <v>3148428</v>
      </c>
      <c r="M58" t="s">
        <v>591</v>
      </c>
      <c r="N58" t="s">
        <v>709</v>
      </c>
      <c r="O58" t="s">
        <v>703</v>
      </c>
      <c r="P58" s="2" t="s">
        <v>24</v>
      </c>
      <c r="Q58" s="2" t="s">
        <v>24</v>
      </c>
      <c r="R58" s="3">
        <v>120</v>
      </c>
      <c r="S58" s="4" t="s">
        <v>596</v>
      </c>
      <c r="T58" s="5">
        <v>3148428</v>
      </c>
      <c r="U58" s="3">
        <v>2001</v>
      </c>
      <c r="V58" s="7" t="s">
        <v>605</v>
      </c>
      <c r="W58" s="1" t="str">
        <f t="shared" ref="W58:W61" si="13">IF(K58=T58,"Yes","")</f>
        <v>Yes</v>
      </c>
    </row>
    <row r="59" spans="1:23">
      <c r="A59">
        <v>6</v>
      </c>
      <c r="B59">
        <v>8</v>
      </c>
      <c r="C59" t="s">
        <v>573</v>
      </c>
      <c r="D59" t="s">
        <v>234</v>
      </c>
      <c r="E59" t="str">
        <f t="shared" si="1"/>
        <v>One Thing Remains</v>
      </c>
      <c r="F59" t="str">
        <f t="shared" si="2"/>
        <v>One Thing Remains</v>
      </c>
      <c r="G59" t="str">
        <f t="shared" si="8"/>
        <v/>
      </c>
      <c r="H59" t="str">
        <f t="shared" si="9"/>
        <v>Brian Johnson</v>
      </c>
      <c r="I59" s="9">
        <v>71</v>
      </c>
      <c r="J59" s="9" t="s">
        <v>147</v>
      </c>
      <c r="K59" s="9">
        <v>5508444</v>
      </c>
      <c r="M59" t="s">
        <v>591</v>
      </c>
      <c r="N59" t="s">
        <v>709</v>
      </c>
      <c r="O59" t="s">
        <v>704</v>
      </c>
      <c r="P59" s="2" t="s">
        <v>0</v>
      </c>
      <c r="Q59" s="2" t="s">
        <v>27</v>
      </c>
      <c r="R59" s="3">
        <v>78</v>
      </c>
      <c r="S59" s="4" t="s">
        <v>596</v>
      </c>
      <c r="T59" s="5">
        <v>5508444</v>
      </c>
      <c r="U59" s="3">
        <v>2010</v>
      </c>
      <c r="V59" s="7" t="s">
        <v>705</v>
      </c>
      <c r="W59" s="1" t="str">
        <f t="shared" si="13"/>
        <v>Yes</v>
      </c>
    </row>
    <row r="60" spans="1:23">
      <c r="A60">
        <v>6</v>
      </c>
      <c r="B60">
        <v>9</v>
      </c>
      <c r="C60" t="s">
        <v>573</v>
      </c>
      <c r="D60" t="s">
        <v>235</v>
      </c>
      <c r="E60" t="str">
        <f t="shared" si="1"/>
        <v>Lead Me to the Cross</v>
      </c>
      <c r="F60" t="str">
        <f t="shared" si="2"/>
        <v>Lead Me to the Cross</v>
      </c>
      <c r="G60" t="str">
        <f t="shared" si="8"/>
        <v/>
      </c>
      <c r="H60" t="str">
        <f t="shared" si="9"/>
        <v>Hillsong</v>
      </c>
      <c r="I60" s="9">
        <v>72</v>
      </c>
      <c r="J60" s="9" t="s">
        <v>0</v>
      </c>
      <c r="K60" s="9">
        <v>4785828</v>
      </c>
      <c r="M60" t="s">
        <v>591</v>
      </c>
      <c r="N60" t="s">
        <v>709</v>
      </c>
      <c r="O60" t="s">
        <v>658</v>
      </c>
      <c r="P60" s="2" t="s">
        <v>29</v>
      </c>
      <c r="Q60" s="2" t="s">
        <v>29</v>
      </c>
      <c r="R60" s="3">
        <v>75</v>
      </c>
      <c r="S60" s="4" t="s">
        <v>596</v>
      </c>
      <c r="T60" s="5">
        <v>4785828</v>
      </c>
      <c r="U60" s="3">
        <v>2006</v>
      </c>
      <c r="V60" s="3" t="s">
        <v>597</v>
      </c>
      <c r="W60" s="1" t="str">
        <f t="shared" si="13"/>
        <v>Yes</v>
      </c>
    </row>
    <row r="61" spans="1:23">
      <c r="A61">
        <v>6</v>
      </c>
      <c r="B61">
        <v>10</v>
      </c>
      <c r="C61" t="s">
        <v>573</v>
      </c>
      <c r="D61" t="s">
        <v>228</v>
      </c>
      <c r="E61" t="str">
        <f t="shared" si="1"/>
        <v>Your Grace is Enough</v>
      </c>
      <c r="F61" t="str">
        <f t="shared" si="2"/>
        <v>Your Grace is Enough</v>
      </c>
      <c r="G61" t="str">
        <f t="shared" si="8"/>
        <v/>
      </c>
      <c r="H61" t="str">
        <f t="shared" si="9"/>
        <v>Matt Maher</v>
      </c>
      <c r="I61" s="9">
        <v>114</v>
      </c>
      <c r="J61" s="9" t="s">
        <v>0</v>
      </c>
      <c r="K61" s="9">
        <v>4477026</v>
      </c>
      <c r="M61" t="s">
        <v>591</v>
      </c>
      <c r="N61" t="s">
        <v>709</v>
      </c>
      <c r="O61" t="s">
        <v>706</v>
      </c>
      <c r="P61" s="2" t="s">
        <v>0</v>
      </c>
      <c r="Q61" s="2" t="s">
        <v>0</v>
      </c>
      <c r="R61" s="3">
        <v>116</v>
      </c>
      <c r="S61" s="4" t="s">
        <v>596</v>
      </c>
      <c r="T61" s="5">
        <v>4477026</v>
      </c>
      <c r="U61" s="3">
        <v>2003</v>
      </c>
      <c r="V61" s="7" t="s">
        <v>607</v>
      </c>
      <c r="W61" s="1" t="str">
        <f t="shared" si="13"/>
        <v>Yes</v>
      </c>
    </row>
    <row r="62" spans="1:23">
      <c r="A62">
        <v>7</v>
      </c>
      <c r="B62">
        <v>1</v>
      </c>
      <c r="C62" t="s">
        <v>574</v>
      </c>
      <c r="D62" t="s">
        <v>204</v>
      </c>
      <c r="E62" t="str">
        <f t="shared" si="1"/>
        <v>You're Beautiful</v>
      </c>
      <c r="F62" t="str">
        <f t="shared" si="2"/>
        <v>You're Beautiful</v>
      </c>
      <c r="G62" t="str">
        <f t="shared" si="8"/>
        <v/>
      </c>
      <c r="H62" t="str">
        <f t="shared" si="9"/>
        <v>Phil Wickham</v>
      </c>
      <c r="I62" s="9">
        <v>80</v>
      </c>
      <c r="J62" s="9" t="s">
        <v>31</v>
      </c>
      <c r="K62" s="9">
        <v>5124024</v>
      </c>
      <c r="M62" t="s">
        <v>591</v>
      </c>
    </row>
    <row r="63" spans="1:23">
      <c r="A63">
        <v>7</v>
      </c>
      <c r="B63">
        <v>2</v>
      </c>
      <c r="C63" t="s">
        <v>574</v>
      </c>
      <c r="D63" t="s">
        <v>206</v>
      </c>
      <c r="E63" t="str">
        <f t="shared" si="1"/>
        <v>Hosanna</v>
      </c>
      <c r="F63" t="str">
        <f t="shared" si="2"/>
        <v>Hosanna</v>
      </c>
      <c r="G63" t="str">
        <f t="shared" si="8"/>
        <v/>
      </c>
      <c r="H63" t="str">
        <f t="shared" si="9"/>
        <v>Hillsong</v>
      </c>
      <c r="I63" s="9">
        <v>73.5</v>
      </c>
      <c r="J63" s="9" t="s">
        <v>11</v>
      </c>
      <c r="K63" s="9">
        <v>4785835</v>
      </c>
      <c r="M63" t="s">
        <v>591</v>
      </c>
      <c r="N63" t="s">
        <v>709</v>
      </c>
      <c r="O63" t="s">
        <v>658</v>
      </c>
      <c r="P63" s="2" t="s">
        <v>11</v>
      </c>
      <c r="Q63" s="2" t="s">
        <v>11</v>
      </c>
      <c r="R63" s="3">
        <v>75</v>
      </c>
      <c r="S63" s="4" t="s">
        <v>596</v>
      </c>
      <c r="T63" s="5">
        <v>4785835</v>
      </c>
      <c r="U63" s="3">
        <v>2006</v>
      </c>
      <c r="V63" s="3" t="s">
        <v>597</v>
      </c>
      <c r="W63" s="1" t="str">
        <f t="shared" ref="W63:W64" si="14">IF(K63=T63,"Yes","")</f>
        <v>Yes</v>
      </c>
    </row>
    <row r="64" spans="1:23">
      <c r="A64">
        <v>7</v>
      </c>
      <c r="B64">
        <v>3</v>
      </c>
      <c r="C64" t="s">
        <v>574</v>
      </c>
      <c r="D64" t="s">
        <v>208</v>
      </c>
      <c r="E64" t="str">
        <f t="shared" si="1"/>
        <v>Mighty to Save</v>
      </c>
      <c r="F64" t="str">
        <f t="shared" si="2"/>
        <v>Mighty to Save</v>
      </c>
      <c r="G64" t="str">
        <f t="shared" si="8"/>
        <v/>
      </c>
      <c r="H64" t="str">
        <f t="shared" si="9"/>
        <v>Hillsong</v>
      </c>
      <c r="I64" s="9">
        <v>75</v>
      </c>
      <c r="J64" s="9" t="s">
        <v>3</v>
      </c>
      <c r="K64" s="9">
        <v>4591782</v>
      </c>
      <c r="M64" t="s">
        <v>591</v>
      </c>
      <c r="N64" t="s">
        <v>709</v>
      </c>
      <c r="O64" t="s">
        <v>608</v>
      </c>
      <c r="P64" s="2" t="s">
        <v>24</v>
      </c>
      <c r="Q64" s="2" t="s">
        <v>24</v>
      </c>
      <c r="R64" s="3">
        <v>74</v>
      </c>
      <c r="S64" s="3" t="s">
        <v>596</v>
      </c>
      <c r="T64" s="5">
        <v>4591782</v>
      </c>
      <c r="U64" s="3">
        <v>2006</v>
      </c>
      <c r="V64" s="3" t="s">
        <v>597</v>
      </c>
      <c r="W64" s="1" t="str">
        <f t="shared" si="14"/>
        <v>Yes</v>
      </c>
    </row>
    <row r="65" spans="1:23">
      <c r="A65">
        <v>7</v>
      </c>
      <c r="B65">
        <v>4</v>
      </c>
      <c r="C65" t="s">
        <v>574</v>
      </c>
      <c r="D65" t="s">
        <v>205</v>
      </c>
      <c r="E65" t="str">
        <f t="shared" si="1"/>
        <v>Glorify Thy Name</v>
      </c>
      <c r="F65" t="str">
        <f t="shared" si="2"/>
        <v>Glorify Thy Name</v>
      </c>
      <c r="G65" t="str">
        <f t="shared" si="8"/>
        <v/>
      </c>
      <c r="H65" t="str">
        <f t="shared" si="9"/>
        <v>The Maranatha! Singers</v>
      </c>
      <c r="I65" s="9">
        <v>68</v>
      </c>
      <c r="J65" s="9" t="s">
        <v>3</v>
      </c>
      <c r="K65" s="9">
        <v>1383</v>
      </c>
    </row>
    <row r="66" spans="1:23">
      <c r="A66">
        <v>7</v>
      </c>
      <c r="B66">
        <v>5</v>
      </c>
      <c r="C66" t="s">
        <v>574</v>
      </c>
      <c r="D66" t="s">
        <v>209</v>
      </c>
      <c r="E66" t="str">
        <f t="shared" si="1"/>
        <v>Desert Song</v>
      </c>
      <c r="F66" t="str">
        <f t="shared" si="2"/>
        <v>Desert Song</v>
      </c>
      <c r="G66" t="str">
        <f t="shared" si="8"/>
        <v/>
      </c>
      <c r="H66" t="str">
        <f t="shared" si="9"/>
        <v>Hillsong</v>
      </c>
      <c r="I66" s="9">
        <v>109</v>
      </c>
      <c r="J66" s="9" t="s">
        <v>0</v>
      </c>
      <c r="K66" s="9">
        <v>5060793</v>
      </c>
    </row>
    <row r="67" spans="1:23">
      <c r="A67">
        <v>7</v>
      </c>
      <c r="B67">
        <v>6</v>
      </c>
      <c r="C67" t="s">
        <v>574</v>
      </c>
      <c r="D67" t="s">
        <v>207</v>
      </c>
      <c r="E67" t="str">
        <f t="shared" ref="E67:E130" si="15">IF(ISNUMBER(SEARCH(" by", D67)), LEFT(D67, FIND(" by ",D67) - 1),D67)</f>
        <v>Holy and Anointed One</v>
      </c>
      <c r="F67" t="str">
        <f t="shared" ref="F67:F130" si="16">LEFT(E67,IF(ISNUMBER(SEARCH(" (",E67)),FIND(" (",E67)-1,LEN(E67)))</f>
        <v>Holy and Anointed One</v>
      </c>
      <c r="G67" t="str">
        <f t="shared" si="8"/>
        <v/>
      </c>
      <c r="H67" t="str">
        <f t="shared" si="9"/>
        <v>Brian Doerksen</v>
      </c>
      <c r="I67" s="9">
        <v>65</v>
      </c>
      <c r="J67" s="9" t="s">
        <v>0</v>
      </c>
      <c r="K67" s="9">
        <v>164361</v>
      </c>
    </row>
    <row r="68" spans="1:23">
      <c r="A68">
        <v>7</v>
      </c>
      <c r="B68">
        <v>7</v>
      </c>
      <c r="C68" t="s">
        <v>574</v>
      </c>
      <c r="D68" t="s">
        <v>213</v>
      </c>
      <c r="E68" t="str">
        <f t="shared" si="15"/>
        <v>Where Would I Be</v>
      </c>
      <c r="F68" t="str">
        <f t="shared" si="16"/>
        <v>Where Would I Be</v>
      </c>
      <c r="G68" t="str">
        <f t="shared" si="8"/>
        <v/>
      </c>
      <c r="H68" t="str">
        <f t="shared" si="9"/>
        <v>Patrick Ryan Clark</v>
      </c>
      <c r="I68" s="9">
        <v>65</v>
      </c>
      <c r="J68" s="9" t="s">
        <v>24</v>
      </c>
      <c r="K68" s="9">
        <v>5710744</v>
      </c>
    </row>
    <row r="69" spans="1:23">
      <c r="A69">
        <v>7</v>
      </c>
      <c r="B69">
        <v>8</v>
      </c>
      <c r="C69" t="s">
        <v>574</v>
      </c>
      <c r="D69" t="s">
        <v>210</v>
      </c>
      <c r="E69" t="str">
        <f t="shared" si="15"/>
        <v>Everything is Different</v>
      </c>
      <c r="F69" t="str">
        <f t="shared" si="16"/>
        <v>Everything is Different</v>
      </c>
      <c r="G69" t="str">
        <f t="shared" si="8"/>
        <v/>
      </c>
      <c r="H69" t="str">
        <f t="shared" si="9"/>
        <v>Shane &amp; Shane</v>
      </c>
      <c r="I69" s="9">
        <v>124</v>
      </c>
      <c r="J69" s="9" t="s">
        <v>61</v>
      </c>
      <c r="K69" s="9">
        <v>5627758</v>
      </c>
    </row>
    <row r="70" spans="1:23">
      <c r="A70">
        <v>7</v>
      </c>
      <c r="B70">
        <v>9</v>
      </c>
      <c r="C70" t="s">
        <v>574</v>
      </c>
      <c r="D70" t="s">
        <v>211</v>
      </c>
      <c r="E70" t="str">
        <f t="shared" si="15"/>
        <v>Everlasting God</v>
      </c>
      <c r="F70" t="str">
        <f t="shared" si="16"/>
        <v>Everlasting God</v>
      </c>
      <c r="G70" t="str">
        <f t="shared" si="8"/>
        <v/>
      </c>
      <c r="H70" t="str">
        <f t="shared" si="9"/>
        <v>Brenton Brown</v>
      </c>
      <c r="I70" s="9">
        <v>113</v>
      </c>
      <c r="J70" s="9" t="s">
        <v>6</v>
      </c>
      <c r="K70" s="9">
        <v>4556538</v>
      </c>
    </row>
    <row r="71" spans="1:23">
      <c r="A71">
        <v>7</v>
      </c>
      <c r="B71">
        <v>10</v>
      </c>
      <c r="C71" t="s">
        <v>574</v>
      </c>
      <c r="D71" t="s">
        <v>212</v>
      </c>
      <c r="E71" t="str">
        <f t="shared" si="15"/>
        <v>I Will Exalt You</v>
      </c>
      <c r="F71" t="str">
        <f t="shared" si="16"/>
        <v>I Will Exalt You</v>
      </c>
      <c r="G71" t="str">
        <f t="shared" si="8"/>
        <v/>
      </c>
      <c r="H71" t="str">
        <f t="shared" si="9"/>
        <v>Hillsong</v>
      </c>
      <c r="I71" s="9">
        <v>68</v>
      </c>
      <c r="J71" s="9" t="s">
        <v>6</v>
      </c>
      <c r="K71" s="9">
        <v>5409079</v>
      </c>
    </row>
    <row r="72" spans="1:23">
      <c r="A72">
        <v>8</v>
      </c>
      <c r="B72">
        <v>1</v>
      </c>
      <c r="C72" t="s">
        <v>575</v>
      </c>
      <c r="D72" t="s">
        <v>112</v>
      </c>
      <c r="E72" t="str">
        <f t="shared" si="15"/>
        <v>The Stand</v>
      </c>
      <c r="F72" t="str">
        <f t="shared" si="16"/>
        <v>The Stand</v>
      </c>
      <c r="G72" t="str">
        <f t="shared" si="8"/>
        <v/>
      </c>
      <c r="H72" t="str">
        <f t="shared" si="9"/>
        <v>Hillsong</v>
      </c>
      <c r="I72" s="9">
        <v>74</v>
      </c>
      <c r="J72" s="9" t="s">
        <v>6</v>
      </c>
      <c r="K72" s="9">
        <v>4705248</v>
      </c>
      <c r="N72" t="s">
        <v>709</v>
      </c>
      <c r="O72" t="s">
        <v>595</v>
      </c>
      <c r="P72" s="2" t="s">
        <v>24</v>
      </c>
      <c r="Q72" s="2" t="s">
        <v>24</v>
      </c>
      <c r="R72" s="3">
        <v>77</v>
      </c>
      <c r="S72" s="4" t="s">
        <v>596</v>
      </c>
      <c r="T72" s="5">
        <v>4705248</v>
      </c>
      <c r="U72" s="3">
        <v>2005</v>
      </c>
      <c r="V72" s="3" t="s">
        <v>597</v>
      </c>
      <c r="W72" s="1" t="str">
        <f>IF(K72=T72,"Yes","")</f>
        <v>Yes</v>
      </c>
    </row>
    <row r="73" spans="1:23">
      <c r="A73">
        <v>8</v>
      </c>
      <c r="B73">
        <v>2</v>
      </c>
      <c r="C73" t="s">
        <v>575</v>
      </c>
      <c r="D73" t="s">
        <v>119</v>
      </c>
      <c r="E73" t="str">
        <f t="shared" si="15"/>
        <v>Indescribable</v>
      </c>
      <c r="F73" t="str">
        <f t="shared" si="16"/>
        <v>Indescribable</v>
      </c>
      <c r="G73" t="str">
        <f t="shared" si="8"/>
        <v/>
      </c>
      <c r="H73" t="str">
        <f t="shared" si="9"/>
        <v>Chris Tomlin</v>
      </c>
      <c r="I73" s="9">
        <v>90</v>
      </c>
      <c r="J73" s="9" t="s">
        <v>6</v>
      </c>
      <c r="K73" s="9">
        <v>4403076</v>
      </c>
    </row>
    <row r="74" spans="1:23">
      <c r="A74">
        <v>8</v>
      </c>
      <c r="B74">
        <v>3</v>
      </c>
      <c r="C74" t="s">
        <v>575</v>
      </c>
      <c r="D74" t="s">
        <v>115</v>
      </c>
      <c r="E74" t="str">
        <f t="shared" si="15"/>
        <v>I Give You My Heart</v>
      </c>
      <c r="F74" t="str">
        <f t="shared" si="16"/>
        <v>I Give You My Heart</v>
      </c>
      <c r="G74" t="str">
        <f t="shared" si="8"/>
        <v/>
      </c>
      <c r="H74" t="str">
        <f t="shared" si="9"/>
        <v>Hillsong</v>
      </c>
      <c r="I74" s="9">
        <v>70</v>
      </c>
      <c r="J74" s="9" t="s">
        <v>6</v>
      </c>
      <c r="K74" s="9">
        <v>1866132</v>
      </c>
    </row>
    <row r="75" spans="1:23">
      <c r="A75">
        <v>8</v>
      </c>
      <c r="B75">
        <v>4</v>
      </c>
      <c r="C75" t="s">
        <v>575</v>
      </c>
      <c r="D75" t="s">
        <v>121</v>
      </c>
      <c r="E75" t="str">
        <f t="shared" si="15"/>
        <v>Nothing But The Blood</v>
      </c>
      <c r="F75" t="str">
        <f t="shared" si="16"/>
        <v>Nothing But The Blood</v>
      </c>
      <c r="G75" t="str">
        <f t="shared" si="8"/>
        <v/>
      </c>
      <c r="H75" t="str">
        <f t="shared" si="9"/>
        <v>Matt Redman</v>
      </c>
      <c r="I75" s="9">
        <v>77</v>
      </c>
      <c r="J75" s="9" t="s">
        <v>3</v>
      </c>
      <c r="K75" s="9">
        <v>4329411</v>
      </c>
    </row>
    <row r="76" spans="1:23">
      <c r="A76">
        <v>8</v>
      </c>
      <c r="B76">
        <v>5</v>
      </c>
      <c r="C76" t="s">
        <v>575</v>
      </c>
      <c r="D76" t="s">
        <v>114</v>
      </c>
      <c r="E76" t="str">
        <f t="shared" si="15"/>
        <v>No Sweeter Name</v>
      </c>
      <c r="F76" t="str">
        <f t="shared" si="16"/>
        <v>No Sweeter Name</v>
      </c>
      <c r="G76" t="str">
        <f t="shared" si="8"/>
        <v/>
      </c>
      <c r="H76" t="str">
        <f t="shared" si="9"/>
        <v>Kari Jobe</v>
      </c>
      <c r="I76" s="9">
        <v>81</v>
      </c>
      <c r="J76" s="9" t="s">
        <v>3</v>
      </c>
      <c r="K76" s="9">
        <v>4447984</v>
      </c>
    </row>
    <row r="77" spans="1:23">
      <c r="A77">
        <v>8</v>
      </c>
      <c r="B77">
        <v>6</v>
      </c>
      <c r="C77" t="s">
        <v>575</v>
      </c>
      <c r="D77" t="s">
        <v>120</v>
      </c>
      <c r="E77" t="str">
        <f t="shared" si="15"/>
        <v>You Never Let Go</v>
      </c>
      <c r="F77" t="str">
        <f t="shared" si="16"/>
        <v>You Never Let Go</v>
      </c>
      <c r="G77" t="str">
        <f t="shared" si="8"/>
        <v/>
      </c>
      <c r="H77" t="str">
        <f t="shared" si="9"/>
        <v>Matt Redman</v>
      </c>
      <c r="I77" s="9">
        <v>80</v>
      </c>
      <c r="J77" s="9" t="s">
        <v>3</v>
      </c>
      <c r="K77" s="9">
        <v>4674166</v>
      </c>
    </row>
    <row r="78" spans="1:23">
      <c r="A78">
        <v>8</v>
      </c>
      <c r="B78">
        <v>7</v>
      </c>
      <c r="C78" t="s">
        <v>575</v>
      </c>
      <c r="D78" t="s">
        <v>116</v>
      </c>
      <c r="E78" t="str">
        <f t="shared" si="15"/>
        <v>Enough</v>
      </c>
      <c r="F78" t="str">
        <f t="shared" si="16"/>
        <v>Enough</v>
      </c>
      <c r="G78" t="str">
        <f t="shared" si="8"/>
        <v/>
      </c>
      <c r="H78" t="str">
        <f t="shared" si="9"/>
        <v>Chris Tomlin</v>
      </c>
      <c r="I78" s="9">
        <v>75</v>
      </c>
      <c r="J78" s="9" t="s">
        <v>0</v>
      </c>
      <c r="K78" s="9">
        <v>3599479</v>
      </c>
    </row>
    <row r="79" spans="1:23">
      <c r="A79">
        <v>8</v>
      </c>
      <c r="B79">
        <v>8</v>
      </c>
      <c r="C79" t="s">
        <v>575</v>
      </c>
      <c r="D79" t="s">
        <v>113</v>
      </c>
      <c r="E79" t="str">
        <f t="shared" si="15"/>
        <v>Amazing Grace (My Chains Are Gone)</v>
      </c>
      <c r="F79" t="str">
        <f t="shared" si="16"/>
        <v>Amazing Grace</v>
      </c>
      <c r="G79" t="str">
        <f t="shared" si="8"/>
        <v>My Chains Are Gone</v>
      </c>
      <c r="H79" t="str">
        <f t="shared" si="9"/>
        <v>Chris Tomlin</v>
      </c>
      <c r="I79" s="9">
        <v>63</v>
      </c>
      <c r="J79" s="9" t="s">
        <v>0</v>
      </c>
      <c r="K79" s="9">
        <v>4768151</v>
      </c>
      <c r="N79" t="s">
        <v>709</v>
      </c>
      <c r="O79" t="s">
        <v>604</v>
      </c>
      <c r="P79" s="2" t="s">
        <v>20</v>
      </c>
      <c r="Q79" s="2" t="s">
        <v>20</v>
      </c>
      <c r="R79" s="3">
        <v>60</v>
      </c>
      <c r="S79" s="3" t="s">
        <v>596</v>
      </c>
      <c r="T79" s="5">
        <v>4768151</v>
      </c>
      <c r="U79" s="3">
        <v>2006</v>
      </c>
      <c r="V79" s="7" t="s">
        <v>605</v>
      </c>
      <c r="W79" s="1" t="str">
        <f>IF(K79=T79,"Yes","")</f>
        <v>Yes</v>
      </c>
    </row>
    <row r="80" spans="1:23">
      <c r="A80">
        <v>8</v>
      </c>
      <c r="B80">
        <v>9</v>
      </c>
      <c r="C80" t="s">
        <v>575</v>
      </c>
      <c r="D80" t="s">
        <v>117</v>
      </c>
      <c r="E80" t="str">
        <f t="shared" si="15"/>
        <v>Alive Again</v>
      </c>
      <c r="F80" t="str">
        <f t="shared" si="16"/>
        <v>Alive Again</v>
      </c>
      <c r="G80" t="str">
        <f t="shared" si="8"/>
        <v/>
      </c>
      <c r="H80" t="str">
        <f t="shared" si="9"/>
        <v>Matt Maher</v>
      </c>
      <c r="I80" s="9">
        <v>120</v>
      </c>
      <c r="J80" s="9" t="s">
        <v>24</v>
      </c>
      <c r="K80" s="9">
        <v>5553530</v>
      </c>
    </row>
    <row r="81" spans="1:23">
      <c r="A81">
        <v>8</v>
      </c>
      <c r="B81">
        <v>10</v>
      </c>
      <c r="C81" t="s">
        <v>575</v>
      </c>
      <c r="D81" t="s">
        <v>118</v>
      </c>
      <c r="E81" t="str">
        <f t="shared" si="15"/>
        <v>Yearn</v>
      </c>
      <c r="F81" t="str">
        <f t="shared" si="16"/>
        <v>Yearn</v>
      </c>
      <c r="G81" t="str">
        <f t="shared" si="8"/>
        <v/>
      </c>
      <c r="H81" t="str">
        <f t="shared" si="9"/>
        <v>Shane &amp; Shane</v>
      </c>
      <c r="I81" s="9">
        <v>58</v>
      </c>
      <c r="J81" s="9" t="s">
        <v>17</v>
      </c>
      <c r="K81" s="9">
        <v>4325556</v>
      </c>
    </row>
    <row r="82" spans="1:23">
      <c r="A82">
        <v>9</v>
      </c>
      <c r="B82">
        <v>1</v>
      </c>
      <c r="C82" t="s">
        <v>576</v>
      </c>
      <c r="D82" t="s">
        <v>181</v>
      </c>
      <c r="E82" t="str">
        <f t="shared" si="15"/>
        <v>Your Love Is Strong</v>
      </c>
      <c r="F82" t="str">
        <f t="shared" si="16"/>
        <v>Your Love Is Strong</v>
      </c>
      <c r="G82" t="str">
        <f t="shared" si="8"/>
        <v/>
      </c>
      <c r="H82" t="str">
        <f t="shared" si="9"/>
        <v>Jon Foreman</v>
      </c>
      <c r="I82" s="9">
        <v>110</v>
      </c>
      <c r="J82" s="9" t="s">
        <v>6</v>
      </c>
      <c r="K82" s="9">
        <v>5295221</v>
      </c>
    </row>
    <row r="83" spans="1:23">
      <c r="A83">
        <v>9</v>
      </c>
      <c r="B83">
        <v>2</v>
      </c>
      <c r="C83" t="s">
        <v>576</v>
      </c>
      <c r="D83" t="s">
        <v>182</v>
      </c>
      <c r="E83" t="str">
        <f t="shared" si="15"/>
        <v>I'm Yours (Nothing But The Blood)</v>
      </c>
      <c r="F83" t="str">
        <f t="shared" si="16"/>
        <v>I'm Yours</v>
      </c>
      <c r="G83" t="str">
        <f t="shared" si="8"/>
        <v>Nothing But The Blood</v>
      </c>
      <c r="H83" t="str">
        <f t="shared" si="9"/>
        <v>Shane &amp; Shane</v>
      </c>
      <c r="I83" s="9">
        <v>58</v>
      </c>
      <c r="J83" s="9" t="s">
        <v>6</v>
      </c>
      <c r="K83" s="9">
        <v>7029516</v>
      </c>
    </row>
    <row r="84" spans="1:23">
      <c r="A84">
        <v>9</v>
      </c>
      <c r="B84">
        <v>3</v>
      </c>
      <c r="C84" t="s">
        <v>576</v>
      </c>
      <c r="D84" t="s">
        <v>175</v>
      </c>
      <c r="E84" t="str">
        <f t="shared" si="15"/>
        <v>Heart of Worship</v>
      </c>
      <c r="F84" t="str">
        <f t="shared" si="16"/>
        <v>Heart of Worship</v>
      </c>
      <c r="G84" t="str">
        <f t="shared" si="8"/>
        <v/>
      </c>
      <c r="H84" t="str">
        <f t="shared" si="9"/>
        <v>Matt Redman</v>
      </c>
      <c r="I84" s="9">
        <v>67</v>
      </c>
      <c r="J84" s="9" t="s">
        <v>0</v>
      </c>
      <c r="K84" s="9">
        <v>2296522</v>
      </c>
      <c r="N84" t="s">
        <v>709</v>
      </c>
      <c r="O84" t="s">
        <v>606</v>
      </c>
      <c r="P84" s="2" t="s">
        <v>29</v>
      </c>
      <c r="Q84" s="2" t="s">
        <v>29</v>
      </c>
      <c r="R84" s="3">
        <v>70</v>
      </c>
      <c r="S84" s="3" t="s">
        <v>596</v>
      </c>
      <c r="T84" s="5">
        <v>2296522</v>
      </c>
      <c r="U84" s="3">
        <v>1999</v>
      </c>
      <c r="V84" s="7" t="s">
        <v>607</v>
      </c>
      <c r="W84" s="1" t="str">
        <f t="shared" ref="W84:W86" si="17">IF(K84=T84,"Yes","")</f>
        <v>Yes</v>
      </c>
    </row>
    <row r="85" spans="1:23">
      <c r="A85">
        <v>9</v>
      </c>
      <c r="B85">
        <v>4</v>
      </c>
      <c r="C85" t="s">
        <v>576</v>
      </c>
      <c r="D85" t="s">
        <v>177</v>
      </c>
      <c r="E85" t="str">
        <f t="shared" si="15"/>
        <v>From The Inside Out</v>
      </c>
      <c r="F85" t="str">
        <f t="shared" si="16"/>
        <v>From The Inside Out</v>
      </c>
      <c r="G85" t="str">
        <f t="shared" si="8"/>
        <v/>
      </c>
      <c r="H85" t="str">
        <f t="shared" si="9"/>
        <v>Hillsong</v>
      </c>
      <c r="I85" s="9">
        <v>71</v>
      </c>
      <c r="J85" s="9" t="s">
        <v>3</v>
      </c>
      <c r="K85" s="9">
        <v>4705176</v>
      </c>
      <c r="N85" t="s">
        <v>709</v>
      </c>
      <c r="O85" t="s">
        <v>595</v>
      </c>
      <c r="P85" s="2" t="s">
        <v>3</v>
      </c>
      <c r="Q85" s="2" t="s">
        <v>3</v>
      </c>
      <c r="R85" s="3">
        <v>76</v>
      </c>
      <c r="S85" s="4" t="s">
        <v>596</v>
      </c>
      <c r="T85" s="5">
        <v>4705176</v>
      </c>
      <c r="U85" s="3">
        <v>2005</v>
      </c>
      <c r="V85" s="3" t="s">
        <v>597</v>
      </c>
      <c r="W85" s="1" t="str">
        <f t="shared" si="17"/>
        <v>Yes</v>
      </c>
    </row>
    <row r="86" spans="1:23">
      <c r="A86">
        <v>9</v>
      </c>
      <c r="B86">
        <v>5</v>
      </c>
      <c r="C86" t="s">
        <v>576</v>
      </c>
      <c r="D86" t="s">
        <v>178</v>
      </c>
      <c r="E86" t="str">
        <f t="shared" si="15"/>
        <v>Stronger</v>
      </c>
      <c r="F86" t="str">
        <f t="shared" si="16"/>
        <v>Stronger</v>
      </c>
      <c r="G86" t="str">
        <f t="shared" si="8"/>
        <v/>
      </c>
      <c r="H86" t="str">
        <f t="shared" si="9"/>
        <v>Hillsong</v>
      </c>
      <c r="I86" s="9">
        <v>68</v>
      </c>
      <c r="J86" s="9" t="s">
        <v>3</v>
      </c>
      <c r="K86" s="9">
        <v>5060810</v>
      </c>
      <c r="N86" t="s">
        <v>709</v>
      </c>
      <c r="O86" t="s">
        <v>608</v>
      </c>
      <c r="P86" s="2" t="s">
        <v>3</v>
      </c>
      <c r="Q86" s="2" t="s">
        <v>3</v>
      </c>
      <c r="R86" s="3">
        <v>75</v>
      </c>
      <c r="S86" s="4" t="s">
        <v>609</v>
      </c>
      <c r="T86" s="5">
        <v>5060810</v>
      </c>
      <c r="U86" s="3">
        <v>2007</v>
      </c>
      <c r="V86" s="3" t="s">
        <v>597</v>
      </c>
      <c r="W86" s="1" t="str">
        <f t="shared" si="17"/>
        <v>Yes</v>
      </c>
    </row>
    <row r="87" spans="1:23">
      <c r="A87">
        <v>9</v>
      </c>
      <c r="B87">
        <v>6</v>
      </c>
      <c r="C87" t="s">
        <v>576</v>
      </c>
      <c r="D87" t="s">
        <v>183</v>
      </c>
      <c r="E87" t="str">
        <f t="shared" si="15"/>
        <v>That's How You Forgive</v>
      </c>
      <c r="F87" t="str">
        <f t="shared" si="16"/>
        <v>That's How You Forgive</v>
      </c>
      <c r="G87" t="str">
        <f t="shared" ref="G87:G150" si="18">IF(ISNUMBER(SEARCH("(",E87)), LEFT(RIGHT(E87, LEN(E87) - FIND("(",E87)), LEN(RIGHT(E87, LEN(E87) - FIND("(",E87))) - 1), "")</f>
        <v/>
      </c>
      <c r="H87" t="str">
        <f t="shared" ref="H87:H150" si="19">IF(ISNUMBER(SEARCH(" by",D87)),RIGHT(D87, LEN(D87) - FIND(" by ",D87) - 3),"")</f>
        <v>Shane &amp; Shane</v>
      </c>
      <c r="I87" s="9">
        <v>78</v>
      </c>
      <c r="J87" s="9" t="s">
        <v>3</v>
      </c>
      <c r="K87" s="9">
        <v>6590839</v>
      </c>
    </row>
    <row r="88" spans="1:23">
      <c r="A88">
        <v>9</v>
      </c>
      <c r="B88">
        <v>7</v>
      </c>
      <c r="C88" t="s">
        <v>576</v>
      </c>
      <c r="D88" t="s">
        <v>174</v>
      </c>
      <c r="E88" t="str">
        <f t="shared" si="15"/>
        <v>Christ Is Risen</v>
      </c>
      <c r="F88" t="str">
        <f t="shared" si="16"/>
        <v>Christ Is Risen</v>
      </c>
      <c r="G88" t="str">
        <f t="shared" si="18"/>
        <v/>
      </c>
      <c r="H88" t="str">
        <f t="shared" si="19"/>
        <v>Matt Maher</v>
      </c>
      <c r="I88" s="9">
        <v>83</v>
      </c>
      <c r="J88" s="9" t="s">
        <v>11</v>
      </c>
      <c r="K88" s="9">
        <v>5242683</v>
      </c>
    </row>
    <row r="89" spans="1:23">
      <c r="A89">
        <v>9</v>
      </c>
      <c r="B89">
        <v>8</v>
      </c>
      <c r="C89" t="s">
        <v>576</v>
      </c>
      <c r="D89" t="s">
        <v>180</v>
      </c>
      <c r="E89" t="str">
        <f t="shared" si="15"/>
        <v>He is Exalted</v>
      </c>
      <c r="F89" t="str">
        <f t="shared" si="16"/>
        <v>He is Exalted</v>
      </c>
      <c r="G89" t="str">
        <f t="shared" si="18"/>
        <v/>
      </c>
      <c r="H89" t="str">
        <f t="shared" si="19"/>
        <v>Twila Paris</v>
      </c>
      <c r="I89" s="9">
        <v>71</v>
      </c>
      <c r="J89" s="9" t="s">
        <v>0</v>
      </c>
      <c r="K89" s="9">
        <v>17827</v>
      </c>
    </row>
    <row r="90" spans="1:23">
      <c r="A90">
        <v>9</v>
      </c>
      <c r="B90">
        <v>9</v>
      </c>
      <c r="C90" t="s">
        <v>576</v>
      </c>
      <c r="D90" t="s">
        <v>179</v>
      </c>
      <c r="E90" t="str">
        <f t="shared" si="15"/>
        <v>When the Stars Burn Down</v>
      </c>
      <c r="F90" t="str">
        <f t="shared" si="16"/>
        <v>When the Stars Burn Down</v>
      </c>
      <c r="G90" t="str">
        <f t="shared" si="18"/>
        <v/>
      </c>
      <c r="H90" t="str">
        <f t="shared" si="19"/>
        <v>Phillips Craig &amp; Dean</v>
      </c>
      <c r="I90" s="9">
        <v>73</v>
      </c>
      <c r="J90" s="9" t="s">
        <v>24</v>
      </c>
      <c r="K90" s="9">
        <v>5720105</v>
      </c>
    </row>
    <row r="91" spans="1:23">
      <c r="A91">
        <v>9</v>
      </c>
      <c r="B91">
        <v>10</v>
      </c>
      <c r="C91" t="s">
        <v>576</v>
      </c>
      <c r="D91" t="s">
        <v>176</v>
      </c>
      <c r="E91" t="str">
        <f t="shared" si="15"/>
        <v>Your Name</v>
      </c>
      <c r="F91" t="str">
        <f t="shared" si="16"/>
        <v>Your Name</v>
      </c>
      <c r="G91" t="str">
        <f t="shared" si="18"/>
        <v/>
      </c>
      <c r="H91" t="str">
        <f t="shared" si="19"/>
        <v>Paul Baloche</v>
      </c>
      <c r="I91" s="9">
        <v>74</v>
      </c>
      <c r="J91" s="9" t="s">
        <v>27</v>
      </c>
      <c r="K91" s="9">
        <v>4611679</v>
      </c>
    </row>
    <row r="92" spans="1:23">
      <c r="A92">
        <v>10</v>
      </c>
      <c r="B92">
        <v>1</v>
      </c>
      <c r="C92" t="s">
        <v>577</v>
      </c>
      <c r="D92" t="s">
        <v>252</v>
      </c>
      <c r="E92" t="str">
        <f t="shared" si="15"/>
        <v>God is Able</v>
      </c>
      <c r="F92" t="str">
        <f t="shared" si="16"/>
        <v>God is Able</v>
      </c>
      <c r="G92" t="str">
        <f t="shared" si="18"/>
        <v/>
      </c>
      <c r="H92" t="str">
        <f t="shared" si="19"/>
        <v>Hillsong</v>
      </c>
      <c r="I92" s="9">
        <v>77</v>
      </c>
      <c r="J92" s="9" t="s">
        <v>24</v>
      </c>
      <c r="K92" s="9">
        <v>5894275</v>
      </c>
    </row>
    <row r="93" spans="1:23">
      <c r="A93">
        <v>10</v>
      </c>
      <c r="B93">
        <v>2</v>
      </c>
      <c r="C93" t="s">
        <v>577</v>
      </c>
      <c r="D93" t="s">
        <v>253</v>
      </c>
      <c r="E93" t="str">
        <f t="shared" si="15"/>
        <v>Your Love Never Fails</v>
      </c>
      <c r="F93" t="str">
        <f t="shared" si="16"/>
        <v>Your Love Never Fails</v>
      </c>
      <c r="G93" t="str">
        <f t="shared" si="18"/>
        <v/>
      </c>
      <c r="H93" t="str">
        <f t="shared" si="19"/>
        <v>Chris McClarney</v>
      </c>
      <c r="I93" s="9">
        <v>118</v>
      </c>
      <c r="J93" s="9" t="s">
        <v>27</v>
      </c>
      <c r="K93" s="9">
        <v>5337172</v>
      </c>
      <c r="N93" t="s">
        <v>709</v>
      </c>
      <c r="O93" t="s">
        <v>610</v>
      </c>
      <c r="P93" s="2" t="s">
        <v>24</v>
      </c>
      <c r="Q93" s="2" t="s">
        <v>27</v>
      </c>
      <c r="R93" s="3">
        <v>116</v>
      </c>
      <c r="S93" s="4" t="s">
        <v>596</v>
      </c>
      <c r="T93" s="5">
        <v>5337172</v>
      </c>
      <c r="U93" s="3">
        <v>2008</v>
      </c>
      <c r="V93" s="7" t="s">
        <v>607</v>
      </c>
      <c r="W93" s="1" t="str">
        <f>IF(K93=T93,"Yes","")</f>
        <v>Yes</v>
      </c>
    </row>
    <row r="94" spans="1:23">
      <c r="A94">
        <v>10</v>
      </c>
      <c r="B94">
        <v>3</v>
      </c>
      <c r="C94" t="s">
        <v>577</v>
      </c>
      <c r="D94" t="s">
        <v>249</v>
      </c>
      <c r="E94" t="str">
        <f t="shared" si="15"/>
        <v>Your Grace Finds Me</v>
      </c>
      <c r="F94" t="str">
        <f t="shared" si="16"/>
        <v>Your Grace Finds Me</v>
      </c>
      <c r="G94" t="str">
        <f t="shared" si="18"/>
        <v/>
      </c>
      <c r="H94" t="str">
        <f t="shared" si="19"/>
        <v>Matt Redman</v>
      </c>
      <c r="I94" s="9">
        <v>78</v>
      </c>
      <c r="J94" s="9" t="s">
        <v>27</v>
      </c>
      <c r="K94" s="9">
        <v>7000686</v>
      </c>
    </row>
    <row r="95" spans="1:23">
      <c r="A95">
        <v>10</v>
      </c>
      <c r="B95">
        <v>4</v>
      </c>
      <c r="C95" t="s">
        <v>577</v>
      </c>
      <c r="D95" t="s">
        <v>254</v>
      </c>
      <c r="E95" t="str">
        <f t="shared" si="15"/>
        <v>I Found It All</v>
      </c>
      <c r="F95" t="str">
        <f t="shared" si="16"/>
        <v>I Found It All</v>
      </c>
      <c r="G95" t="str">
        <f t="shared" si="18"/>
        <v/>
      </c>
      <c r="H95" t="str">
        <f t="shared" si="19"/>
        <v>Shane &amp; Shane</v>
      </c>
      <c r="I95" s="9">
        <v>66</v>
      </c>
      <c r="J95" s="9" t="s">
        <v>27</v>
      </c>
      <c r="K95" s="9">
        <v>7029242</v>
      </c>
    </row>
    <row r="96" spans="1:23">
      <c r="A96">
        <v>10</v>
      </c>
      <c r="B96">
        <v>5</v>
      </c>
      <c r="C96" t="s">
        <v>577</v>
      </c>
      <c r="D96" t="s">
        <v>248</v>
      </c>
      <c r="E96" t="str">
        <f t="shared" si="15"/>
        <v>Majesty</v>
      </c>
      <c r="F96" t="str">
        <f t="shared" si="16"/>
        <v>Majesty</v>
      </c>
      <c r="G96" t="str">
        <f t="shared" si="18"/>
        <v/>
      </c>
      <c r="H96" t="str">
        <f t="shared" si="19"/>
        <v>Delirious</v>
      </c>
      <c r="I96" s="9">
        <v>70</v>
      </c>
      <c r="J96" s="9" t="s">
        <v>3</v>
      </c>
      <c r="K96" s="9">
        <v>4219071</v>
      </c>
      <c r="N96" t="s">
        <v>709</v>
      </c>
      <c r="O96" t="s">
        <v>611</v>
      </c>
      <c r="P96" s="2" t="s">
        <v>24</v>
      </c>
      <c r="Q96" s="2" t="s">
        <v>27</v>
      </c>
      <c r="R96" s="3">
        <v>68</v>
      </c>
      <c r="S96" s="4" t="s">
        <v>596</v>
      </c>
      <c r="T96" s="5">
        <v>4219071</v>
      </c>
      <c r="U96" s="3">
        <v>2004</v>
      </c>
      <c r="V96" s="7" t="s">
        <v>612</v>
      </c>
      <c r="W96" s="1" t="str">
        <f t="shared" ref="W96:W112" si="20">IF(K96=T96,"Yes","")</f>
        <v>Yes</v>
      </c>
    </row>
    <row r="97" spans="1:23">
      <c r="A97">
        <v>10</v>
      </c>
      <c r="B97">
        <v>6</v>
      </c>
      <c r="C97" t="s">
        <v>577</v>
      </c>
      <c r="D97" t="s">
        <v>246</v>
      </c>
      <c r="E97" t="str">
        <f t="shared" si="15"/>
        <v>Jesus Messiah</v>
      </c>
      <c r="F97" t="str">
        <f t="shared" si="16"/>
        <v>Jesus Messiah</v>
      </c>
      <c r="G97" t="str">
        <f t="shared" si="18"/>
        <v/>
      </c>
      <c r="H97" t="str">
        <f t="shared" si="19"/>
        <v>Chris Tomlin</v>
      </c>
      <c r="I97" s="9">
        <v>86</v>
      </c>
      <c r="J97" s="9" t="s">
        <v>6</v>
      </c>
      <c r="K97" s="9">
        <v>5183443</v>
      </c>
      <c r="N97" t="s">
        <v>709</v>
      </c>
      <c r="O97" t="s">
        <v>613</v>
      </c>
      <c r="P97" s="2" t="s">
        <v>6</v>
      </c>
      <c r="Q97" s="2" t="s">
        <v>6</v>
      </c>
      <c r="R97" s="3">
        <v>86</v>
      </c>
      <c r="S97" s="4" t="s">
        <v>596</v>
      </c>
      <c r="T97" s="5">
        <v>5183443</v>
      </c>
      <c r="U97" s="3">
        <v>2008</v>
      </c>
      <c r="V97" s="7" t="s">
        <v>605</v>
      </c>
      <c r="W97" s="1" t="str">
        <f t="shared" si="20"/>
        <v>Yes</v>
      </c>
    </row>
    <row r="98" spans="1:23">
      <c r="A98">
        <v>10</v>
      </c>
      <c r="B98">
        <v>7</v>
      </c>
      <c r="C98" t="s">
        <v>577</v>
      </c>
      <c r="D98" t="s">
        <v>251</v>
      </c>
      <c r="E98" t="str">
        <f t="shared" si="15"/>
        <v>I Will Rise</v>
      </c>
      <c r="F98" t="str">
        <f t="shared" si="16"/>
        <v>I Will Rise</v>
      </c>
      <c r="G98" t="str">
        <f t="shared" si="18"/>
        <v/>
      </c>
      <c r="H98" t="str">
        <f t="shared" si="19"/>
        <v>Chris Tomlin</v>
      </c>
      <c r="I98" s="9">
        <v>77</v>
      </c>
      <c r="J98" s="9" t="s">
        <v>6</v>
      </c>
      <c r="K98" s="9">
        <v>5183450</v>
      </c>
      <c r="N98" t="s">
        <v>709</v>
      </c>
      <c r="O98" t="s">
        <v>614</v>
      </c>
      <c r="P98" s="2" t="s">
        <v>6</v>
      </c>
      <c r="Q98" s="2" t="s">
        <v>6</v>
      </c>
      <c r="R98" s="3">
        <v>82</v>
      </c>
      <c r="S98" s="3" t="s">
        <v>596</v>
      </c>
      <c r="T98" s="5">
        <v>5183450</v>
      </c>
      <c r="U98" s="3">
        <v>2008</v>
      </c>
      <c r="V98" s="3" t="s">
        <v>605</v>
      </c>
      <c r="W98" s="1" t="str">
        <f t="shared" si="20"/>
        <v>Yes</v>
      </c>
    </row>
    <row r="99" spans="1:23">
      <c r="A99">
        <v>10</v>
      </c>
      <c r="B99">
        <v>8</v>
      </c>
      <c r="C99" t="s">
        <v>577</v>
      </c>
      <c r="D99" t="s">
        <v>255</v>
      </c>
      <c r="E99" t="str">
        <f t="shared" si="15"/>
        <v>God of Wonders</v>
      </c>
      <c r="F99" t="str">
        <f t="shared" si="16"/>
        <v>God of Wonders</v>
      </c>
      <c r="G99" t="str">
        <f t="shared" si="18"/>
        <v/>
      </c>
      <c r="H99" t="str">
        <f t="shared" si="19"/>
        <v>Third Day</v>
      </c>
      <c r="I99" s="9">
        <v>84</v>
      </c>
      <c r="J99" s="9" t="s">
        <v>0</v>
      </c>
      <c r="K99" s="9">
        <v>3118757</v>
      </c>
      <c r="N99" t="s">
        <v>709</v>
      </c>
      <c r="O99" t="s">
        <v>615</v>
      </c>
      <c r="P99" s="2" t="s">
        <v>0</v>
      </c>
      <c r="Q99" s="2" t="s">
        <v>616</v>
      </c>
      <c r="R99" s="3">
        <v>82</v>
      </c>
      <c r="S99" s="4" t="s">
        <v>596</v>
      </c>
      <c r="T99" s="5">
        <v>3118757</v>
      </c>
      <c r="U99" s="3">
        <v>2000</v>
      </c>
      <c r="V99" s="7" t="s">
        <v>617</v>
      </c>
      <c r="W99" s="1" t="str">
        <f t="shared" si="20"/>
        <v>Yes</v>
      </c>
    </row>
    <row r="100" spans="1:23">
      <c r="A100">
        <v>10</v>
      </c>
      <c r="B100">
        <v>9</v>
      </c>
      <c r="C100" t="s">
        <v>577</v>
      </c>
      <c r="D100" t="s">
        <v>250</v>
      </c>
      <c r="E100" t="str">
        <f t="shared" si="15"/>
        <v>You Are My King (Amazing Love)</v>
      </c>
      <c r="F100" t="str">
        <f t="shared" si="16"/>
        <v>You Are My King</v>
      </c>
      <c r="G100" t="str">
        <f t="shared" si="18"/>
        <v>Amazing Love</v>
      </c>
      <c r="H100" t="str">
        <f t="shared" si="19"/>
        <v>Hillsong</v>
      </c>
      <c r="I100" s="9">
        <v>70</v>
      </c>
      <c r="J100" s="9" t="s">
        <v>29</v>
      </c>
      <c r="K100" s="9">
        <v>2456623</v>
      </c>
      <c r="N100" t="s">
        <v>709</v>
      </c>
      <c r="O100" t="s">
        <v>618</v>
      </c>
      <c r="P100" s="2" t="s">
        <v>11</v>
      </c>
      <c r="Q100" s="2" t="s">
        <v>11</v>
      </c>
      <c r="R100" s="3">
        <v>70</v>
      </c>
      <c r="S100" s="4" t="s">
        <v>596</v>
      </c>
      <c r="T100" s="5">
        <v>2456623</v>
      </c>
      <c r="U100" s="3">
        <v>1996</v>
      </c>
      <c r="V100" s="7" t="s">
        <v>619</v>
      </c>
      <c r="W100" s="1" t="str">
        <f t="shared" si="20"/>
        <v>Yes</v>
      </c>
    </row>
    <row r="101" spans="1:23">
      <c r="A101">
        <v>10</v>
      </c>
      <c r="B101">
        <v>10</v>
      </c>
      <c r="C101" t="s">
        <v>577</v>
      </c>
      <c r="D101" t="s">
        <v>247</v>
      </c>
      <c r="E101" t="str">
        <f t="shared" si="15"/>
        <v>How Deep the Father's Love for Us</v>
      </c>
      <c r="F101" t="str">
        <f t="shared" si="16"/>
        <v>How Deep the Father's Love for Us</v>
      </c>
      <c r="G101" t="str">
        <f t="shared" si="18"/>
        <v/>
      </c>
      <c r="H101" t="str">
        <f t="shared" si="19"/>
        <v>Stuart Townend</v>
      </c>
      <c r="I101" s="9">
        <v>65</v>
      </c>
      <c r="J101" s="9" t="s">
        <v>20</v>
      </c>
      <c r="K101" s="9">
        <v>1558110</v>
      </c>
      <c r="N101" t="s">
        <v>709</v>
      </c>
      <c r="O101" t="s">
        <v>620</v>
      </c>
      <c r="P101" s="2" t="s">
        <v>29</v>
      </c>
      <c r="Q101" s="2" t="s">
        <v>29</v>
      </c>
      <c r="R101" s="3">
        <v>54</v>
      </c>
      <c r="S101" s="3" t="s">
        <v>596</v>
      </c>
      <c r="T101" s="5">
        <v>1558110</v>
      </c>
      <c r="U101" s="3">
        <v>1995</v>
      </c>
      <c r="V101" s="7" t="s">
        <v>607</v>
      </c>
      <c r="W101" s="1" t="str">
        <f t="shared" si="20"/>
        <v>Yes</v>
      </c>
    </row>
    <row r="102" spans="1:23" s="1" customFormat="1">
      <c r="A102" s="9">
        <v>0</v>
      </c>
      <c r="B102" s="9">
        <v>1</v>
      </c>
      <c r="C102" s="9" t="s">
        <v>345</v>
      </c>
      <c r="D102" s="9" t="s">
        <v>91</v>
      </c>
      <c r="E102" t="str">
        <f t="shared" si="15"/>
        <v>God of Ages Past</v>
      </c>
      <c r="F102" t="str">
        <f t="shared" si="16"/>
        <v>God of Ages Past</v>
      </c>
      <c r="G102" t="str">
        <f t="shared" si="18"/>
        <v/>
      </c>
      <c r="H102" t="str">
        <f t="shared" si="19"/>
        <v>Shane &amp; Shane</v>
      </c>
      <c r="I102" s="9">
        <v>61</v>
      </c>
      <c r="J102" s="9" t="s">
        <v>29</v>
      </c>
      <c r="K102" s="9">
        <v>7041770</v>
      </c>
      <c r="L102" s="9"/>
      <c r="Q102" s="6"/>
      <c r="R102" s="6"/>
      <c r="S102" s="6"/>
      <c r="T102" s="6"/>
      <c r="U102" s="6"/>
      <c r="V102" s="6"/>
    </row>
    <row r="103" spans="1:23" s="1" customFormat="1">
      <c r="A103" s="9">
        <v>0</v>
      </c>
      <c r="B103" s="9">
        <v>2</v>
      </c>
      <c r="C103" s="9" t="s">
        <v>345</v>
      </c>
      <c r="D103" s="9" t="s">
        <v>94</v>
      </c>
      <c r="E103" t="str">
        <f t="shared" si="15"/>
        <v>Seas of Crimson</v>
      </c>
      <c r="F103" t="str">
        <f t="shared" si="16"/>
        <v>Seas of Crimson</v>
      </c>
      <c r="G103" t="str">
        <f t="shared" si="18"/>
        <v/>
      </c>
      <c r="H103" t="str">
        <f t="shared" si="19"/>
        <v>Brian Johnson</v>
      </c>
      <c r="I103" s="9">
        <v>63</v>
      </c>
      <c r="J103" s="9" t="s">
        <v>29</v>
      </c>
      <c r="K103" s="9">
        <v>7030072</v>
      </c>
      <c r="L103" s="9"/>
      <c r="Q103" s="6"/>
      <c r="R103" s="6"/>
      <c r="S103" s="6"/>
      <c r="T103" s="6"/>
      <c r="U103" s="6"/>
      <c r="V103" s="6"/>
    </row>
    <row r="104" spans="1:23" s="1" customFormat="1">
      <c r="A104" s="9">
        <v>0</v>
      </c>
      <c r="B104" s="9">
        <v>3</v>
      </c>
      <c r="C104" s="9" t="s">
        <v>345</v>
      </c>
      <c r="D104" s="9" t="s">
        <v>87</v>
      </c>
      <c r="E104" t="str">
        <f t="shared" si="15"/>
        <v>This I Believe</v>
      </c>
      <c r="F104" t="str">
        <f t="shared" si="16"/>
        <v>This I Believe</v>
      </c>
      <c r="G104" t="str">
        <f t="shared" si="18"/>
        <v/>
      </c>
      <c r="H104" t="str">
        <f t="shared" si="19"/>
        <v>Hillsong</v>
      </c>
      <c r="I104" s="9">
        <v>72</v>
      </c>
      <c r="J104" s="9" t="s">
        <v>3</v>
      </c>
      <c r="K104" s="9">
        <v>7018338</v>
      </c>
      <c r="L104" s="9"/>
      <c r="Q104" s="6"/>
      <c r="R104" s="6"/>
      <c r="S104" s="6"/>
      <c r="T104" s="6"/>
      <c r="U104" s="6"/>
      <c r="V104" s="6"/>
    </row>
    <row r="105" spans="1:23" s="1" customFormat="1">
      <c r="A105" s="9">
        <v>0</v>
      </c>
      <c r="B105" s="9">
        <v>4</v>
      </c>
      <c r="C105" s="9" t="s">
        <v>345</v>
      </c>
      <c r="D105" s="9" t="s">
        <v>88</v>
      </c>
      <c r="E105" t="str">
        <f t="shared" si="15"/>
        <v>Scandal of Grace</v>
      </c>
      <c r="F105" t="str">
        <f t="shared" si="16"/>
        <v>Scandal of Grace</v>
      </c>
      <c r="G105" t="str">
        <f t="shared" si="18"/>
        <v/>
      </c>
      <c r="H105" t="str">
        <f t="shared" si="19"/>
        <v>Hillsong United</v>
      </c>
      <c r="I105" s="9">
        <v>127</v>
      </c>
      <c r="J105" s="9" t="s">
        <v>3</v>
      </c>
      <c r="K105" s="9">
        <v>6428750</v>
      </c>
      <c r="L105" s="9"/>
      <c r="N105" t="s">
        <v>709</v>
      </c>
      <c r="O105" t="s">
        <v>668</v>
      </c>
      <c r="P105" s="2" t="s">
        <v>3</v>
      </c>
      <c r="Q105" s="2" t="s">
        <v>3</v>
      </c>
      <c r="R105" s="3">
        <v>42</v>
      </c>
      <c r="S105" s="4" t="s">
        <v>622</v>
      </c>
      <c r="T105" s="5">
        <v>6428750</v>
      </c>
      <c r="U105" s="3">
        <v>2012</v>
      </c>
      <c r="V105" s="3" t="s">
        <v>597</v>
      </c>
      <c r="W105" s="1" t="str">
        <f>IF(K105=T105,"Yes","")</f>
        <v>Yes</v>
      </c>
    </row>
    <row r="106" spans="1:23" s="1" customFormat="1">
      <c r="A106" s="9">
        <v>0</v>
      </c>
      <c r="B106" s="9">
        <v>5</v>
      </c>
      <c r="C106" s="9" t="s">
        <v>345</v>
      </c>
      <c r="D106" s="9" t="s">
        <v>89</v>
      </c>
      <c r="E106" t="str">
        <f t="shared" si="15"/>
        <v>Forever (We Sing Hallelujah)</v>
      </c>
      <c r="F106" t="str">
        <f t="shared" si="16"/>
        <v>Forever</v>
      </c>
      <c r="G106" t="str">
        <f t="shared" si="18"/>
        <v>We Sing Hallelujah</v>
      </c>
      <c r="H106" t="str">
        <f t="shared" si="19"/>
        <v>Kari Jobe</v>
      </c>
      <c r="I106" s="9">
        <v>74</v>
      </c>
      <c r="J106" s="9" t="s">
        <v>3</v>
      </c>
      <c r="K106" s="9">
        <v>7001228</v>
      </c>
      <c r="L106" s="9"/>
      <c r="N106" t="s">
        <v>709</v>
      </c>
      <c r="O106" t="s">
        <v>717</v>
      </c>
      <c r="P106" s="2" t="s">
        <v>24</v>
      </c>
      <c r="Q106" s="2" t="s">
        <v>24</v>
      </c>
      <c r="R106" s="3">
        <v>73</v>
      </c>
      <c r="S106" s="3" t="s">
        <v>596</v>
      </c>
      <c r="T106" s="5">
        <v>7001228</v>
      </c>
      <c r="U106" s="3">
        <v>2013</v>
      </c>
      <c r="V106" s="7" t="s">
        <v>718</v>
      </c>
      <c r="W106" s="1" t="str">
        <f>IF(K106=T106,"Yes","")</f>
        <v>Yes</v>
      </c>
    </row>
    <row r="107" spans="1:23" s="1" customFormat="1">
      <c r="A107" s="9">
        <v>0</v>
      </c>
      <c r="B107" s="9">
        <v>6</v>
      </c>
      <c r="C107" s="9" t="s">
        <v>345</v>
      </c>
      <c r="D107" s="9" t="s">
        <v>93</v>
      </c>
      <c r="E107" t="str">
        <f t="shared" si="15"/>
        <v>Jesus Loves Me</v>
      </c>
      <c r="F107" t="str">
        <f t="shared" si="16"/>
        <v>Jesus Loves Me</v>
      </c>
      <c r="G107" t="str">
        <f t="shared" si="18"/>
        <v/>
      </c>
      <c r="H107" t="str">
        <f t="shared" si="19"/>
        <v>Chris Tomlin</v>
      </c>
      <c r="I107" s="9">
        <v>81</v>
      </c>
      <c r="J107" s="9" t="s">
        <v>3</v>
      </c>
      <c r="K107" s="9">
        <v>7028829</v>
      </c>
      <c r="L107" s="9"/>
      <c r="Q107" s="6"/>
      <c r="R107" s="6"/>
      <c r="S107" s="6"/>
      <c r="T107" s="6"/>
      <c r="U107" s="6"/>
      <c r="V107" s="6"/>
    </row>
    <row r="108" spans="1:23" s="1" customFormat="1">
      <c r="A108" s="9">
        <v>0</v>
      </c>
      <c r="B108" s="9">
        <v>7</v>
      </c>
      <c r="C108" s="9" t="s">
        <v>345</v>
      </c>
      <c r="D108" s="9" t="s">
        <v>86</v>
      </c>
      <c r="E108" t="str">
        <f t="shared" si="15"/>
        <v>Christ Be All Around Me</v>
      </c>
      <c r="F108" t="str">
        <f t="shared" si="16"/>
        <v>Christ Be All Around Me</v>
      </c>
      <c r="G108" t="str">
        <f t="shared" si="18"/>
        <v/>
      </c>
      <c r="H108" t="str">
        <f t="shared" si="19"/>
        <v>All Sons &amp; Daughters</v>
      </c>
      <c r="I108" s="9">
        <v>77</v>
      </c>
      <c r="J108" s="9" t="s">
        <v>3</v>
      </c>
      <c r="K108" s="9">
        <v>7016414</v>
      </c>
      <c r="L108" s="9"/>
      <c r="Q108" s="6"/>
      <c r="R108" s="6"/>
      <c r="S108" s="6"/>
      <c r="T108" s="6"/>
      <c r="U108" s="6"/>
      <c r="V108" s="6"/>
    </row>
    <row r="109" spans="1:23" s="1" customFormat="1">
      <c r="A109" s="9">
        <v>0</v>
      </c>
      <c r="B109" s="9">
        <v>8</v>
      </c>
      <c r="C109" s="9" t="s">
        <v>345</v>
      </c>
      <c r="D109" s="9" t="s">
        <v>92</v>
      </c>
      <c r="E109" t="str">
        <f t="shared" si="15"/>
        <v>You Make Me Brave</v>
      </c>
      <c r="F109" t="str">
        <f t="shared" si="16"/>
        <v>You Make Me Brave</v>
      </c>
      <c r="G109" t="str">
        <f t="shared" si="18"/>
        <v/>
      </c>
      <c r="H109" t="str">
        <f t="shared" si="19"/>
        <v>Amanda Cook</v>
      </c>
      <c r="I109" s="9">
        <v>138</v>
      </c>
      <c r="J109" s="9" t="s">
        <v>24</v>
      </c>
      <c r="K109" s="9">
        <v>7003306</v>
      </c>
      <c r="L109" s="9"/>
      <c r="Q109" s="6"/>
      <c r="R109" s="6"/>
      <c r="S109" s="6"/>
      <c r="T109" s="6"/>
      <c r="U109" s="6"/>
      <c r="V109" s="6"/>
    </row>
    <row r="110" spans="1:23" s="1" customFormat="1">
      <c r="A110" s="9">
        <v>0</v>
      </c>
      <c r="B110" s="9">
        <v>9</v>
      </c>
      <c r="C110" s="9" t="s">
        <v>345</v>
      </c>
      <c r="D110" s="9" t="s">
        <v>85</v>
      </c>
      <c r="E110" t="str">
        <f t="shared" si="15"/>
        <v>Great Are You Lord</v>
      </c>
      <c r="F110" t="str">
        <f t="shared" si="16"/>
        <v>Great Are You Lord</v>
      </c>
      <c r="G110" t="str">
        <f t="shared" si="18"/>
        <v/>
      </c>
      <c r="H110" t="str">
        <f t="shared" si="19"/>
        <v>All Sons &amp; Daughters</v>
      </c>
      <c r="I110" s="9">
        <v>72</v>
      </c>
      <c r="J110" s="9" t="s">
        <v>24</v>
      </c>
      <c r="K110" s="9">
        <v>6460220</v>
      </c>
      <c r="L110" s="9"/>
      <c r="N110" t="s">
        <v>709</v>
      </c>
      <c r="O110" t="s">
        <v>719</v>
      </c>
      <c r="P110" s="2" t="s">
        <v>24</v>
      </c>
      <c r="Q110" s="2" t="s">
        <v>24</v>
      </c>
      <c r="R110" s="3">
        <v>144</v>
      </c>
      <c r="S110" s="10" t="s">
        <v>622</v>
      </c>
      <c r="T110" s="5">
        <v>6460220</v>
      </c>
      <c r="U110" s="3">
        <v>2012</v>
      </c>
      <c r="V110" s="7" t="s">
        <v>720</v>
      </c>
      <c r="W110" s="1" t="str">
        <f t="shared" ref="W110:W111" si="21">IF(K110=T110,"Yes","")</f>
        <v>Yes</v>
      </c>
    </row>
    <row r="111" spans="1:23" s="1" customFormat="1">
      <c r="A111" s="9">
        <v>0</v>
      </c>
      <c r="B111" s="9">
        <v>10</v>
      </c>
      <c r="C111" s="9" t="s">
        <v>345</v>
      </c>
      <c r="D111" s="9" t="s">
        <v>90</v>
      </c>
      <c r="E111" t="str">
        <f t="shared" si="15"/>
        <v>Man of Sorrows</v>
      </c>
      <c r="F111" t="str">
        <f t="shared" si="16"/>
        <v>Man of Sorrows</v>
      </c>
      <c r="G111" t="str">
        <f t="shared" si="18"/>
        <v/>
      </c>
      <c r="H111" t="str">
        <f t="shared" si="19"/>
        <v>Hillsong</v>
      </c>
      <c r="I111" s="9">
        <v>71</v>
      </c>
      <c r="J111" s="9" t="s">
        <v>6</v>
      </c>
      <c r="K111" s="9">
        <v>6476063</v>
      </c>
      <c r="L111" s="9"/>
      <c r="N111" t="s">
        <v>709</v>
      </c>
      <c r="O111" t="s">
        <v>721</v>
      </c>
      <c r="P111" s="2" t="s">
        <v>20</v>
      </c>
      <c r="Q111" s="2" t="s">
        <v>20</v>
      </c>
      <c r="R111" s="3">
        <v>72</v>
      </c>
      <c r="S111" s="3" t="s">
        <v>596</v>
      </c>
      <c r="T111" s="5">
        <v>6476063</v>
      </c>
      <c r="U111" s="3">
        <v>2012</v>
      </c>
      <c r="V111" s="3" t="s">
        <v>597</v>
      </c>
      <c r="W111" s="1" t="str">
        <f t="shared" si="21"/>
        <v>Yes</v>
      </c>
    </row>
    <row r="112" spans="1:23">
      <c r="A112">
        <v>11</v>
      </c>
      <c r="B112">
        <v>1</v>
      </c>
      <c r="C112" t="s">
        <v>578</v>
      </c>
      <c r="D112" t="s">
        <v>135</v>
      </c>
      <c r="E112" t="str">
        <f t="shared" si="15"/>
        <v>O Come To The Altar</v>
      </c>
      <c r="F112" t="str">
        <f t="shared" si="16"/>
        <v>O Come To The Altar</v>
      </c>
      <c r="G112" t="str">
        <f t="shared" si="18"/>
        <v/>
      </c>
      <c r="H112" t="str">
        <f t="shared" si="19"/>
        <v>Elevation Worship</v>
      </c>
      <c r="I112" s="9">
        <v>70</v>
      </c>
      <c r="J112" s="9" t="s">
        <v>29</v>
      </c>
      <c r="K112" s="9">
        <v>7051511</v>
      </c>
      <c r="N112" t="s">
        <v>709</v>
      </c>
      <c r="O112" t="s">
        <v>621</v>
      </c>
      <c r="P112" s="2" t="s">
        <v>6</v>
      </c>
      <c r="Q112" s="2" t="s">
        <v>6</v>
      </c>
      <c r="R112" s="3">
        <v>140</v>
      </c>
      <c r="S112" s="4" t="s">
        <v>622</v>
      </c>
      <c r="T112" s="5">
        <v>7051511</v>
      </c>
      <c r="U112" s="3">
        <v>2015</v>
      </c>
      <c r="V112" s="3" t="s">
        <v>623</v>
      </c>
      <c r="W112" s="1" t="str">
        <f t="shared" si="20"/>
        <v>Yes</v>
      </c>
    </row>
    <row r="113" spans="1:23">
      <c r="A113">
        <v>11</v>
      </c>
      <c r="B113">
        <v>2</v>
      </c>
      <c r="C113" t="s">
        <v>578</v>
      </c>
      <c r="D113" t="s">
        <v>140</v>
      </c>
      <c r="E113" t="str">
        <f t="shared" si="15"/>
        <v>Open Up The Heavens</v>
      </c>
      <c r="F113" t="str">
        <f t="shared" si="16"/>
        <v>Open Up The Heavens</v>
      </c>
      <c r="G113" t="str">
        <f t="shared" si="18"/>
        <v/>
      </c>
      <c r="H113" t="str">
        <f t="shared" si="19"/>
        <v>Vertical</v>
      </c>
      <c r="I113" s="9">
        <v>95</v>
      </c>
      <c r="J113" s="9" t="s">
        <v>29</v>
      </c>
      <c r="K113" s="9">
        <v>6304702</v>
      </c>
    </row>
    <row r="114" spans="1:23">
      <c r="A114">
        <v>11</v>
      </c>
      <c r="B114">
        <v>3</v>
      </c>
      <c r="C114" t="s">
        <v>578</v>
      </c>
      <c r="D114" t="s">
        <v>137</v>
      </c>
      <c r="E114" t="str">
        <f t="shared" si="15"/>
        <v>Be Enthroned</v>
      </c>
      <c r="F114" t="str">
        <f t="shared" si="16"/>
        <v>Be Enthroned</v>
      </c>
      <c r="G114" t="str">
        <f t="shared" si="18"/>
        <v/>
      </c>
      <c r="H114" t="str">
        <f t="shared" si="19"/>
        <v>Jeremy Riddle</v>
      </c>
      <c r="I114" s="9">
        <v>70</v>
      </c>
      <c r="J114" s="9" t="s">
        <v>3</v>
      </c>
      <c r="K114" s="9">
        <v>7054178</v>
      </c>
      <c r="N114" t="s">
        <v>709</v>
      </c>
      <c r="O114" t="s">
        <v>624</v>
      </c>
      <c r="P114" s="2" t="s">
        <v>3</v>
      </c>
      <c r="Q114" s="2" t="s">
        <v>147</v>
      </c>
      <c r="R114" s="3">
        <v>70</v>
      </c>
      <c r="S114" s="4" t="s">
        <v>596</v>
      </c>
      <c r="T114" s="3">
        <v>7054178</v>
      </c>
      <c r="U114" s="3">
        <v>2015</v>
      </c>
      <c r="V114" s="3" t="s">
        <v>625</v>
      </c>
      <c r="W114" s="1" t="str">
        <f t="shared" ref="W114:W115" si="22">IF(K114=T114,"Yes","")</f>
        <v>Yes</v>
      </c>
    </row>
    <row r="115" spans="1:23">
      <c r="A115">
        <v>11</v>
      </c>
      <c r="B115">
        <v>4</v>
      </c>
      <c r="C115" t="s">
        <v>578</v>
      </c>
      <c r="D115" t="s">
        <v>132</v>
      </c>
      <c r="E115" t="str">
        <f t="shared" si="15"/>
        <v>Good Good Father</v>
      </c>
      <c r="F115" t="str">
        <f t="shared" si="16"/>
        <v>Good Good Father</v>
      </c>
      <c r="G115" t="str">
        <f t="shared" si="18"/>
        <v/>
      </c>
      <c r="H115" t="str">
        <f t="shared" si="19"/>
        <v>HouseFires</v>
      </c>
      <c r="I115" s="9">
        <v>72.5</v>
      </c>
      <c r="J115" s="9" t="s">
        <v>24</v>
      </c>
      <c r="K115" s="9">
        <v>7036612</v>
      </c>
      <c r="N115" t="s">
        <v>709</v>
      </c>
      <c r="O115" t="s">
        <v>626</v>
      </c>
      <c r="P115" s="2" t="s">
        <v>24</v>
      </c>
      <c r="Q115" s="2" t="s">
        <v>24</v>
      </c>
      <c r="R115" s="3">
        <v>48</v>
      </c>
      <c r="S115" s="4" t="s">
        <v>622</v>
      </c>
      <c r="T115" s="5">
        <v>7036612</v>
      </c>
      <c r="U115" s="3">
        <v>2014</v>
      </c>
      <c r="V115" s="3" t="s">
        <v>627</v>
      </c>
      <c r="W115" s="1" t="str">
        <f t="shared" si="22"/>
        <v>Yes</v>
      </c>
    </row>
    <row r="116" spans="1:23">
      <c r="A116">
        <v>11</v>
      </c>
      <c r="B116">
        <v>5</v>
      </c>
      <c r="C116" t="s">
        <v>578</v>
      </c>
      <c r="D116" t="s">
        <v>139</v>
      </c>
      <c r="E116" t="str">
        <f t="shared" si="15"/>
        <v>Holy Spirit</v>
      </c>
      <c r="F116" t="str">
        <f t="shared" si="16"/>
        <v>Holy Spirit</v>
      </c>
      <c r="G116" t="str">
        <f t="shared" si="18"/>
        <v/>
      </c>
      <c r="H116" t="str">
        <f t="shared" si="19"/>
        <v>Bryan &amp; Katie Torwalt</v>
      </c>
      <c r="I116" s="9">
        <v>72</v>
      </c>
      <c r="J116" s="9" t="s">
        <v>24</v>
      </c>
      <c r="K116" s="9">
        <v>6087919</v>
      </c>
    </row>
    <row r="117" spans="1:23">
      <c r="A117">
        <v>11</v>
      </c>
      <c r="B117">
        <v>6</v>
      </c>
      <c r="C117" t="s">
        <v>578</v>
      </c>
      <c r="D117" t="s">
        <v>142</v>
      </c>
      <c r="E117" t="str">
        <f t="shared" si="15"/>
        <v>Holy Spirit (Girls)</v>
      </c>
      <c r="F117" t="str">
        <f t="shared" si="16"/>
        <v>Holy Spirit</v>
      </c>
      <c r="G117" t="str">
        <f t="shared" si="18"/>
        <v>Girls</v>
      </c>
      <c r="H117" t="str">
        <f t="shared" si="19"/>
        <v>Bryan &amp; Katie Torwalt</v>
      </c>
      <c r="I117" s="9">
        <v>72</v>
      </c>
      <c r="J117" s="9" t="s">
        <v>29</v>
      </c>
      <c r="K117" s="9">
        <v>6087919</v>
      </c>
    </row>
    <row r="118" spans="1:23">
      <c r="A118">
        <v>11</v>
      </c>
      <c r="B118">
        <v>7</v>
      </c>
      <c r="C118" t="s">
        <v>578</v>
      </c>
      <c r="D118" t="s">
        <v>133</v>
      </c>
      <c r="E118" t="str">
        <f t="shared" si="15"/>
        <v>No Longer Slaves</v>
      </c>
      <c r="F118" t="str">
        <f t="shared" si="16"/>
        <v>No Longer Slaves</v>
      </c>
      <c r="G118" t="str">
        <f t="shared" si="18"/>
        <v/>
      </c>
      <c r="H118" t="str">
        <f t="shared" si="19"/>
        <v>Jonathan David &amp; Melissa Helser</v>
      </c>
      <c r="I118" s="9">
        <v>74</v>
      </c>
      <c r="J118" s="9" t="s">
        <v>24</v>
      </c>
      <c r="K118" s="9">
        <v>7030123</v>
      </c>
      <c r="N118" t="s">
        <v>709</v>
      </c>
      <c r="O118" t="s">
        <v>628</v>
      </c>
      <c r="P118" s="2" t="s">
        <v>24</v>
      </c>
      <c r="Q118" s="2" t="s">
        <v>27</v>
      </c>
      <c r="R118" s="3">
        <v>74</v>
      </c>
      <c r="S118" s="4" t="s">
        <v>596</v>
      </c>
      <c r="T118" s="5">
        <v>7030123</v>
      </c>
      <c r="U118" s="3">
        <v>2014</v>
      </c>
      <c r="V118" s="7" t="s">
        <v>625</v>
      </c>
      <c r="W118" s="1" t="str">
        <f t="shared" ref="W118:W119" si="23">IF(K118=T118,"Yes","")</f>
        <v>Yes</v>
      </c>
    </row>
    <row r="119" spans="1:23">
      <c r="A119">
        <v>11</v>
      </c>
      <c r="B119">
        <v>8</v>
      </c>
      <c r="C119" t="s">
        <v>578</v>
      </c>
      <c r="D119" t="s">
        <v>136</v>
      </c>
      <c r="E119" t="str">
        <f t="shared" si="15"/>
        <v>At The Cross (Love Ran Red)</v>
      </c>
      <c r="F119" t="str">
        <f t="shared" si="16"/>
        <v>At The Cross</v>
      </c>
      <c r="G119" t="str">
        <f t="shared" si="18"/>
        <v>Love Ran Red</v>
      </c>
      <c r="H119" t="str">
        <f t="shared" si="19"/>
        <v>Chris Tomlin</v>
      </c>
      <c r="I119" s="9">
        <v>73</v>
      </c>
      <c r="J119" s="9" t="s">
        <v>0</v>
      </c>
      <c r="K119" s="9">
        <v>7017786</v>
      </c>
      <c r="N119" t="s">
        <v>709</v>
      </c>
      <c r="O119" t="s">
        <v>629</v>
      </c>
      <c r="P119" s="2" t="s">
        <v>0</v>
      </c>
      <c r="Q119" s="2" t="s">
        <v>0</v>
      </c>
      <c r="R119" s="3">
        <v>72</v>
      </c>
      <c r="S119" s="3" t="s">
        <v>596</v>
      </c>
      <c r="T119" s="3">
        <v>7017786</v>
      </c>
      <c r="U119" s="3">
        <v>2014</v>
      </c>
      <c r="V119" s="3" t="s">
        <v>630</v>
      </c>
      <c r="W119" s="1" t="str">
        <f t="shared" si="23"/>
        <v>Yes</v>
      </c>
    </row>
    <row r="120" spans="1:23">
      <c r="A120">
        <v>11</v>
      </c>
      <c r="B120">
        <v>9</v>
      </c>
      <c r="C120" t="s">
        <v>578</v>
      </c>
      <c r="D120" t="s">
        <v>134</v>
      </c>
      <c r="E120" t="str">
        <f t="shared" si="15"/>
        <v>Praise The King</v>
      </c>
      <c r="F120" t="str">
        <f t="shared" si="16"/>
        <v>Praise The King</v>
      </c>
      <c r="G120" t="str">
        <f t="shared" si="18"/>
        <v/>
      </c>
      <c r="H120" t="str">
        <f t="shared" si="19"/>
        <v>Corey Voss</v>
      </c>
      <c r="I120" s="9">
        <v>78</v>
      </c>
      <c r="J120" s="9" t="s">
        <v>6</v>
      </c>
      <c r="K120" s="9">
        <v>7032344</v>
      </c>
    </row>
    <row r="121" spans="1:23">
      <c r="A121">
        <v>11</v>
      </c>
      <c r="B121">
        <v>10</v>
      </c>
      <c r="C121" t="s">
        <v>578</v>
      </c>
      <c r="D121" t="s">
        <v>141</v>
      </c>
      <c r="E121" t="str">
        <f t="shared" si="15"/>
        <v>Sovereign Over Us</v>
      </c>
      <c r="F121" t="str">
        <f t="shared" si="16"/>
        <v>Sovereign Over Us</v>
      </c>
      <c r="G121" t="str">
        <f t="shared" si="18"/>
        <v/>
      </c>
      <c r="H121" t="str">
        <f t="shared" si="19"/>
        <v>Aaron Keyes</v>
      </c>
      <c r="I121" s="9">
        <v>70</v>
      </c>
      <c r="J121" s="9" t="s">
        <v>6</v>
      </c>
      <c r="K121" s="9">
        <v>6011370</v>
      </c>
    </row>
    <row r="122" spans="1:23">
      <c r="A122">
        <v>11</v>
      </c>
      <c r="B122">
        <v>11</v>
      </c>
      <c r="C122" t="s">
        <v>578</v>
      </c>
      <c r="D122" t="s">
        <v>138</v>
      </c>
      <c r="E122" t="str">
        <f t="shared" si="15"/>
        <v>Trust You</v>
      </c>
      <c r="F122" t="str">
        <f t="shared" si="16"/>
        <v>Trust You</v>
      </c>
      <c r="G122" t="str">
        <f t="shared" si="18"/>
        <v/>
      </c>
      <c r="H122" t="str">
        <f t="shared" si="19"/>
        <v>Aaron Keyes</v>
      </c>
      <c r="I122" s="9">
        <v>76.5</v>
      </c>
      <c r="J122" s="9" t="s">
        <v>6</v>
      </c>
      <c r="K122" s="9">
        <v>6327734</v>
      </c>
    </row>
    <row r="123" spans="1:23">
      <c r="A123">
        <v>12</v>
      </c>
      <c r="B123">
        <v>1</v>
      </c>
      <c r="C123" t="s">
        <v>579</v>
      </c>
      <c r="D123" t="s">
        <v>279</v>
      </c>
      <c r="E123" t="str">
        <f t="shared" si="15"/>
        <v>You're Worthy of It All</v>
      </c>
      <c r="F123" t="str">
        <f t="shared" si="16"/>
        <v>You're Worthy of It All</v>
      </c>
      <c r="G123" t="str">
        <f t="shared" si="18"/>
        <v/>
      </c>
      <c r="H123" t="str">
        <f t="shared" si="19"/>
        <v>Shane &amp; Shane</v>
      </c>
      <c r="I123" s="9">
        <v>59.5</v>
      </c>
      <c r="J123" s="9" t="s">
        <v>24</v>
      </c>
      <c r="K123" s="9">
        <v>7083703</v>
      </c>
    </row>
    <row r="124" spans="1:23">
      <c r="A124">
        <v>12</v>
      </c>
      <c r="B124">
        <v>2</v>
      </c>
      <c r="C124" t="s">
        <v>579</v>
      </c>
      <c r="D124" t="s">
        <v>276</v>
      </c>
      <c r="E124" t="str">
        <f t="shared" si="15"/>
        <v>Jesus We Love You</v>
      </c>
      <c r="F124" t="str">
        <f t="shared" si="16"/>
        <v>Jesus We Love You</v>
      </c>
      <c r="G124" t="str">
        <f t="shared" si="18"/>
        <v/>
      </c>
      <c r="H124" t="str">
        <f t="shared" si="19"/>
        <v>Paul McClure</v>
      </c>
      <c r="I124" s="9">
        <v>58</v>
      </c>
      <c r="J124" s="9" t="s">
        <v>24</v>
      </c>
      <c r="K124" s="9">
        <v>7030068</v>
      </c>
    </row>
    <row r="125" spans="1:23">
      <c r="A125">
        <v>12</v>
      </c>
      <c r="B125">
        <v>3</v>
      </c>
      <c r="C125" t="s">
        <v>579</v>
      </c>
      <c r="D125" t="s">
        <v>274</v>
      </c>
      <c r="E125" t="str">
        <f t="shared" si="15"/>
        <v>Lion and The Lamb</v>
      </c>
      <c r="F125" t="str">
        <f t="shared" si="16"/>
        <v>Lion and The Lamb</v>
      </c>
      <c r="G125" t="str">
        <f t="shared" si="18"/>
        <v/>
      </c>
      <c r="H125" t="str">
        <f t="shared" si="19"/>
        <v>Leeland</v>
      </c>
      <c r="I125" s="9">
        <v>90</v>
      </c>
      <c r="J125" s="9" t="s">
        <v>24</v>
      </c>
      <c r="K125" s="9">
        <v>7038281</v>
      </c>
      <c r="N125" t="s">
        <v>709</v>
      </c>
      <c r="O125" t="s">
        <v>631</v>
      </c>
      <c r="P125" s="2" t="s">
        <v>6</v>
      </c>
      <c r="Q125" s="2" t="s">
        <v>6</v>
      </c>
      <c r="R125" s="3">
        <v>90</v>
      </c>
      <c r="S125" s="4" t="s">
        <v>596</v>
      </c>
      <c r="T125" s="5">
        <v>7038281</v>
      </c>
      <c r="U125" s="3">
        <v>2015</v>
      </c>
      <c r="V125" s="7" t="s">
        <v>632</v>
      </c>
      <c r="W125" s="1" t="str">
        <f>IF(K125=T125,"Yes","")</f>
        <v>Yes</v>
      </c>
    </row>
    <row r="126" spans="1:23">
      <c r="A126">
        <v>12</v>
      </c>
      <c r="B126">
        <v>4</v>
      </c>
      <c r="C126" t="s">
        <v>579</v>
      </c>
      <c r="D126" t="s">
        <v>273</v>
      </c>
      <c r="E126" t="str">
        <f t="shared" si="15"/>
        <v>Alive</v>
      </c>
      <c r="F126" t="str">
        <f t="shared" si="16"/>
        <v>Alive</v>
      </c>
      <c r="G126" t="str">
        <f t="shared" si="18"/>
        <v/>
      </c>
      <c r="H126" t="str">
        <f t="shared" si="19"/>
        <v>Hillsong Young &amp; Free</v>
      </c>
      <c r="I126" s="9">
        <v>132</v>
      </c>
      <c r="J126" s="9" t="s">
        <v>29</v>
      </c>
      <c r="K126" s="9">
        <v>6605212</v>
      </c>
    </row>
    <row r="127" spans="1:23">
      <c r="A127">
        <v>12</v>
      </c>
      <c r="B127">
        <v>5</v>
      </c>
      <c r="C127" t="s">
        <v>579</v>
      </c>
      <c r="D127" t="s">
        <v>282</v>
      </c>
      <c r="E127" t="str">
        <f t="shared" si="15"/>
        <v>Ever Be (Girls)</v>
      </c>
      <c r="F127" t="str">
        <f t="shared" si="16"/>
        <v>Ever Be</v>
      </c>
      <c r="G127" t="str">
        <f t="shared" si="18"/>
        <v>Girls</v>
      </c>
      <c r="H127" t="str">
        <f t="shared" si="19"/>
        <v>Kalley Heiligenthal</v>
      </c>
      <c r="I127" s="9">
        <v>69</v>
      </c>
      <c r="J127" s="9" t="s">
        <v>29</v>
      </c>
      <c r="K127" s="9">
        <v>7030065</v>
      </c>
    </row>
    <row r="128" spans="1:23">
      <c r="A128">
        <v>12</v>
      </c>
      <c r="B128">
        <v>6</v>
      </c>
      <c r="C128" t="s">
        <v>579</v>
      </c>
      <c r="D128" t="s">
        <v>280</v>
      </c>
      <c r="E128" t="str">
        <f t="shared" si="15"/>
        <v>Ever Be (Guys)</v>
      </c>
      <c r="F128" t="str">
        <f t="shared" si="16"/>
        <v>Ever Be</v>
      </c>
      <c r="G128" t="str">
        <f t="shared" si="18"/>
        <v>Guys</v>
      </c>
      <c r="H128" t="str">
        <f t="shared" si="19"/>
        <v>Kalley Heiligenthal</v>
      </c>
      <c r="I128" s="9">
        <v>69</v>
      </c>
      <c r="J128" s="9" t="s">
        <v>24</v>
      </c>
      <c r="K128" s="9">
        <v>7030065</v>
      </c>
    </row>
    <row r="129" spans="1:23">
      <c r="A129">
        <v>12</v>
      </c>
      <c r="B129">
        <v>7</v>
      </c>
      <c r="C129" t="s">
        <v>579</v>
      </c>
      <c r="D129" t="s">
        <v>271</v>
      </c>
      <c r="E129" t="str">
        <f t="shared" si="15"/>
        <v>What A Beautiful Name</v>
      </c>
      <c r="F129" t="str">
        <f t="shared" si="16"/>
        <v>What A Beautiful Name</v>
      </c>
      <c r="G129" t="str">
        <f t="shared" si="18"/>
        <v/>
      </c>
      <c r="H129" t="str">
        <f t="shared" si="19"/>
        <v>Hillsong Worship</v>
      </c>
      <c r="I129" s="9">
        <v>68</v>
      </c>
      <c r="J129" s="9" t="s">
        <v>29</v>
      </c>
      <c r="K129" s="9">
        <v>7068424</v>
      </c>
      <c r="N129" t="s">
        <v>709</v>
      </c>
      <c r="O129" t="s">
        <v>633</v>
      </c>
      <c r="P129" s="2" t="s">
        <v>29</v>
      </c>
      <c r="Q129" s="2" t="s">
        <v>29</v>
      </c>
      <c r="R129" s="3">
        <v>68</v>
      </c>
      <c r="S129" s="4" t="s">
        <v>596</v>
      </c>
      <c r="T129" s="3">
        <v>7068424</v>
      </c>
      <c r="U129" s="3">
        <v>2016</v>
      </c>
      <c r="V129" s="3" t="s">
        <v>597</v>
      </c>
      <c r="W129" s="1" t="str">
        <f>IF(K129=T129,"Yes","")</f>
        <v>Yes</v>
      </c>
    </row>
    <row r="130" spans="1:23">
      <c r="A130">
        <v>12</v>
      </c>
      <c r="B130">
        <v>8</v>
      </c>
      <c r="C130" t="s">
        <v>579</v>
      </c>
      <c r="D130" t="s">
        <v>278</v>
      </c>
      <c r="E130" t="str">
        <f t="shared" si="15"/>
        <v>Once For All</v>
      </c>
      <c r="F130" t="str">
        <f t="shared" si="16"/>
        <v>Once For All</v>
      </c>
      <c r="G130" t="str">
        <f t="shared" si="18"/>
        <v/>
      </c>
      <c r="H130" t="str">
        <f t="shared" si="19"/>
        <v>Shane &amp; Shane</v>
      </c>
      <c r="I130" s="9">
        <v>67</v>
      </c>
      <c r="J130" s="9" t="s">
        <v>29</v>
      </c>
      <c r="K130" s="9">
        <v>7083710</v>
      </c>
    </row>
    <row r="131" spans="1:23">
      <c r="A131">
        <v>12</v>
      </c>
      <c r="B131">
        <v>9</v>
      </c>
      <c r="C131" t="s">
        <v>579</v>
      </c>
      <c r="D131" t="s">
        <v>281</v>
      </c>
      <c r="E131" t="str">
        <f t="shared" ref="E131:E194" si="24">IF(ISNUMBER(SEARCH(" by", D131)), LEFT(D131, FIND(" by ",D131) - 1),D131)</f>
        <v>Come As You Are</v>
      </c>
      <c r="F131" t="str">
        <f t="shared" ref="F131:F194" si="25">LEFT(E131,IF(ISNUMBER(SEARCH(" (",E131)),FIND(" (",E131)-1,LEN(E131)))</f>
        <v>Come As You Are</v>
      </c>
      <c r="G131" t="str">
        <f t="shared" si="18"/>
        <v/>
      </c>
      <c r="H131" t="str">
        <f t="shared" si="19"/>
        <v>Crowder</v>
      </c>
      <c r="I131" s="9">
        <v>68</v>
      </c>
      <c r="J131" s="9" t="s">
        <v>6</v>
      </c>
      <c r="K131" s="9">
        <v>7017790</v>
      </c>
    </row>
    <row r="132" spans="1:23">
      <c r="A132">
        <v>12</v>
      </c>
      <c r="B132">
        <v>10</v>
      </c>
      <c r="C132" t="s">
        <v>579</v>
      </c>
      <c r="D132" t="s">
        <v>275</v>
      </c>
      <c r="E132" t="str">
        <f t="shared" si="24"/>
        <v>The Lord Our God</v>
      </c>
      <c r="F132" t="str">
        <f t="shared" si="25"/>
        <v>The Lord Our God</v>
      </c>
      <c r="G132" t="str">
        <f t="shared" si="18"/>
        <v/>
      </c>
      <c r="H132" t="str">
        <f t="shared" si="19"/>
        <v>Passion</v>
      </c>
      <c r="I132" s="9">
        <v>72</v>
      </c>
      <c r="J132" s="9" t="s">
        <v>6</v>
      </c>
      <c r="K132" s="9">
        <v>6518055</v>
      </c>
      <c r="N132" t="s">
        <v>709</v>
      </c>
      <c r="O132" t="s">
        <v>634</v>
      </c>
      <c r="P132" s="2" t="s">
        <v>3</v>
      </c>
      <c r="Q132" s="2" t="s">
        <v>3</v>
      </c>
      <c r="R132" s="3">
        <v>72</v>
      </c>
      <c r="S132" s="4" t="s">
        <v>596</v>
      </c>
      <c r="T132" s="5">
        <v>6518055</v>
      </c>
      <c r="U132" s="3">
        <v>2013</v>
      </c>
      <c r="V132" s="7" t="s">
        <v>605</v>
      </c>
      <c r="W132" s="1" t="str">
        <f t="shared" ref="W132:W135" si="26">IF(K132=T132,"Yes","")</f>
        <v>Yes</v>
      </c>
    </row>
    <row r="133" spans="1:23">
      <c r="A133">
        <v>12</v>
      </c>
      <c r="B133">
        <v>11</v>
      </c>
      <c r="C133" t="s">
        <v>579</v>
      </c>
      <c r="D133" t="s">
        <v>272</v>
      </c>
      <c r="E133" t="str">
        <f t="shared" si="24"/>
        <v>Even So Come</v>
      </c>
      <c r="F133" t="str">
        <f t="shared" si="25"/>
        <v>Even So Come</v>
      </c>
      <c r="G133" t="str">
        <f t="shared" si="18"/>
        <v/>
      </c>
      <c r="H133" t="str">
        <f t="shared" si="19"/>
        <v>Passion</v>
      </c>
      <c r="I133" s="9">
        <v>81</v>
      </c>
      <c r="J133" s="9" t="s">
        <v>0</v>
      </c>
      <c r="K133" s="9">
        <v>7036288</v>
      </c>
      <c r="N133" t="s">
        <v>709</v>
      </c>
      <c r="O133" t="s">
        <v>635</v>
      </c>
      <c r="P133" s="2" t="s">
        <v>0</v>
      </c>
      <c r="Q133" s="2" t="s">
        <v>0</v>
      </c>
      <c r="R133" s="3">
        <v>163</v>
      </c>
      <c r="S133" s="4" t="s">
        <v>622</v>
      </c>
      <c r="T133" s="5">
        <v>7036288</v>
      </c>
      <c r="U133" s="3">
        <v>2015</v>
      </c>
      <c r="V133" s="7" t="s">
        <v>636</v>
      </c>
      <c r="W133" s="1" t="str">
        <f t="shared" si="26"/>
        <v>Yes</v>
      </c>
    </row>
    <row r="134" spans="1:23">
      <c r="A134">
        <v>12</v>
      </c>
      <c r="B134">
        <v>12</v>
      </c>
      <c r="C134" t="s">
        <v>579</v>
      </c>
      <c r="D134" t="s">
        <v>283</v>
      </c>
      <c r="E134" t="str">
        <f t="shared" si="24"/>
        <v>Great I Am</v>
      </c>
      <c r="F134" t="str">
        <f t="shared" si="25"/>
        <v>Great I Am</v>
      </c>
      <c r="G134" t="str">
        <f t="shared" si="18"/>
        <v/>
      </c>
      <c r="H134" t="str">
        <f t="shared" si="19"/>
        <v>Jared Anderson</v>
      </c>
      <c r="I134" s="9">
        <v>80</v>
      </c>
      <c r="J134" s="9" t="s">
        <v>3</v>
      </c>
      <c r="K134" s="9">
        <v>5881491</v>
      </c>
      <c r="N134" t="s">
        <v>709</v>
      </c>
      <c r="O134" t="s">
        <v>637</v>
      </c>
      <c r="P134" s="2" t="s">
        <v>29</v>
      </c>
      <c r="Q134" s="2" t="s">
        <v>29</v>
      </c>
      <c r="R134" s="3">
        <v>80</v>
      </c>
      <c r="S134" s="4" t="s">
        <v>596</v>
      </c>
      <c r="T134" s="5">
        <v>5881491</v>
      </c>
      <c r="U134" s="3">
        <v>2011</v>
      </c>
      <c r="V134" s="7" t="s">
        <v>638</v>
      </c>
      <c r="W134" s="1" t="str">
        <f t="shared" si="26"/>
        <v>Yes</v>
      </c>
    </row>
    <row r="135" spans="1:23">
      <c r="A135">
        <v>12</v>
      </c>
      <c r="B135">
        <v>13</v>
      </c>
      <c r="C135" t="s">
        <v>579</v>
      </c>
      <c r="D135" t="s">
        <v>277</v>
      </c>
      <c r="E135" t="str">
        <f t="shared" si="24"/>
        <v>O Praise The Name</v>
      </c>
      <c r="F135" t="str">
        <f t="shared" si="25"/>
        <v>O Praise The Name</v>
      </c>
      <c r="G135" t="str">
        <f t="shared" si="18"/>
        <v/>
      </c>
      <c r="H135" t="str">
        <f t="shared" si="19"/>
        <v>Hillsong</v>
      </c>
      <c r="I135" s="9">
        <v>72</v>
      </c>
      <c r="J135" s="9" t="s">
        <v>3</v>
      </c>
      <c r="K135" s="9">
        <v>7037787</v>
      </c>
      <c r="N135" t="s">
        <v>709</v>
      </c>
      <c r="O135" t="s">
        <v>639</v>
      </c>
      <c r="P135" s="2" t="s">
        <v>3</v>
      </c>
      <c r="Q135" s="2" t="s">
        <v>3</v>
      </c>
      <c r="R135" s="3">
        <v>72</v>
      </c>
      <c r="S135" s="4" t="s">
        <v>596</v>
      </c>
      <c r="T135" s="5">
        <v>7037787</v>
      </c>
      <c r="U135" s="3">
        <v>2015</v>
      </c>
      <c r="V135" s="3" t="s">
        <v>597</v>
      </c>
      <c r="W135" s="1" t="str">
        <f t="shared" si="26"/>
        <v>Yes</v>
      </c>
    </row>
    <row r="136" spans="1:23">
      <c r="A136">
        <v>13</v>
      </c>
      <c r="B136">
        <v>1</v>
      </c>
      <c r="C136" t="s">
        <v>580</v>
      </c>
      <c r="D136" t="s">
        <v>258</v>
      </c>
      <c r="E136" t="str">
        <f t="shared" si="24"/>
        <v>How Can It Be</v>
      </c>
      <c r="F136" t="str">
        <f t="shared" si="25"/>
        <v>How Can It Be</v>
      </c>
      <c r="G136" t="str">
        <f t="shared" si="18"/>
        <v/>
      </c>
      <c r="H136" t="str">
        <f t="shared" si="19"/>
        <v>Lauren Daigle</v>
      </c>
      <c r="I136" s="9">
        <v>76</v>
      </c>
      <c r="J136" s="9" t="s">
        <v>29</v>
      </c>
      <c r="K136" s="9">
        <v>7023294</v>
      </c>
    </row>
    <row r="137" spans="1:23">
      <c r="A137">
        <v>13</v>
      </c>
      <c r="B137">
        <v>2</v>
      </c>
      <c r="C137" t="s">
        <v>580</v>
      </c>
      <c r="D137" t="s">
        <v>256</v>
      </c>
      <c r="E137" t="str">
        <f t="shared" si="24"/>
        <v>Love So Great</v>
      </c>
      <c r="F137" t="str">
        <f t="shared" si="25"/>
        <v>Love So Great</v>
      </c>
      <c r="G137" t="str">
        <f t="shared" si="18"/>
        <v/>
      </c>
      <c r="H137" t="str">
        <f t="shared" si="19"/>
        <v>Hillsong</v>
      </c>
      <c r="I137" s="9">
        <v>94</v>
      </c>
      <c r="J137" s="9" t="s">
        <v>29</v>
      </c>
      <c r="K137" s="9">
        <v>7068428</v>
      </c>
    </row>
    <row r="138" spans="1:23">
      <c r="A138">
        <v>13</v>
      </c>
      <c r="B138">
        <v>3</v>
      </c>
      <c r="C138" t="s">
        <v>580</v>
      </c>
      <c r="D138" t="s">
        <v>257</v>
      </c>
      <c r="E138" t="str">
        <f t="shared" si="24"/>
        <v>Glorious Day</v>
      </c>
      <c r="F138" t="str">
        <f t="shared" si="25"/>
        <v>Glorious Day</v>
      </c>
      <c r="G138" t="str">
        <f t="shared" si="18"/>
        <v/>
      </c>
      <c r="H138" t="str">
        <f t="shared" si="19"/>
        <v>Passion</v>
      </c>
      <c r="I138" s="9">
        <v>110</v>
      </c>
      <c r="J138" s="9" t="s">
        <v>29</v>
      </c>
      <c r="K138" s="9">
        <v>7081388</v>
      </c>
      <c r="N138" t="s">
        <v>709</v>
      </c>
      <c r="O138" t="s">
        <v>640</v>
      </c>
      <c r="P138" s="2" t="s">
        <v>29</v>
      </c>
      <c r="Q138" s="2" t="s">
        <v>29</v>
      </c>
      <c r="R138" s="3">
        <v>110</v>
      </c>
      <c r="S138" s="4" t="s">
        <v>596</v>
      </c>
      <c r="T138" s="5">
        <v>7081388</v>
      </c>
      <c r="U138" s="3">
        <v>2017</v>
      </c>
      <c r="V138" s="7" t="s">
        <v>641</v>
      </c>
      <c r="W138" s="1" t="str">
        <f t="shared" ref="W138:W139" si="27">IF(K138=T138,"Yes","")</f>
        <v>Yes</v>
      </c>
    </row>
    <row r="139" spans="1:23">
      <c r="A139">
        <v>13</v>
      </c>
      <c r="B139">
        <v>4</v>
      </c>
      <c r="C139" t="s">
        <v>580</v>
      </c>
      <c r="D139" t="s">
        <v>260</v>
      </c>
      <c r="E139" t="str">
        <f t="shared" si="24"/>
        <v>King of My Heart</v>
      </c>
      <c r="F139" t="str">
        <f t="shared" si="25"/>
        <v>King of My Heart</v>
      </c>
      <c r="G139" t="str">
        <f t="shared" si="18"/>
        <v/>
      </c>
      <c r="H139" t="str">
        <f t="shared" si="19"/>
        <v>John Mark &amp; Sarah McMillan</v>
      </c>
      <c r="I139" s="9">
        <v>68</v>
      </c>
      <c r="J139" s="9" t="s">
        <v>24</v>
      </c>
      <c r="K139" s="9">
        <v>7046145</v>
      </c>
      <c r="N139" t="s">
        <v>709</v>
      </c>
      <c r="O139" t="s">
        <v>642</v>
      </c>
      <c r="P139" s="2" t="s">
        <v>24</v>
      </c>
      <c r="Q139" s="2" t="s">
        <v>27</v>
      </c>
      <c r="R139" s="3">
        <v>68</v>
      </c>
      <c r="S139" s="4" t="s">
        <v>596</v>
      </c>
      <c r="T139" s="5">
        <v>7046145</v>
      </c>
      <c r="U139" s="3">
        <v>2015</v>
      </c>
      <c r="V139" s="7" t="s">
        <v>643</v>
      </c>
      <c r="W139" s="1" t="str">
        <f t="shared" si="27"/>
        <v>Yes</v>
      </c>
    </row>
    <row r="140" spans="1:23">
      <c r="A140">
        <v>13</v>
      </c>
      <c r="B140">
        <v>5</v>
      </c>
      <c r="C140" t="s">
        <v>580</v>
      </c>
      <c r="D140" t="s">
        <v>259</v>
      </c>
      <c r="E140" t="str">
        <f t="shared" si="24"/>
        <v>God I Look To You</v>
      </c>
      <c r="F140" t="str">
        <f t="shared" si="25"/>
        <v>God I Look To You</v>
      </c>
      <c r="G140" t="str">
        <f t="shared" si="18"/>
        <v/>
      </c>
      <c r="H140" t="str">
        <f t="shared" si="19"/>
        <v>Jenn Johnson</v>
      </c>
      <c r="I140" s="9">
        <v>68</v>
      </c>
      <c r="J140" s="9" t="s">
        <v>11</v>
      </c>
      <c r="K140" s="9">
        <v>5858163</v>
      </c>
    </row>
    <row r="141" spans="1:23">
      <c r="A141">
        <v>14</v>
      </c>
      <c r="B141">
        <v>1</v>
      </c>
      <c r="C141" t="s">
        <v>581</v>
      </c>
      <c r="D141" t="s">
        <v>171</v>
      </c>
      <c r="E141" t="str">
        <f t="shared" si="24"/>
        <v>Worthy of Your Name</v>
      </c>
      <c r="F141" t="str">
        <f t="shared" si="25"/>
        <v>Worthy of Your Name</v>
      </c>
      <c r="G141" t="str">
        <f t="shared" si="18"/>
        <v/>
      </c>
      <c r="H141" t="str">
        <f t="shared" si="19"/>
        <v>Passion</v>
      </c>
      <c r="I141" s="9">
        <v>81</v>
      </c>
      <c r="J141" s="9" t="s">
        <v>3</v>
      </c>
      <c r="K141" s="9">
        <v>7052927</v>
      </c>
    </row>
    <row r="142" spans="1:23">
      <c r="A142">
        <v>14</v>
      </c>
      <c r="B142">
        <v>2</v>
      </c>
      <c r="C142" t="s">
        <v>581</v>
      </c>
      <c r="D142" t="s">
        <v>169</v>
      </c>
      <c r="E142" t="str">
        <f t="shared" si="24"/>
        <v>Build My Life</v>
      </c>
      <c r="F142" t="str">
        <f t="shared" si="25"/>
        <v>Build My Life</v>
      </c>
      <c r="G142" t="str">
        <f t="shared" si="18"/>
        <v/>
      </c>
      <c r="H142" t="str">
        <f t="shared" si="19"/>
        <v>Housefires</v>
      </c>
      <c r="I142" s="9">
        <v>70</v>
      </c>
      <c r="J142" s="9" t="s">
        <v>0</v>
      </c>
      <c r="K142" s="9">
        <v>7070345</v>
      </c>
      <c r="N142" t="s">
        <v>709</v>
      </c>
      <c r="O142" t="s">
        <v>644</v>
      </c>
      <c r="P142" s="2" t="s">
        <v>0</v>
      </c>
      <c r="Q142" s="2" t="s">
        <v>0</v>
      </c>
      <c r="R142" s="3">
        <v>70</v>
      </c>
      <c r="S142" s="3" t="s">
        <v>596</v>
      </c>
      <c r="T142" s="5">
        <v>7070345</v>
      </c>
      <c r="U142" s="3">
        <v>2016</v>
      </c>
      <c r="V142" s="7" t="s">
        <v>645</v>
      </c>
      <c r="W142" s="1" t="str">
        <f>IF(K142=T142,"Yes","")</f>
        <v>Yes</v>
      </c>
    </row>
    <row r="143" spans="1:23">
      <c r="A143">
        <v>14</v>
      </c>
      <c r="B143">
        <v>3</v>
      </c>
      <c r="C143" t="s">
        <v>581</v>
      </c>
      <c r="D143" t="s">
        <v>170</v>
      </c>
      <c r="E143" t="str">
        <f t="shared" si="24"/>
        <v>Lamb of God</v>
      </c>
      <c r="F143" t="str">
        <f t="shared" si="25"/>
        <v>Lamb of God</v>
      </c>
      <c r="G143" t="str">
        <f t="shared" si="18"/>
        <v/>
      </c>
      <c r="H143" t="str">
        <f t="shared" si="19"/>
        <v>Vertical</v>
      </c>
      <c r="I143" s="9">
        <v>71</v>
      </c>
      <c r="J143" s="9" t="s">
        <v>6</v>
      </c>
      <c r="K143" s="9">
        <v>7032328</v>
      </c>
    </row>
    <row r="144" spans="1:23">
      <c r="A144">
        <v>14</v>
      </c>
      <c r="B144">
        <v>4</v>
      </c>
      <c r="C144" t="s">
        <v>581</v>
      </c>
      <c r="D144" t="s">
        <v>173</v>
      </c>
      <c r="E144" t="str">
        <f t="shared" si="24"/>
        <v>Here's My Heart</v>
      </c>
      <c r="F144" t="str">
        <f t="shared" si="25"/>
        <v>Here's My Heart</v>
      </c>
      <c r="G144" t="str">
        <f t="shared" si="18"/>
        <v/>
      </c>
      <c r="H144" t="str">
        <f t="shared" si="19"/>
        <v>Passion</v>
      </c>
      <c r="I144" s="9">
        <v>81</v>
      </c>
      <c r="J144" s="9" t="s">
        <v>6</v>
      </c>
      <c r="K144" s="9">
        <v>6517898</v>
      </c>
    </row>
    <row r="145" spans="1:23">
      <c r="A145">
        <v>14</v>
      </c>
      <c r="B145">
        <v>5</v>
      </c>
      <c r="C145" t="s">
        <v>581</v>
      </c>
      <c r="D145" t="s">
        <v>172</v>
      </c>
      <c r="E145" t="str">
        <f t="shared" si="24"/>
        <v>Death Was Arrested</v>
      </c>
      <c r="F145" t="str">
        <f t="shared" si="25"/>
        <v>Death Was Arrested</v>
      </c>
      <c r="G145" t="str">
        <f t="shared" si="18"/>
        <v/>
      </c>
      <c r="H145" t="str">
        <f t="shared" si="19"/>
        <v>North Point InsideOut</v>
      </c>
      <c r="I145" s="9">
        <v>78</v>
      </c>
      <c r="J145" s="9" t="s">
        <v>6</v>
      </c>
      <c r="K145" s="9">
        <v>7046448</v>
      </c>
    </row>
    <row r="146" spans="1:23">
      <c r="A146">
        <v>15</v>
      </c>
      <c r="B146">
        <v>1</v>
      </c>
      <c r="C146" t="s">
        <v>582</v>
      </c>
      <c r="D146" t="s">
        <v>143</v>
      </c>
      <c r="E146" t="str">
        <f t="shared" si="24"/>
        <v>Reckless Love</v>
      </c>
      <c r="F146" t="str">
        <f t="shared" si="25"/>
        <v>Reckless Love</v>
      </c>
      <c r="G146" t="str">
        <f t="shared" si="18"/>
        <v/>
      </c>
      <c r="H146" t="str">
        <f t="shared" si="19"/>
        <v>Cory Asbury</v>
      </c>
      <c r="I146" s="9">
        <v>81</v>
      </c>
      <c r="J146" s="9" t="s">
        <v>17</v>
      </c>
      <c r="K146" s="9">
        <v>7089641</v>
      </c>
      <c r="N146" t="s">
        <v>709</v>
      </c>
      <c r="O146" t="s">
        <v>646</v>
      </c>
      <c r="P146" s="2" t="s">
        <v>20</v>
      </c>
      <c r="Q146" s="2" t="s">
        <v>17</v>
      </c>
      <c r="R146" s="3">
        <v>56</v>
      </c>
      <c r="S146" s="4" t="s">
        <v>622</v>
      </c>
      <c r="T146" s="5">
        <v>7089641</v>
      </c>
      <c r="U146" s="3">
        <v>2017</v>
      </c>
      <c r="V146" s="7" t="s">
        <v>647</v>
      </c>
      <c r="W146" s="1" t="str">
        <f>IF(K146=T146,"Yes","")</f>
        <v>Yes</v>
      </c>
    </row>
    <row r="147" spans="1:23">
      <c r="A147">
        <v>15</v>
      </c>
      <c r="B147">
        <v>2</v>
      </c>
      <c r="C147" t="s">
        <v>582</v>
      </c>
      <c r="D147" t="s">
        <v>145</v>
      </c>
      <c r="E147" t="str">
        <f t="shared" si="24"/>
        <v>Your Love Awakens Me</v>
      </c>
      <c r="F147" t="str">
        <f t="shared" si="25"/>
        <v>Your Love Awakens Me</v>
      </c>
      <c r="G147" t="str">
        <f t="shared" si="18"/>
        <v/>
      </c>
      <c r="H147" t="str">
        <f t="shared" si="19"/>
        <v>Phil Wickham</v>
      </c>
      <c r="I147" s="9">
        <v>101</v>
      </c>
      <c r="J147" s="9" t="s">
        <v>6</v>
      </c>
      <c r="K147" s="9">
        <v>7054720</v>
      </c>
    </row>
    <row r="148" spans="1:23">
      <c r="A148">
        <v>15</v>
      </c>
      <c r="B148">
        <v>3</v>
      </c>
      <c r="C148" t="s">
        <v>582</v>
      </c>
      <c r="D148" t="s">
        <v>144</v>
      </c>
      <c r="E148" t="str">
        <f t="shared" si="24"/>
        <v>Christ Is Enough</v>
      </c>
      <c r="F148" t="str">
        <f t="shared" si="25"/>
        <v>Christ Is Enough</v>
      </c>
      <c r="G148" t="str">
        <f t="shared" si="18"/>
        <v/>
      </c>
      <c r="H148" t="str">
        <f t="shared" si="19"/>
        <v>Hillsong</v>
      </c>
      <c r="I148" s="9">
        <v>80</v>
      </c>
      <c r="J148" s="9" t="s">
        <v>6</v>
      </c>
      <c r="K148" s="9">
        <v>6514035</v>
      </c>
      <c r="N148" t="s">
        <v>709</v>
      </c>
      <c r="O148" t="s">
        <v>648</v>
      </c>
      <c r="P148" s="2" t="s">
        <v>6</v>
      </c>
      <c r="Q148" s="2" t="s">
        <v>6</v>
      </c>
      <c r="R148" s="3">
        <v>82</v>
      </c>
      <c r="S148" s="3" t="s">
        <v>596</v>
      </c>
      <c r="T148" s="5">
        <v>6514035</v>
      </c>
      <c r="U148" s="3">
        <v>2012</v>
      </c>
      <c r="V148" s="3" t="s">
        <v>649</v>
      </c>
      <c r="W148" s="1" t="str">
        <f t="shared" ref="W148:W150" si="28">IF(K148=T148,"Yes","")</f>
        <v>Yes</v>
      </c>
    </row>
    <row r="149" spans="1:23">
      <c r="A149">
        <v>15</v>
      </c>
      <c r="B149">
        <v>4</v>
      </c>
      <c r="C149" t="s">
        <v>582</v>
      </c>
      <c r="D149" t="s">
        <v>146</v>
      </c>
      <c r="E149" t="str">
        <f t="shared" si="24"/>
        <v>Tremble</v>
      </c>
      <c r="F149" t="str">
        <f t="shared" si="25"/>
        <v>Tremble</v>
      </c>
      <c r="G149" t="str">
        <f t="shared" si="18"/>
        <v/>
      </c>
      <c r="H149" t="str">
        <f t="shared" si="19"/>
        <v>Mosaic MSC</v>
      </c>
      <c r="I149" s="9">
        <v>74</v>
      </c>
      <c r="J149" s="9" t="s">
        <v>3</v>
      </c>
      <c r="K149" s="9">
        <v>7065049</v>
      </c>
      <c r="N149" t="s">
        <v>709</v>
      </c>
      <c r="O149" t="s">
        <v>650</v>
      </c>
      <c r="P149" s="2" t="s">
        <v>3</v>
      </c>
      <c r="Q149" s="2" t="s">
        <v>3</v>
      </c>
      <c r="R149" s="3">
        <v>74</v>
      </c>
      <c r="S149" s="4" t="s">
        <v>596</v>
      </c>
      <c r="T149" s="5">
        <v>7065049</v>
      </c>
      <c r="U149" s="3">
        <v>2016</v>
      </c>
      <c r="V149" s="7" t="s">
        <v>651</v>
      </c>
      <c r="W149" s="1" t="str">
        <f t="shared" si="28"/>
        <v>Yes</v>
      </c>
    </row>
    <row r="150" spans="1:23">
      <c r="A150">
        <v>15</v>
      </c>
      <c r="B150">
        <v>5</v>
      </c>
      <c r="C150" t="s">
        <v>582</v>
      </c>
      <c r="D150" t="s">
        <v>148</v>
      </c>
      <c r="E150" t="str">
        <f t="shared" si="24"/>
        <v>Resurrecting</v>
      </c>
      <c r="F150" t="str">
        <f t="shared" si="25"/>
        <v>Resurrecting</v>
      </c>
      <c r="G150" t="str">
        <f t="shared" si="18"/>
        <v/>
      </c>
      <c r="H150" t="str">
        <f t="shared" si="19"/>
        <v>Elevation</v>
      </c>
      <c r="I150" s="9">
        <v>75</v>
      </c>
      <c r="J150" s="9" t="s">
        <v>147</v>
      </c>
      <c r="K150" s="9">
        <v>7051507</v>
      </c>
      <c r="N150" t="s">
        <v>709</v>
      </c>
      <c r="O150" t="s">
        <v>621</v>
      </c>
      <c r="P150" s="2" t="s">
        <v>3</v>
      </c>
      <c r="Q150" s="2" t="s">
        <v>147</v>
      </c>
      <c r="R150" s="3">
        <v>74</v>
      </c>
      <c r="S150" s="4" t="s">
        <v>596</v>
      </c>
      <c r="T150" s="5">
        <v>7051507</v>
      </c>
      <c r="U150" s="3">
        <v>2015</v>
      </c>
      <c r="V150" s="7" t="s">
        <v>623</v>
      </c>
      <c r="W150" s="1" t="str">
        <f t="shared" si="28"/>
        <v>Yes</v>
      </c>
    </row>
    <row r="151" spans="1:23">
      <c r="A151">
        <v>16</v>
      </c>
      <c r="B151">
        <v>1</v>
      </c>
      <c r="C151" t="s">
        <v>583</v>
      </c>
      <c r="D151" t="s">
        <v>242</v>
      </c>
      <c r="E151" t="str">
        <f t="shared" si="24"/>
        <v>Life Defined</v>
      </c>
      <c r="F151" t="str">
        <f t="shared" si="25"/>
        <v>Life Defined</v>
      </c>
      <c r="G151" t="str">
        <f t="shared" ref="G151:G214" si="29">IF(ISNUMBER(SEARCH("(",E151)), LEFT(RIGHT(E151, LEN(E151) - FIND("(",E151)), LEN(RIGHT(E151, LEN(E151) - FIND("(",E151))) - 1), "")</f>
        <v/>
      </c>
      <c r="H151" t="str">
        <f t="shared" ref="H151:H214" si="30">IF(ISNUMBER(SEARCH(" by",D151)),RIGHT(D151, LEN(D151) - FIND(" by ",D151) - 3),"")</f>
        <v>Shane &amp; Shane</v>
      </c>
      <c r="I151" s="9">
        <v>76</v>
      </c>
      <c r="J151" s="9" t="s">
        <v>3</v>
      </c>
      <c r="K151" s="9">
        <v>7107554</v>
      </c>
    </row>
    <row r="152" spans="1:23">
      <c r="A152">
        <v>16</v>
      </c>
      <c r="B152">
        <v>2</v>
      </c>
      <c r="C152" t="s">
        <v>583</v>
      </c>
      <c r="D152" t="s">
        <v>241</v>
      </c>
      <c r="E152" t="str">
        <f t="shared" si="24"/>
        <v>Do It Again</v>
      </c>
      <c r="F152" t="str">
        <f t="shared" si="25"/>
        <v>Do It Again</v>
      </c>
      <c r="G152" t="str">
        <f t="shared" si="29"/>
        <v/>
      </c>
      <c r="H152" t="str">
        <f t="shared" si="30"/>
        <v>Elevation</v>
      </c>
      <c r="I152" s="9">
        <v>86</v>
      </c>
      <c r="J152" s="9" t="s">
        <v>27</v>
      </c>
      <c r="K152" s="9">
        <v>7067555</v>
      </c>
      <c r="N152" t="s">
        <v>709</v>
      </c>
      <c r="O152" t="s">
        <v>722</v>
      </c>
      <c r="P152" s="2" t="s">
        <v>24</v>
      </c>
      <c r="Q152" s="2" t="s">
        <v>27</v>
      </c>
      <c r="R152" s="3">
        <v>86</v>
      </c>
      <c r="S152" s="3" t="s">
        <v>596</v>
      </c>
      <c r="T152" s="5">
        <v>7067555</v>
      </c>
      <c r="U152" s="3">
        <v>2016</v>
      </c>
      <c r="V152" s="7" t="s">
        <v>723</v>
      </c>
      <c r="W152" s="1" t="str">
        <f t="shared" ref="W152:W154" si="31">IF(K152=T152,"Yes","")</f>
        <v>Yes</v>
      </c>
    </row>
    <row r="153" spans="1:23">
      <c r="A153">
        <v>16</v>
      </c>
      <c r="B153">
        <v>3</v>
      </c>
      <c r="C153" t="s">
        <v>583</v>
      </c>
      <c r="D153" t="s">
        <v>236</v>
      </c>
      <c r="E153" t="str">
        <f t="shared" si="24"/>
        <v>Living Hope</v>
      </c>
      <c r="F153" t="str">
        <f t="shared" si="25"/>
        <v>Living Hope</v>
      </c>
      <c r="G153" t="str">
        <f t="shared" si="29"/>
        <v/>
      </c>
      <c r="H153" t="str">
        <f t="shared" si="30"/>
        <v>Phil Wickham</v>
      </c>
      <c r="I153" s="9">
        <v>72</v>
      </c>
      <c r="J153" s="9" t="s">
        <v>31</v>
      </c>
      <c r="K153" s="9">
        <v>7106807</v>
      </c>
      <c r="N153" t="s">
        <v>709</v>
      </c>
      <c r="O153" t="s">
        <v>652</v>
      </c>
      <c r="P153" s="2" t="s">
        <v>29</v>
      </c>
      <c r="Q153" s="2" t="s">
        <v>31</v>
      </c>
      <c r="R153" s="3">
        <v>72</v>
      </c>
      <c r="S153" s="3" t="s">
        <v>596</v>
      </c>
      <c r="T153" s="5">
        <v>7106807</v>
      </c>
      <c r="U153" s="3">
        <v>2017</v>
      </c>
      <c r="V153" s="7" t="s">
        <v>653</v>
      </c>
      <c r="W153" s="1" t="str">
        <f t="shared" si="31"/>
        <v>Yes</v>
      </c>
    </row>
    <row r="154" spans="1:23">
      <c r="A154">
        <v>16</v>
      </c>
      <c r="B154">
        <v>4</v>
      </c>
      <c r="C154" t="s">
        <v>583</v>
      </c>
      <c r="D154" t="s">
        <v>238</v>
      </c>
      <c r="E154" t="str">
        <f t="shared" si="24"/>
        <v>Who You Say I Am</v>
      </c>
      <c r="F154" t="str">
        <f t="shared" si="25"/>
        <v>Who You Say I Am</v>
      </c>
      <c r="G154" t="str">
        <f t="shared" si="29"/>
        <v/>
      </c>
      <c r="H154" t="str">
        <f t="shared" si="30"/>
        <v>Hillsong</v>
      </c>
      <c r="I154" s="9">
        <v>86</v>
      </c>
      <c r="J154" s="9" t="s">
        <v>17</v>
      </c>
      <c r="K154" s="9">
        <v>7102401</v>
      </c>
      <c r="N154" t="s">
        <v>709</v>
      </c>
      <c r="O154" t="s">
        <v>608</v>
      </c>
      <c r="P154" s="2" t="s">
        <v>24</v>
      </c>
      <c r="Q154" s="2" t="s">
        <v>24</v>
      </c>
      <c r="R154" s="3">
        <v>58</v>
      </c>
      <c r="S154" s="4" t="s">
        <v>622</v>
      </c>
      <c r="T154" s="5">
        <v>7102401</v>
      </c>
      <c r="U154" s="3">
        <v>2017</v>
      </c>
      <c r="V154" s="3" t="s">
        <v>597</v>
      </c>
      <c r="W154" s="1" t="str">
        <f t="shared" si="31"/>
        <v>Yes</v>
      </c>
    </row>
    <row r="155" spans="1:23">
      <c r="A155">
        <v>16</v>
      </c>
      <c r="B155">
        <v>5</v>
      </c>
      <c r="C155" t="s">
        <v>583</v>
      </c>
      <c r="D155" t="s">
        <v>243</v>
      </c>
      <c r="E155" t="str">
        <f t="shared" si="24"/>
        <v>This We Know</v>
      </c>
      <c r="F155" t="str">
        <f t="shared" si="25"/>
        <v>This We Know</v>
      </c>
      <c r="G155" t="str">
        <f t="shared" si="29"/>
        <v/>
      </c>
      <c r="H155" t="str">
        <f t="shared" si="30"/>
        <v>Passion</v>
      </c>
      <c r="I155" s="9">
        <v>75</v>
      </c>
      <c r="J155" s="9" t="s">
        <v>6</v>
      </c>
      <c r="K155" s="9">
        <v>7060709</v>
      </c>
    </row>
    <row r="156" spans="1:23">
      <c r="A156">
        <v>16</v>
      </c>
      <c r="B156">
        <v>6</v>
      </c>
      <c r="C156" t="s">
        <v>583</v>
      </c>
      <c r="D156" t="s">
        <v>244</v>
      </c>
      <c r="E156" t="str">
        <f t="shared" si="24"/>
        <v>Behold (Then Sings My Soul)</v>
      </c>
      <c r="F156" t="str">
        <f t="shared" si="25"/>
        <v>Behold</v>
      </c>
      <c r="G156" t="str">
        <f t="shared" si="29"/>
        <v>Then Sings My Soul</v>
      </c>
      <c r="H156" t="str">
        <f t="shared" si="30"/>
        <v>Hillsong Worship</v>
      </c>
      <c r="I156" s="9">
        <v>74</v>
      </c>
      <c r="J156" s="9" t="s">
        <v>6</v>
      </c>
      <c r="K156" s="9">
        <v>7068430</v>
      </c>
    </row>
    <row r="157" spans="1:23">
      <c r="A157">
        <v>16</v>
      </c>
      <c r="B157">
        <v>7</v>
      </c>
      <c r="C157" t="s">
        <v>583</v>
      </c>
      <c r="D157" t="s">
        <v>240</v>
      </c>
      <c r="E157" t="str">
        <f t="shared" si="24"/>
        <v>So Will I (100 Billion X)</v>
      </c>
      <c r="F157" t="str">
        <f t="shared" si="25"/>
        <v>So Will I</v>
      </c>
      <c r="G157" t="str">
        <f t="shared" si="29"/>
        <v>100 Billion X</v>
      </c>
      <c r="H157" t="str">
        <f t="shared" si="30"/>
        <v>Hillsong Worship</v>
      </c>
      <c r="I157" s="9">
        <v>64</v>
      </c>
      <c r="J157" s="9" t="s">
        <v>24</v>
      </c>
      <c r="K157" s="9">
        <v>7084123</v>
      </c>
      <c r="N157" t="s">
        <v>709</v>
      </c>
      <c r="O157" t="s">
        <v>654</v>
      </c>
      <c r="P157" s="2" t="s">
        <v>24</v>
      </c>
      <c r="Q157" s="2" t="s">
        <v>24</v>
      </c>
      <c r="R157" s="3">
        <v>64</v>
      </c>
      <c r="S157" s="4" t="s">
        <v>655</v>
      </c>
      <c r="T157" s="5">
        <v>7084123</v>
      </c>
      <c r="U157" s="3">
        <v>2017</v>
      </c>
      <c r="V157" s="3" t="s">
        <v>597</v>
      </c>
      <c r="W157" s="1" t="str">
        <f>IF(K157=T157,"Yes","")</f>
        <v>Yes</v>
      </c>
    </row>
    <row r="158" spans="1:23">
      <c r="A158">
        <v>16</v>
      </c>
      <c r="B158">
        <v>8</v>
      </c>
      <c r="C158" t="s">
        <v>583</v>
      </c>
      <c r="D158" t="s">
        <v>245</v>
      </c>
      <c r="E158" t="str">
        <f t="shared" si="24"/>
        <v>Let It Be Jesus</v>
      </c>
      <c r="F158" t="str">
        <f t="shared" si="25"/>
        <v>Let It Be Jesus</v>
      </c>
      <c r="G158" t="str">
        <f t="shared" si="29"/>
        <v/>
      </c>
      <c r="H158" t="str">
        <f t="shared" si="30"/>
        <v>Passion</v>
      </c>
      <c r="I158" s="9">
        <v>71</v>
      </c>
      <c r="J158" s="9" t="s">
        <v>61</v>
      </c>
      <c r="K158" s="9">
        <v>7017785</v>
      </c>
    </row>
    <row r="159" spans="1:23">
      <c r="A159">
        <v>16</v>
      </c>
      <c r="B159">
        <v>9</v>
      </c>
      <c r="C159" t="s">
        <v>583</v>
      </c>
      <c r="D159" t="s">
        <v>237</v>
      </c>
      <c r="E159" t="str">
        <f t="shared" si="24"/>
        <v>Look To The Son</v>
      </c>
      <c r="F159" t="str">
        <f t="shared" si="25"/>
        <v>Look To The Son</v>
      </c>
      <c r="G159" t="str">
        <f t="shared" si="29"/>
        <v/>
      </c>
      <c r="H159" t="str">
        <f t="shared" si="30"/>
        <v>Hillsong</v>
      </c>
      <c r="I159" s="9">
        <v>122</v>
      </c>
      <c r="J159" s="9" t="s">
        <v>3</v>
      </c>
      <c r="K159" s="9">
        <v>7068422</v>
      </c>
    </row>
    <row r="160" spans="1:23">
      <c r="A160">
        <v>16</v>
      </c>
      <c r="B160">
        <v>10</v>
      </c>
      <c r="C160" t="s">
        <v>583</v>
      </c>
      <c r="D160" t="s">
        <v>239</v>
      </c>
      <c r="E160" t="str">
        <f t="shared" si="24"/>
        <v>Chain Breaker</v>
      </c>
      <c r="F160" t="str">
        <f t="shared" si="25"/>
        <v>Chain Breaker</v>
      </c>
      <c r="G160" t="str">
        <f t="shared" si="29"/>
        <v/>
      </c>
      <c r="H160" t="str">
        <f t="shared" si="30"/>
        <v>Zach Williams</v>
      </c>
      <c r="I160" s="9">
        <v>78</v>
      </c>
      <c r="J160" s="9" t="s">
        <v>3</v>
      </c>
      <c r="K160" s="9">
        <v>7060031</v>
      </c>
    </row>
    <row r="161" spans="1:23">
      <c r="A161">
        <v>17</v>
      </c>
      <c r="B161">
        <v>1</v>
      </c>
      <c r="C161" t="s">
        <v>584</v>
      </c>
      <c r="D161" t="s">
        <v>217</v>
      </c>
      <c r="E161" t="str">
        <f t="shared" si="24"/>
        <v>Goodness of God</v>
      </c>
      <c r="F161" t="str">
        <f t="shared" si="25"/>
        <v>Goodness of God</v>
      </c>
      <c r="G161" t="str">
        <f t="shared" si="29"/>
        <v/>
      </c>
      <c r="H161" t="str">
        <f t="shared" si="30"/>
        <v>Jenn Johnson</v>
      </c>
      <c r="I161" s="9">
        <v>63</v>
      </c>
      <c r="J161" s="9" t="s">
        <v>61</v>
      </c>
      <c r="K161" s="9">
        <v>7117726</v>
      </c>
    </row>
    <row r="162" spans="1:23">
      <c r="A162">
        <v>17</v>
      </c>
      <c r="B162">
        <v>2</v>
      </c>
      <c r="C162" t="s">
        <v>584</v>
      </c>
      <c r="D162" t="s">
        <v>222</v>
      </c>
      <c r="E162" t="str">
        <f t="shared" si="24"/>
        <v>Touch the Sky</v>
      </c>
      <c r="F162" t="str">
        <f t="shared" si="25"/>
        <v>Touch the Sky</v>
      </c>
      <c r="G162" t="str">
        <f t="shared" si="29"/>
        <v/>
      </c>
      <c r="H162" t="str">
        <f t="shared" si="30"/>
        <v>Hillsong Young &amp; Free</v>
      </c>
      <c r="I162" s="9">
        <v>90.5</v>
      </c>
      <c r="J162" s="9" t="s">
        <v>61</v>
      </c>
      <c r="K162" s="9">
        <v>7033417</v>
      </c>
    </row>
    <row r="163" spans="1:23">
      <c r="A163">
        <v>17</v>
      </c>
      <c r="B163">
        <v>3</v>
      </c>
      <c r="C163" t="s">
        <v>584</v>
      </c>
      <c r="D163" t="s">
        <v>214</v>
      </c>
      <c r="E163" t="str">
        <f t="shared" si="24"/>
        <v>Lean Back</v>
      </c>
      <c r="F163" t="str">
        <f t="shared" si="25"/>
        <v>Lean Back</v>
      </c>
      <c r="G163" t="str">
        <f t="shared" si="29"/>
        <v/>
      </c>
      <c r="H163" t="str">
        <f t="shared" si="30"/>
        <v>Capital City Worship</v>
      </c>
      <c r="I163" s="9">
        <v>67</v>
      </c>
      <c r="J163" s="9" t="s">
        <v>20</v>
      </c>
      <c r="K163" s="9">
        <v>7104907</v>
      </c>
    </row>
    <row r="164" spans="1:23">
      <c r="A164">
        <v>17</v>
      </c>
      <c r="B164">
        <v>4</v>
      </c>
      <c r="C164" t="s">
        <v>584</v>
      </c>
      <c r="D164" t="s">
        <v>225</v>
      </c>
      <c r="E164" t="str">
        <f t="shared" si="24"/>
        <v>Give Us Your Heart</v>
      </c>
      <c r="F164" t="str">
        <f t="shared" si="25"/>
        <v>Give Us Your Heart</v>
      </c>
      <c r="G164" t="str">
        <f t="shared" si="29"/>
        <v/>
      </c>
      <c r="H164" t="str">
        <f t="shared" si="30"/>
        <v>Melanie Tierce-Slay</v>
      </c>
      <c r="I164" s="9">
        <v>74</v>
      </c>
      <c r="J164" s="9" t="s">
        <v>20</v>
      </c>
      <c r="K164" s="9">
        <v>7080403</v>
      </c>
    </row>
    <row r="165" spans="1:23">
      <c r="A165">
        <v>17</v>
      </c>
      <c r="B165">
        <v>5</v>
      </c>
      <c r="C165" t="s">
        <v>584</v>
      </c>
      <c r="D165" t="s">
        <v>219</v>
      </c>
      <c r="E165" t="str">
        <f t="shared" si="24"/>
        <v>Isn't He</v>
      </c>
      <c r="F165" t="str">
        <f t="shared" si="25"/>
        <v>Isn't He</v>
      </c>
      <c r="G165" t="str">
        <f t="shared" si="29"/>
        <v/>
      </c>
      <c r="H165" t="str">
        <f t="shared" si="30"/>
        <v>The Belonging Co.</v>
      </c>
      <c r="I165" s="9">
        <v>70</v>
      </c>
      <c r="J165" s="9" t="s">
        <v>20</v>
      </c>
      <c r="K165" s="9">
        <v>7100876</v>
      </c>
    </row>
    <row r="166" spans="1:23">
      <c r="A166">
        <v>17</v>
      </c>
      <c r="B166">
        <v>6</v>
      </c>
      <c r="C166" t="s">
        <v>584</v>
      </c>
      <c r="D166" t="s">
        <v>220</v>
      </c>
      <c r="E166" t="str">
        <f t="shared" si="24"/>
        <v>It Is Well</v>
      </c>
      <c r="F166" t="str">
        <f t="shared" si="25"/>
        <v>It Is Well</v>
      </c>
      <c r="G166" t="str">
        <f t="shared" si="29"/>
        <v/>
      </c>
      <c r="H166" t="str">
        <f t="shared" si="30"/>
        <v>Kristene DiMarco</v>
      </c>
      <c r="I166" s="9">
        <v>65</v>
      </c>
      <c r="J166" s="9" t="s">
        <v>20</v>
      </c>
      <c r="K166" s="9">
        <v>7021972</v>
      </c>
      <c r="N166" t="s">
        <v>709</v>
      </c>
      <c r="O166" t="s">
        <v>656</v>
      </c>
      <c r="P166" s="2" t="s">
        <v>0</v>
      </c>
      <c r="Q166" s="2" t="s">
        <v>0</v>
      </c>
      <c r="R166" s="3">
        <v>65</v>
      </c>
      <c r="S166" s="3" t="s">
        <v>657</v>
      </c>
      <c r="T166" s="5">
        <v>7021972</v>
      </c>
      <c r="U166" s="3">
        <v>2013</v>
      </c>
      <c r="V166" s="3" t="s">
        <v>625</v>
      </c>
      <c r="W166" s="1" t="str">
        <f>IF(K166=T166,"Yes","")</f>
        <v>Yes</v>
      </c>
    </row>
    <row r="167" spans="1:23">
      <c r="A167">
        <v>17</v>
      </c>
      <c r="B167">
        <v>7</v>
      </c>
      <c r="C167" t="s">
        <v>584</v>
      </c>
      <c r="D167" t="s">
        <v>224</v>
      </c>
      <c r="E167" t="str">
        <f t="shared" si="24"/>
        <v>Jesus is Better</v>
      </c>
      <c r="F167" t="str">
        <f t="shared" si="25"/>
        <v>Jesus is Better</v>
      </c>
      <c r="G167" t="str">
        <f t="shared" si="29"/>
        <v/>
      </c>
      <c r="H167" t="str">
        <f t="shared" si="30"/>
        <v>Austin Stone Worship</v>
      </c>
      <c r="I167" s="9">
        <v>71</v>
      </c>
      <c r="J167" s="9" t="s">
        <v>20</v>
      </c>
      <c r="K167" s="9">
        <v>7006188</v>
      </c>
    </row>
    <row r="168" spans="1:23">
      <c r="A168">
        <v>17</v>
      </c>
      <c r="B168">
        <v>8</v>
      </c>
      <c r="C168" t="s">
        <v>584</v>
      </c>
      <c r="D168" t="s">
        <v>215</v>
      </c>
      <c r="E168" t="str">
        <f t="shared" si="24"/>
        <v>New Wine</v>
      </c>
      <c r="F168" t="str">
        <f t="shared" si="25"/>
        <v>New Wine</v>
      </c>
      <c r="G168" t="str">
        <f t="shared" si="29"/>
        <v/>
      </c>
      <c r="H168" t="str">
        <f t="shared" si="30"/>
        <v>Hillsong</v>
      </c>
      <c r="I168" s="9">
        <v>70</v>
      </c>
      <c r="J168" s="9" t="s">
        <v>3</v>
      </c>
      <c r="K168" s="9">
        <v>7102397</v>
      </c>
      <c r="N168" t="s">
        <v>709</v>
      </c>
      <c r="O168" t="s">
        <v>658</v>
      </c>
      <c r="P168" s="2" t="s">
        <v>24</v>
      </c>
      <c r="Q168" s="2" t="s">
        <v>27</v>
      </c>
      <c r="R168" s="3">
        <v>77</v>
      </c>
      <c r="S168" s="4" t="s">
        <v>596</v>
      </c>
      <c r="T168" s="5">
        <v>7102397</v>
      </c>
      <c r="U168" s="3">
        <v>2017</v>
      </c>
      <c r="V168" s="3" t="s">
        <v>597</v>
      </c>
      <c r="W168" s="1" t="str">
        <f>IF(K168=T168,"Yes","")</f>
        <v>Yes</v>
      </c>
    </row>
    <row r="169" spans="1:23">
      <c r="A169">
        <v>17</v>
      </c>
      <c r="B169">
        <v>9</v>
      </c>
      <c r="C169" t="s">
        <v>584</v>
      </c>
      <c r="D169" t="s">
        <v>218</v>
      </c>
      <c r="E169" t="str">
        <f t="shared" si="24"/>
        <v>I Shall Not Want</v>
      </c>
      <c r="F169" t="str">
        <f t="shared" si="25"/>
        <v>I Shall Not Want</v>
      </c>
      <c r="G169" t="str">
        <f t="shared" si="29"/>
        <v/>
      </c>
      <c r="H169" t="str">
        <f t="shared" si="30"/>
        <v>Audrey Assad</v>
      </c>
      <c r="I169" s="9">
        <v>58</v>
      </c>
      <c r="J169" s="9" t="s">
        <v>3</v>
      </c>
      <c r="K169" s="9">
        <v>7004369</v>
      </c>
    </row>
    <row r="170" spans="1:23">
      <c r="A170">
        <v>17</v>
      </c>
      <c r="B170">
        <v>10</v>
      </c>
      <c r="C170" t="s">
        <v>584</v>
      </c>
      <c r="D170" t="s">
        <v>223</v>
      </c>
      <c r="E170" t="str">
        <f t="shared" si="24"/>
        <v>Holy Ground</v>
      </c>
      <c r="F170" t="str">
        <f t="shared" si="25"/>
        <v>Holy Ground</v>
      </c>
      <c r="G170" t="str">
        <f t="shared" si="29"/>
        <v/>
      </c>
      <c r="H170" t="str">
        <f t="shared" si="30"/>
        <v>Passion</v>
      </c>
      <c r="I170" s="9">
        <v>72</v>
      </c>
      <c r="J170" s="9" t="s">
        <v>29</v>
      </c>
      <c r="K170" s="9">
        <v>7078152</v>
      </c>
    </row>
    <row r="171" spans="1:23">
      <c r="A171">
        <v>17</v>
      </c>
      <c r="B171">
        <v>11</v>
      </c>
      <c r="C171" t="s">
        <v>584</v>
      </c>
      <c r="D171" t="s">
        <v>221</v>
      </c>
      <c r="E171" t="str">
        <f t="shared" si="24"/>
        <v>Defender</v>
      </c>
      <c r="F171" t="str">
        <f t="shared" si="25"/>
        <v>Defender</v>
      </c>
      <c r="G171" t="str">
        <f t="shared" si="29"/>
        <v/>
      </c>
      <c r="H171" t="str">
        <f t="shared" si="30"/>
        <v>Rita Springer</v>
      </c>
      <c r="I171" s="9">
        <v>70</v>
      </c>
      <c r="J171" s="9" t="s">
        <v>11</v>
      </c>
      <c r="K171" s="9">
        <v>7081764</v>
      </c>
    </row>
    <row r="172" spans="1:23">
      <c r="A172">
        <v>17</v>
      </c>
      <c r="B172">
        <v>12</v>
      </c>
      <c r="C172" t="s">
        <v>584</v>
      </c>
      <c r="D172" t="s">
        <v>216</v>
      </c>
      <c r="E172" t="str">
        <f t="shared" si="24"/>
        <v>Broken Vessels</v>
      </c>
      <c r="F172" t="str">
        <f t="shared" si="25"/>
        <v>Broken Vessels</v>
      </c>
      <c r="G172" t="str">
        <f t="shared" si="29"/>
        <v/>
      </c>
      <c r="H172" t="str">
        <f t="shared" si="30"/>
        <v>Hillsong</v>
      </c>
      <c r="I172" s="9">
        <v>70.5</v>
      </c>
      <c r="J172" s="9" t="s">
        <v>11</v>
      </c>
      <c r="K172" s="9">
        <v>7019974</v>
      </c>
      <c r="N172" t="s">
        <v>709</v>
      </c>
      <c r="O172" t="s">
        <v>659</v>
      </c>
      <c r="P172" s="2" t="s">
        <v>0</v>
      </c>
      <c r="Q172" s="2" t="s">
        <v>0</v>
      </c>
      <c r="R172" s="3">
        <v>70</v>
      </c>
      <c r="S172" s="3" t="s">
        <v>596</v>
      </c>
      <c r="T172" s="5">
        <v>7019974</v>
      </c>
      <c r="U172" s="3">
        <v>2014</v>
      </c>
      <c r="V172" s="7" t="s">
        <v>597</v>
      </c>
      <c r="W172" s="1" t="str">
        <f>IF(K172=T172,"Yes","")</f>
        <v>Yes</v>
      </c>
    </row>
    <row r="173" spans="1:23">
      <c r="A173">
        <v>18</v>
      </c>
      <c r="B173">
        <v>1</v>
      </c>
      <c r="C173" t="s">
        <v>585</v>
      </c>
      <c r="D173" t="s">
        <v>122</v>
      </c>
      <c r="E173" t="str">
        <f t="shared" si="24"/>
        <v>All Hail King Jesus</v>
      </c>
      <c r="F173" t="str">
        <f t="shared" si="25"/>
        <v>All Hail King Jesus</v>
      </c>
      <c r="G173" t="str">
        <f t="shared" si="29"/>
        <v/>
      </c>
      <c r="H173" t="str">
        <f t="shared" si="30"/>
        <v>Jeremy Riddle</v>
      </c>
      <c r="I173" s="9">
        <v>74</v>
      </c>
      <c r="J173" s="9" t="s">
        <v>3</v>
      </c>
      <c r="K173" s="9">
        <v>7097216</v>
      </c>
    </row>
    <row r="174" spans="1:23">
      <c r="A174">
        <v>18</v>
      </c>
      <c r="B174">
        <v>2</v>
      </c>
      <c r="C174" t="s">
        <v>585</v>
      </c>
      <c r="D174" t="s">
        <v>124</v>
      </c>
      <c r="E174" t="str">
        <f t="shared" si="24"/>
        <v>Yet Not I But Through Christ in Me</v>
      </c>
      <c r="F174" t="str">
        <f t="shared" si="25"/>
        <v>Yet Not I But Through Christ in Me</v>
      </c>
      <c r="G174" t="str">
        <f t="shared" si="29"/>
        <v/>
      </c>
      <c r="H174" t="str">
        <f t="shared" si="30"/>
        <v>CityAlight</v>
      </c>
      <c r="I174" s="9">
        <v>73</v>
      </c>
      <c r="J174" s="9" t="s">
        <v>6</v>
      </c>
      <c r="K174" s="9">
        <v>7121852</v>
      </c>
      <c r="N174" t="s">
        <v>709</v>
      </c>
      <c r="O174" t="s">
        <v>660</v>
      </c>
      <c r="P174" s="2" t="s">
        <v>3</v>
      </c>
      <c r="Q174" s="2" t="s">
        <v>3</v>
      </c>
      <c r="R174" s="3">
        <v>75</v>
      </c>
      <c r="S174" s="4" t="s">
        <v>596</v>
      </c>
      <c r="T174" s="5">
        <v>7121852</v>
      </c>
      <c r="U174" s="3">
        <v>2018</v>
      </c>
      <c r="V174" s="7" t="s">
        <v>661</v>
      </c>
      <c r="W174" s="1" t="str">
        <f>IF(K174=T174,"Yes","")</f>
        <v>Yes</v>
      </c>
    </row>
    <row r="175" spans="1:23">
      <c r="A175">
        <v>18</v>
      </c>
      <c r="B175">
        <v>3</v>
      </c>
      <c r="C175" t="s">
        <v>585</v>
      </c>
      <c r="D175" t="s">
        <v>125</v>
      </c>
      <c r="E175" t="str">
        <f t="shared" si="24"/>
        <v>How Great is Your Love</v>
      </c>
      <c r="F175" t="str">
        <f t="shared" si="25"/>
        <v>How Great is Your Love</v>
      </c>
      <c r="G175" t="str">
        <f t="shared" si="29"/>
        <v/>
      </c>
      <c r="H175" t="str">
        <f t="shared" si="30"/>
        <v>Phil Wickham</v>
      </c>
      <c r="I175" s="9">
        <v>74</v>
      </c>
      <c r="J175" s="9" t="s">
        <v>3</v>
      </c>
      <c r="K175" s="9">
        <v>7076958</v>
      </c>
    </row>
    <row r="176" spans="1:23">
      <c r="A176">
        <v>18</v>
      </c>
      <c r="B176">
        <v>4</v>
      </c>
      <c r="C176" t="s">
        <v>585</v>
      </c>
      <c r="D176" t="s">
        <v>123</v>
      </c>
      <c r="E176" t="str">
        <f t="shared" si="24"/>
        <v>King of Kings</v>
      </c>
      <c r="F176" t="str">
        <f t="shared" si="25"/>
        <v>King of Kings</v>
      </c>
      <c r="G176" t="str">
        <f t="shared" si="29"/>
        <v/>
      </c>
      <c r="H176" t="str">
        <f t="shared" si="30"/>
        <v>Hillsong Worship</v>
      </c>
      <c r="I176" s="9">
        <v>68</v>
      </c>
      <c r="J176" s="9" t="s">
        <v>3</v>
      </c>
      <c r="K176" s="9">
        <v>7127647</v>
      </c>
      <c r="N176" t="s">
        <v>709</v>
      </c>
      <c r="O176" t="s">
        <v>662</v>
      </c>
      <c r="P176" s="2" t="s">
        <v>29</v>
      </c>
      <c r="Q176" s="2" t="s">
        <v>29</v>
      </c>
      <c r="R176" s="3">
        <v>68</v>
      </c>
      <c r="S176" s="4" t="s">
        <v>596</v>
      </c>
      <c r="T176" s="5">
        <v>7127647</v>
      </c>
      <c r="U176" s="3">
        <v>2019</v>
      </c>
      <c r="V176" s="7" t="s">
        <v>597</v>
      </c>
      <c r="W176" s="1" t="str">
        <f>IF(K176=T176,"Yes","")</f>
        <v>Yes</v>
      </c>
    </row>
    <row r="177" spans="1:23">
      <c r="A177">
        <v>18</v>
      </c>
      <c r="B177">
        <v>5</v>
      </c>
      <c r="C177" t="s">
        <v>585</v>
      </c>
      <c r="D177" t="s">
        <v>130</v>
      </c>
      <c r="E177" t="str">
        <f t="shared" si="24"/>
        <v>Jesus You Alone</v>
      </c>
      <c r="F177" t="str">
        <f t="shared" si="25"/>
        <v>Jesus You Alone</v>
      </c>
      <c r="G177" t="str">
        <f t="shared" si="29"/>
        <v/>
      </c>
      <c r="H177" t="str">
        <f t="shared" si="30"/>
        <v>Highlands Worship</v>
      </c>
      <c r="I177" s="9">
        <v>80</v>
      </c>
      <c r="J177" s="9" t="s">
        <v>20</v>
      </c>
      <c r="K177" s="9">
        <v>7120418</v>
      </c>
    </row>
    <row r="178" spans="1:23">
      <c r="A178">
        <v>18</v>
      </c>
      <c r="B178">
        <v>6</v>
      </c>
      <c r="C178" t="s">
        <v>585</v>
      </c>
      <c r="D178" t="s">
        <v>126</v>
      </c>
      <c r="E178" t="str">
        <f t="shared" si="24"/>
        <v>Stand in Your Love</v>
      </c>
      <c r="F178" t="str">
        <f t="shared" si="25"/>
        <v>Stand in Your Love</v>
      </c>
      <c r="G178" t="str">
        <f t="shared" si="29"/>
        <v/>
      </c>
      <c r="H178" t="str">
        <f t="shared" si="30"/>
        <v>Josh Baldwin</v>
      </c>
      <c r="I178" s="9">
        <v>72</v>
      </c>
      <c r="J178" s="9" t="s">
        <v>6</v>
      </c>
      <c r="K178" s="9">
        <v>7107821</v>
      </c>
    </row>
    <row r="179" spans="1:23">
      <c r="A179">
        <v>18</v>
      </c>
      <c r="B179">
        <v>7</v>
      </c>
      <c r="C179" t="s">
        <v>585</v>
      </c>
      <c r="D179" t="s">
        <v>129</v>
      </c>
      <c r="E179" t="str">
        <f t="shared" si="24"/>
        <v>The Way (New Horizon)</v>
      </c>
      <c r="F179" t="str">
        <f t="shared" si="25"/>
        <v>The Way</v>
      </c>
      <c r="G179" t="str">
        <f t="shared" si="29"/>
        <v>New Horizon</v>
      </c>
      <c r="H179" t="str">
        <f t="shared" si="30"/>
        <v>Pat Barrett</v>
      </c>
      <c r="I179" s="9">
        <v>80</v>
      </c>
      <c r="J179" s="9" t="s">
        <v>27</v>
      </c>
      <c r="K179" s="9">
        <v>7089024</v>
      </c>
    </row>
    <row r="180" spans="1:23">
      <c r="A180">
        <v>18</v>
      </c>
      <c r="B180">
        <v>8</v>
      </c>
      <c r="C180" t="s">
        <v>585</v>
      </c>
      <c r="D180" t="s">
        <v>128</v>
      </c>
      <c r="E180" t="str">
        <f t="shared" si="24"/>
        <v>Yes I Will</v>
      </c>
      <c r="F180" t="str">
        <f t="shared" si="25"/>
        <v>Yes I Will</v>
      </c>
      <c r="G180" t="str">
        <f t="shared" si="29"/>
        <v/>
      </c>
      <c r="H180" t="str">
        <f t="shared" si="30"/>
        <v>Vertical Worship</v>
      </c>
      <c r="I180" s="9">
        <v>75</v>
      </c>
      <c r="J180" s="9" t="s">
        <v>3</v>
      </c>
      <c r="K180" s="9">
        <v>7105442</v>
      </c>
    </row>
    <row r="181" spans="1:23">
      <c r="A181">
        <v>18</v>
      </c>
      <c r="B181">
        <v>9</v>
      </c>
      <c r="C181" t="s">
        <v>585</v>
      </c>
      <c r="D181" t="s">
        <v>127</v>
      </c>
      <c r="E181" t="str">
        <f t="shared" si="24"/>
        <v>Hallelujah For The Cross</v>
      </c>
      <c r="F181" t="str">
        <f t="shared" si="25"/>
        <v>Hallelujah For The Cross</v>
      </c>
      <c r="G181" t="str">
        <f t="shared" si="29"/>
        <v/>
      </c>
      <c r="H181" t="str">
        <f t="shared" si="30"/>
        <v>Chris McClarney</v>
      </c>
      <c r="I181" s="9">
        <v>75</v>
      </c>
      <c r="J181" s="9" t="s">
        <v>3</v>
      </c>
      <c r="K181" s="9">
        <v>7107551</v>
      </c>
      <c r="N181" t="s">
        <v>709</v>
      </c>
      <c r="O181" t="s">
        <v>663</v>
      </c>
      <c r="P181" s="2" t="s">
        <v>29</v>
      </c>
      <c r="Q181" s="2" t="s">
        <v>29</v>
      </c>
      <c r="R181" s="3">
        <v>75</v>
      </c>
      <c r="S181" s="3" t="s">
        <v>596</v>
      </c>
      <c r="T181" s="5">
        <v>7107551</v>
      </c>
      <c r="U181" s="3">
        <v>2018</v>
      </c>
      <c r="V181" s="7" t="s">
        <v>664</v>
      </c>
      <c r="W181" s="1" t="str">
        <f>IF(K181=T181,"Yes","")</f>
        <v>Yes</v>
      </c>
    </row>
    <row r="182" spans="1:23">
      <c r="A182">
        <v>18</v>
      </c>
      <c r="B182">
        <v>10</v>
      </c>
      <c r="C182" t="s">
        <v>585</v>
      </c>
      <c r="D182" t="s">
        <v>131</v>
      </c>
      <c r="E182" t="str">
        <f t="shared" si="24"/>
        <v>Great Things</v>
      </c>
      <c r="F182" t="str">
        <f t="shared" si="25"/>
        <v>Great Things</v>
      </c>
      <c r="G182" t="str">
        <f t="shared" si="29"/>
        <v/>
      </c>
      <c r="H182" t="str">
        <f t="shared" si="30"/>
        <v>Phil Wickham</v>
      </c>
      <c r="I182" s="9">
        <v>102</v>
      </c>
      <c r="J182" s="9" t="s">
        <v>6</v>
      </c>
      <c r="K182" s="9">
        <v>7076958</v>
      </c>
    </row>
    <row r="183" spans="1:23">
      <c r="A183">
        <v>19</v>
      </c>
      <c r="B183">
        <v>1</v>
      </c>
      <c r="C183" t="s">
        <v>586</v>
      </c>
      <c r="D183" t="s">
        <v>185</v>
      </c>
      <c r="E183" t="str">
        <f t="shared" si="24"/>
        <v>Another In the Fire</v>
      </c>
      <c r="F183" t="str">
        <f t="shared" si="25"/>
        <v>Another In the Fire</v>
      </c>
      <c r="G183" t="str">
        <f t="shared" si="29"/>
        <v/>
      </c>
      <c r="H183" t="str">
        <f t="shared" si="30"/>
        <v>Hillsong United</v>
      </c>
      <c r="I183" s="9">
        <v>67</v>
      </c>
      <c r="J183" s="9" t="s">
        <v>3</v>
      </c>
      <c r="K183" s="9">
        <v>7124907</v>
      </c>
      <c r="N183" t="s">
        <v>709</v>
      </c>
      <c r="O183" t="s">
        <v>665</v>
      </c>
      <c r="P183" s="2" t="s">
        <v>3</v>
      </c>
      <c r="Q183" s="2" t="s">
        <v>3</v>
      </c>
      <c r="R183" s="3">
        <v>67</v>
      </c>
      <c r="S183" s="4" t="s">
        <v>596</v>
      </c>
      <c r="T183" s="5">
        <v>7124907</v>
      </c>
      <c r="U183" s="3">
        <v>2018</v>
      </c>
      <c r="V183" s="7" t="s">
        <v>597</v>
      </c>
      <c r="W183" s="1" t="str">
        <f>IF(K183=T183,"Yes","")</f>
        <v>Yes</v>
      </c>
    </row>
    <row r="184" spans="1:23">
      <c r="A184">
        <v>19</v>
      </c>
      <c r="B184">
        <v>2</v>
      </c>
      <c r="C184" t="s">
        <v>586</v>
      </c>
      <c r="D184" t="s">
        <v>184</v>
      </c>
      <c r="E184" t="str">
        <f t="shared" si="24"/>
        <v>Alabaster Heart</v>
      </c>
      <c r="F184" t="str">
        <f t="shared" si="25"/>
        <v>Alabaster Heart</v>
      </c>
      <c r="G184" t="str">
        <f t="shared" si="29"/>
        <v/>
      </c>
      <c r="H184" t="str">
        <f t="shared" si="30"/>
        <v>Kalley</v>
      </c>
      <c r="I184" s="9">
        <v>69</v>
      </c>
      <c r="J184" s="9" t="s">
        <v>3</v>
      </c>
      <c r="K184" s="9">
        <v>7133375</v>
      </c>
    </row>
    <row r="185" spans="1:23">
      <c r="A185">
        <v>19</v>
      </c>
      <c r="B185">
        <v>3</v>
      </c>
      <c r="C185" t="s">
        <v>586</v>
      </c>
      <c r="D185" t="s">
        <v>190</v>
      </c>
      <c r="E185" t="str">
        <f t="shared" si="24"/>
        <v>Yes and Amen</v>
      </c>
      <c r="F185" t="str">
        <f t="shared" si="25"/>
        <v>Yes and Amen</v>
      </c>
      <c r="G185" t="str">
        <f t="shared" si="29"/>
        <v/>
      </c>
      <c r="H185" t="str">
        <f t="shared" si="30"/>
        <v>HouseFires</v>
      </c>
      <c r="I185" s="9">
        <v>73</v>
      </c>
      <c r="J185" s="9" t="s">
        <v>3</v>
      </c>
      <c r="K185" s="9">
        <v>7048885</v>
      </c>
    </row>
    <row r="186" spans="1:23">
      <c r="A186">
        <v>19</v>
      </c>
      <c r="B186">
        <v>4</v>
      </c>
      <c r="C186" t="s">
        <v>586</v>
      </c>
      <c r="D186" t="s">
        <v>188</v>
      </c>
      <c r="E186" t="str">
        <f t="shared" si="24"/>
        <v>Heart of God</v>
      </c>
      <c r="F186" t="str">
        <f t="shared" si="25"/>
        <v>Heart of God</v>
      </c>
      <c r="G186" t="str">
        <f t="shared" si="29"/>
        <v/>
      </c>
      <c r="H186" t="str">
        <f t="shared" si="30"/>
        <v>Hillsong Young &amp; Free</v>
      </c>
      <c r="I186" s="9">
        <v>71</v>
      </c>
      <c r="J186" s="9" t="s">
        <v>3</v>
      </c>
      <c r="K186" s="9">
        <v>7109453</v>
      </c>
    </row>
    <row r="187" spans="1:23">
      <c r="A187">
        <v>19</v>
      </c>
      <c r="B187">
        <v>5</v>
      </c>
      <c r="C187" t="s">
        <v>586</v>
      </c>
      <c r="D187" t="s">
        <v>189</v>
      </c>
      <c r="E187" t="str">
        <f t="shared" si="24"/>
        <v>Only A Holy God</v>
      </c>
      <c r="F187" t="str">
        <f t="shared" si="25"/>
        <v>Only A Holy God</v>
      </c>
      <c r="G187" t="str">
        <f t="shared" si="29"/>
        <v/>
      </c>
      <c r="H187" t="str">
        <f t="shared" si="30"/>
        <v>CityAlight</v>
      </c>
      <c r="I187" s="9">
        <v>75</v>
      </c>
      <c r="J187" s="9" t="s">
        <v>20</v>
      </c>
      <c r="K187" s="9">
        <v>7073332</v>
      </c>
    </row>
    <row r="188" spans="1:23">
      <c r="A188">
        <v>19</v>
      </c>
      <c r="B188">
        <v>6</v>
      </c>
      <c r="C188" t="s">
        <v>586</v>
      </c>
      <c r="D188" t="s">
        <v>186</v>
      </c>
      <c r="E188" t="str">
        <f t="shared" si="24"/>
        <v>Christ Is Mine Forevermore</v>
      </c>
      <c r="F188" t="str">
        <f t="shared" si="25"/>
        <v>Christ Is Mine Forevermore</v>
      </c>
      <c r="G188" t="str">
        <f t="shared" si="29"/>
        <v/>
      </c>
      <c r="H188" t="str">
        <f t="shared" si="30"/>
        <v>CityAlight</v>
      </c>
      <c r="I188" s="9">
        <v>72</v>
      </c>
      <c r="J188" s="9" t="s">
        <v>27</v>
      </c>
      <c r="K188" s="9">
        <v>7036096</v>
      </c>
    </row>
    <row r="189" spans="1:23">
      <c r="A189">
        <v>19</v>
      </c>
      <c r="B189">
        <v>7</v>
      </c>
      <c r="C189" t="s">
        <v>586</v>
      </c>
      <c r="D189" t="s">
        <v>192</v>
      </c>
      <c r="E189" t="str">
        <f t="shared" si="24"/>
        <v>All I Have Is Christ</v>
      </c>
      <c r="F189" t="str">
        <f t="shared" si="25"/>
        <v>All I Have Is Christ</v>
      </c>
      <c r="G189" t="str">
        <f t="shared" si="29"/>
        <v/>
      </c>
      <c r="H189" t="str">
        <f t="shared" si="30"/>
        <v>Jordan Kauflin</v>
      </c>
      <c r="I189" s="9">
        <v>65</v>
      </c>
      <c r="J189" s="9" t="s">
        <v>31</v>
      </c>
      <c r="K189" s="9">
        <v>5174122</v>
      </c>
    </row>
    <row r="190" spans="1:23">
      <c r="A190">
        <v>19</v>
      </c>
      <c r="B190">
        <v>8</v>
      </c>
      <c r="C190" t="s">
        <v>586</v>
      </c>
      <c r="D190" t="s">
        <v>191</v>
      </c>
      <c r="E190" t="str">
        <f t="shared" si="24"/>
        <v>Faithful</v>
      </c>
      <c r="F190" t="str">
        <f t="shared" si="25"/>
        <v>Faithful</v>
      </c>
      <c r="G190" t="str">
        <f t="shared" si="29"/>
        <v/>
      </c>
      <c r="H190" t="str">
        <f t="shared" si="30"/>
        <v>Erik Nieder</v>
      </c>
      <c r="I190" s="9">
        <v>72</v>
      </c>
      <c r="J190" s="9" t="s">
        <v>6</v>
      </c>
      <c r="K190" s="9">
        <v>7098243</v>
      </c>
    </row>
    <row r="191" spans="1:23">
      <c r="A191">
        <v>19</v>
      </c>
      <c r="B191">
        <v>9</v>
      </c>
      <c r="C191" t="s">
        <v>586</v>
      </c>
      <c r="D191" t="s">
        <v>193</v>
      </c>
      <c r="E191" t="str">
        <f t="shared" si="24"/>
        <v>Blessed Assurance</v>
      </c>
      <c r="F191" t="str">
        <f t="shared" si="25"/>
        <v>Blessed Assurance</v>
      </c>
      <c r="G191" t="str">
        <f t="shared" si="29"/>
        <v/>
      </c>
      <c r="H191" t="str">
        <f t="shared" si="30"/>
        <v>Elevation Worship</v>
      </c>
      <c r="I191" s="9">
        <v>70</v>
      </c>
      <c r="J191" s="9" t="s">
        <v>29</v>
      </c>
      <c r="K191" s="9">
        <v>7011451</v>
      </c>
      <c r="W191" s="1" t="str">
        <f>IF(K191=T191,"Yes","")</f>
        <v/>
      </c>
    </row>
    <row r="192" spans="1:23">
      <c r="A192">
        <v>19</v>
      </c>
      <c r="B192">
        <v>10</v>
      </c>
      <c r="C192" t="s">
        <v>586</v>
      </c>
      <c r="D192" t="s">
        <v>187</v>
      </c>
      <c r="E192" t="str">
        <f t="shared" si="24"/>
        <v>King of Glory</v>
      </c>
      <c r="F192" t="str">
        <f t="shared" si="25"/>
        <v>King of Glory</v>
      </c>
      <c r="G192" t="str">
        <f t="shared" si="29"/>
        <v/>
      </c>
      <c r="H192" t="str">
        <f t="shared" si="30"/>
        <v>Passion Music</v>
      </c>
      <c r="I192" s="9">
        <v>86</v>
      </c>
      <c r="J192" s="9" t="s">
        <v>27</v>
      </c>
      <c r="K192" s="9">
        <v>7142008</v>
      </c>
    </row>
    <row r="193" spans="1:23">
      <c r="A193">
        <v>20</v>
      </c>
      <c r="B193">
        <v>1</v>
      </c>
      <c r="C193" t="s">
        <v>587</v>
      </c>
      <c r="D193" t="s">
        <v>284</v>
      </c>
      <c r="E193" t="str">
        <f t="shared" si="24"/>
        <v>Behold the Lamb</v>
      </c>
      <c r="F193" t="str">
        <f t="shared" si="25"/>
        <v>Behold the Lamb</v>
      </c>
      <c r="G193" t="str">
        <f t="shared" si="29"/>
        <v/>
      </c>
      <c r="H193" t="str">
        <f t="shared" si="30"/>
        <v>Passion Music</v>
      </c>
      <c r="I193" s="9">
        <v>75</v>
      </c>
      <c r="J193" s="9" t="s">
        <v>3</v>
      </c>
      <c r="K193" s="9">
        <v>7122996</v>
      </c>
    </row>
    <row r="194" spans="1:23">
      <c r="A194">
        <v>20</v>
      </c>
      <c r="B194">
        <v>2</v>
      </c>
      <c r="C194" t="s">
        <v>587</v>
      </c>
      <c r="D194" t="s">
        <v>292</v>
      </c>
      <c r="E194" t="str">
        <f t="shared" si="24"/>
        <v>The Passion</v>
      </c>
      <c r="F194" t="str">
        <f t="shared" si="25"/>
        <v>The Passion</v>
      </c>
      <c r="G194" t="str">
        <f t="shared" si="29"/>
        <v/>
      </c>
      <c r="H194" t="str">
        <f t="shared" si="30"/>
        <v>Hillsong</v>
      </c>
      <c r="I194" s="9">
        <v>70</v>
      </c>
      <c r="J194" s="9" t="s">
        <v>29</v>
      </c>
      <c r="K194" s="9">
        <v>7102399</v>
      </c>
    </row>
    <row r="195" spans="1:23">
      <c r="A195">
        <v>20</v>
      </c>
      <c r="B195">
        <v>3</v>
      </c>
      <c r="C195" t="s">
        <v>587</v>
      </c>
      <c r="D195" t="s">
        <v>290</v>
      </c>
      <c r="E195" t="str">
        <f t="shared" ref="E195:E223" si="32">IF(ISNUMBER(SEARCH(" by", D195)), LEFT(D195, FIND(" by ",D195) - 1),D195)</f>
        <v>You Cannot Be Stopped</v>
      </c>
      <c r="F195" t="str">
        <f t="shared" ref="F195:F223" si="33">LEFT(E195,IF(ISNUMBER(SEARCH(" (",E195)),FIND(" (",E195)-1,LEN(E195)))</f>
        <v>You Cannot Be Stopped</v>
      </c>
      <c r="G195" t="str">
        <f t="shared" si="29"/>
        <v/>
      </c>
      <c r="H195" t="str">
        <f t="shared" si="30"/>
        <v>Phil Wickham and Chris Quilala</v>
      </c>
      <c r="I195" s="9">
        <v>91</v>
      </c>
      <c r="J195" s="9" t="s">
        <v>3</v>
      </c>
      <c r="K195" s="9">
        <v>7127096</v>
      </c>
    </row>
    <row r="196" spans="1:23">
      <c r="A196">
        <v>20</v>
      </c>
      <c r="B196">
        <v>4</v>
      </c>
      <c r="C196" t="s">
        <v>587</v>
      </c>
      <c r="D196" t="s">
        <v>288</v>
      </c>
      <c r="E196" t="str">
        <f t="shared" si="32"/>
        <v>His Heart Beats</v>
      </c>
      <c r="F196" t="str">
        <f t="shared" si="33"/>
        <v>His Heart Beats</v>
      </c>
      <c r="G196" t="str">
        <f t="shared" si="29"/>
        <v/>
      </c>
      <c r="H196" t="str">
        <f t="shared" si="30"/>
        <v>Andrew Peterson</v>
      </c>
      <c r="I196" s="9">
        <v>98</v>
      </c>
      <c r="J196" s="9" t="s">
        <v>3</v>
      </c>
      <c r="K196" s="9">
        <v>7110696</v>
      </c>
    </row>
    <row r="197" spans="1:23">
      <c r="A197">
        <v>20</v>
      </c>
      <c r="B197">
        <v>5</v>
      </c>
      <c r="C197" t="s">
        <v>587</v>
      </c>
      <c r="D197" t="s">
        <v>289</v>
      </c>
      <c r="E197" t="str">
        <f t="shared" si="32"/>
        <v>Jesus, Only Jesus</v>
      </c>
      <c r="F197" t="str">
        <f t="shared" si="33"/>
        <v>Jesus, Only Jesus</v>
      </c>
      <c r="G197" t="str">
        <f t="shared" si="29"/>
        <v/>
      </c>
      <c r="H197" t="str">
        <f t="shared" si="30"/>
        <v>Passion Music</v>
      </c>
      <c r="I197" s="9">
        <v>65</v>
      </c>
      <c r="J197" s="9" t="s">
        <v>0</v>
      </c>
      <c r="K197" s="9">
        <v>6517269</v>
      </c>
    </row>
    <row r="198" spans="1:23">
      <c r="A198">
        <v>20</v>
      </c>
      <c r="B198">
        <v>6</v>
      </c>
      <c r="C198" t="s">
        <v>587</v>
      </c>
      <c r="D198" t="s">
        <v>285</v>
      </c>
      <c r="E198" t="str">
        <f t="shared" si="32"/>
        <v>Christ Our Hope in Life and Death</v>
      </c>
      <c r="F198" t="str">
        <f t="shared" si="33"/>
        <v>Christ Our Hope in Life and Death</v>
      </c>
      <c r="G198" t="str">
        <f t="shared" si="29"/>
        <v/>
      </c>
      <c r="H198" t="str">
        <f t="shared" si="30"/>
        <v>Getty Music</v>
      </c>
      <c r="I198" s="9">
        <v>71</v>
      </c>
      <c r="J198" s="9" t="s">
        <v>61</v>
      </c>
      <c r="K198" s="9">
        <v>7147502</v>
      </c>
    </row>
    <row r="199" spans="1:23">
      <c r="A199">
        <v>20</v>
      </c>
      <c r="B199">
        <v>7</v>
      </c>
      <c r="C199" t="s">
        <v>587</v>
      </c>
      <c r="D199" t="s">
        <v>293</v>
      </c>
      <c r="E199" t="str">
        <f t="shared" si="32"/>
        <v>My Victory</v>
      </c>
      <c r="F199" t="str">
        <f t="shared" si="33"/>
        <v>My Victory</v>
      </c>
      <c r="G199" t="str">
        <f t="shared" si="29"/>
        <v/>
      </c>
      <c r="H199" t="str">
        <f t="shared" si="30"/>
        <v>Crowder</v>
      </c>
      <c r="I199" s="9">
        <v>74</v>
      </c>
      <c r="J199" s="9" t="s">
        <v>6</v>
      </c>
      <c r="K199" s="9">
        <v>7054548</v>
      </c>
    </row>
    <row r="200" spans="1:23">
      <c r="A200">
        <v>20</v>
      </c>
      <c r="B200">
        <v>8</v>
      </c>
      <c r="C200" t="s">
        <v>587</v>
      </c>
      <c r="D200" t="s">
        <v>287</v>
      </c>
      <c r="E200" t="str">
        <f t="shared" si="32"/>
        <v>Glorious Day (Living He Loved Me)</v>
      </c>
      <c r="F200" t="str">
        <f t="shared" si="33"/>
        <v>Glorious Day</v>
      </c>
      <c r="G200" t="str">
        <f t="shared" si="29"/>
        <v>Living He Loved Me</v>
      </c>
      <c r="H200" t="str">
        <f t="shared" si="30"/>
        <v>Casting Crowns</v>
      </c>
      <c r="I200" s="9">
        <v>74</v>
      </c>
      <c r="J200" s="9" t="s">
        <v>3</v>
      </c>
      <c r="K200" s="9">
        <v>5638022</v>
      </c>
      <c r="N200" t="s">
        <v>709</v>
      </c>
      <c r="O200" t="s">
        <v>666</v>
      </c>
      <c r="P200" s="2" t="s">
        <v>6</v>
      </c>
      <c r="Q200" s="2" t="s">
        <v>6</v>
      </c>
      <c r="R200" s="3">
        <v>120</v>
      </c>
      <c r="S200" s="4" t="s">
        <v>596</v>
      </c>
      <c r="T200" s="5">
        <v>5638022</v>
      </c>
      <c r="U200" s="3">
        <v>2009</v>
      </c>
      <c r="V200" s="7" t="s">
        <v>667</v>
      </c>
      <c r="W200" s="1" t="str">
        <f>IF(K200=T200,"Yes","")</f>
        <v>Yes</v>
      </c>
    </row>
    <row r="201" spans="1:23">
      <c r="A201">
        <v>20</v>
      </c>
      <c r="B201">
        <v>9</v>
      </c>
      <c r="C201" t="s">
        <v>587</v>
      </c>
      <c r="D201" t="s">
        <v>291</v>
      </c>
      <c r="E201" t="str">
        <f t="shared" si="32"/>
        <v>Overcome</v>
      </c>
      <c r="F201" t="str">
        <f t="shared" si="33"/>
        <v>Overcome</v>
      </c>
      <c r="G201" t="str">
        <f t="shared" si="29"/>
        <v/>
      </c>
      <c r="H201" t="str">
        <f t="shared" si="30"/>
        <v>Elevation Worship</v>
      </c>
      <c r="I201" s="9">
        <v>80</v>
      </c>
      <c r="J201" s="9" t="s">
        <v>3</v>
      </c>
      <c r="K201" s="9">
        <v>7067561</v>
      </c>
    </row>
    <row r="202" spans="1:23">
      <c r="A202">
        <v>20</v>
      </c>
      <c r="B202">
        <v>10</v>
      </c>
      <c r="C202" t="s">
        <v>587</v>
      </c>
      <c r="D202" t="s">
        <v>286</v>
      </c>
      <c r="E202" t="str">
        <f t="shared" si="32"/>
        <v>Christ Is Risen</v>
      </c>
      <c r="F202" t="str">
        <f t="shared" si="33"/>
        <v>Christ Is Risen</v>
      </c>
      <c r="G202" t="str">
        <f t="shared" si="29"/>
        <v/>
      </c>
      <c r="H202" t="str">
        <f t="shared" si="30"/>
        <v>Phil Wickham</v>
      </c>
      <c r="I202" s="9">
        <v>70</v>
      </c>
      <c r="J202" s="9" t="s">
        <v>6</v>
      </c>
      <c r="K202" s="9">
        <v>7107548</v>
      </c>
    </row>
    <row r="203" spans="1:23">
      <c r="A203">
        <v>21</v>
      </c>
      <c r="B203">
        <v>1</v>
      </c>
      <c r="C203" t="s">
        <v>588</v>
      </c>
      <c r="D203" t="s">
        <v>297</v>
      </c>
      <c r="E203" t="str">
        <f t="shared" si="32"/>
        <v>There's A River</v>
      </c>
      <c r="F203" t="str">
        <f t="shared" si="33"/>
        <v>There's A River</v>
      </c>
      <c r="G203" t="str">
        <f t="shared" si="29"/>
        <v/>
      </c>
      <c r="H203" t="str">
        <f t="shared" si="30"/>
        <v>Bethany Barnard</v>
      </c>
      <c r="I203" s="9">
        <v>76</v>
      </c>
      <c r="J203" s="9" t="s">
        <v>3</v>
      </c>
      <c r="K203" s="9" t="s">
        <v>592</v>
      </c>
    </row>
    <row r="204" spans="1:23">
      <c r="A204">
        <v>21</v>
      </c>
      <c r="B204">
        <v>2</v>
      </c>
      <c r="C204" t="s">
        <v>588</v>
      </c>
      <c r="D204" t="s">
        <v>295</v>
      </c>
      <c r="E204" t="str">
        <f t="shared" si="32"/>
        <v>Doxology//Amen</v>
      </c>
      <c r="F204" t="str">
        <f t="shared" si="33"/>
        <v>Doxology//Amen</v>
      </c>
      <c r="G204" t="str">
        <f t="shared" si="29"/>
        <v/>
      </c>
      <c r="H204" t="str">
        <f t="shared" si="30"/>
        <v>Phil Wickham</v>
      </c>
      <c r="I204" s="9">
        <v>73.5</v>
      </c>
      <c r="J204" s="9" t="s">
        <v>3</v>
      </c>
      <c r="K204" s="9">
        <v>7059306</v>
      </c>
    </row>
    <row r="205" spans="1:23">
      <c r="A205">
        <v>21</v>
      </c>
      <c r="B205">
        <v>3</v>
      </c>
      <c r="C205" t="s">
        <v>588</v>
      </c>
      <c r="D205" t="s">
        <v>302</v>
      </c>
      <c r="E205" t="str">
        <f t="shared" si="32"/>
        <v>Graves Into Gardens</v>
      </c>
      <c r="F205" t="str">
        <f t="shared" si="33"/>
        <v>Graves Into Gardens</v>
      </c>
      <c r="G205" t="str">
        <f t="shared" si="29"/>
        <v/>
      </c>
      <c r="H205" t="str">
        <f t="shared" si="30"/>
        <v>Elevation Worship</v>
      </c>
      <c r="I205" s="9">
        <v>70</v>
      </c>
      <c r="J205" s="9" t="s">
        <v>6</v>
      </c>
      <c r="K205" s="9">
        <v>7138219</v>
      </c>
    </row>
    <row r="206" spans="1:23">
      <c r="A206">
        <v>21</v>
      </c>
      <c r="B206">
        <v>4</v>
      </c>
      <c r="C206" t="s">
        <v>588</v>
      </c>
      <c r="D206" t="s">
        <v>298</v>
      </c>
      <c r="E206" t="str">
        <f t="shared" si="32"/>
        <v>What A Friend We Have In Jesus</v>
      </c>
      <c r="F206" t="str">
        <f t="shared" si="33"/>
        <v>What A Friend We Have In Jesus</v>
      </c>
      <c r="G206" t="str">
        <f t="shared" si="29"/>
        <v/>
      </c>
      <c r="H206" t="str">
        <f t="shared" si="30"/>
        <v>The Worship Initiative</v>
      </c>
      <c r="I206" s="9">
        <v>70</v>
      </c>
      <c r="J206" s="9" t="s">
        <v>27</v>
      </c>
      <c r="K206" s="9">
        <v>27714</v>
      </c>
    </row>
    <row r="207" spans="1:23">
      <c r="A207">
        <v>21</v>
      </c>
      <c r="B207">
        <v>5</v>
      </c>
      <c r="C207" t="s">
        <v>588</v>
      </c>
      <c r="D207" t="s">
        <v>300</v>
      </c>
      <c r="E207" t="str">
        <f t="shared" si="32"/>
        <v>Sing To Jesus</v>
      </c>
      <c r="F207" t="str">
        <f t="shared" si="33"/>
        <v>Sing To Jesus</v>
      </c>
      <c r="G207" t="str">
        <f t="shared" si="29"/>
        <v/>
      </c>
      <c r="H207" t="str">
        <f t="shared" si="30"/>
        <v>Fernando Ortega</v>
      </c>
      <c r="I207" s="9">
        <v>70</v>
      </c>
      <c r="J207" s="9" t="s">
        <v>3</v>
      </c>
      <c r="K207" s="9">
        <v>3469389</v>
      </c>
    </row>
    <row r="208" spans="1:23">
      <c r="A208">
        <v>21</v>
      </c>
      <c r="B208">
        <v>6</v>
      </c>
      <c r="C208" t="s">
        <v>588</v>
      </c>
      <c r="D208" t="s">
        <v>294</v>
      </c>
      <c r="E208" t="str">
        <f t="shared" si="32"/>
        <v>Faithful To the End</v>
      </c>
      <c r="F208" t="str">
        <f t="shared" si="33"/>
        <v>Faithful To the End</v>
      </c>
      <c r="G208" t="str">
        <f t="shared" si="29"/>
        <v/>
      </c>
      <c r="H208" t="str">
        <f t="shared" si="30"/>
        <v>Paul and Hannah McClure</v>
      </c>
      <c r="I208" s="9">
        <v>72</v>
      </c>
      <c r="J208" s="9" t="s">
        <v>6</v>
      </c>
      <c r="K208" s="9">
        <v>7054172</v>
      </c>
    </row>
    <row r="209" spans="1:13">
      <c r="A209">
        <v>21</v>
      </c>
      <c r="B209">
        <v>7</v>
      </c>
      <c r="C209" t="s">
        <v>588</v>
      </c>
      <c r="D209" t="s">
        <v>296</v>
      </c>
      <c r="E209" t="str">
        <f t="shared" si="32"/>
        <v>Hymn of Surrender</v>
      </c>
      <c r="F209" t="str">
        <f t="shared" si="33"/>
        <v>Hymn of Surrender</v>
      </c>
      <c r="G209" t="str">
        <f t="shared" si="29"/>
        <v/>
      </c>
      <c r="H209" t="str">
        <f t="shared" si="30"/>
        <v>Matt Redman</v>
      </c>
      <c r="I209" s="9">
        <v>74</v>
      </c>
      <c r="J209" s="9" t="s">
        <v>6</v>
      </c>
      <c r="K209" s="9">
        <v>7138939</v>
      </c>
    </row>
    <row r="210" spans="1:13">
      <c r="A210">
        <v>21</v>
      </c>
      <c r="B210">
        <v>8</v>
      </c>
      <c r="C210" t="s">
        <v>588</v>
      </c>
      <c r="D210" t="s">
        <v>299</v>
      </c>
      <c r="E210" t="str">
        <f t="shared" si="32"/>
        <v>I Surrender All (All I Am)</v>
      </c>
      <c r="F210" t="str">
        <f t="shared" si="33"/>
        <v>I Surrender All</v>
      </c>
      <c r="G210" t="str">
        <f t="shared" si="29"/>
        <v>All I Am</v>
      </c>
      <c r="H210" t="str">
        <f t="shared" si="30"/>
        <v>The Worship Initiative</v>
      </c>
      <c r="I210" s="9">
        <v>73.5</v>
      </c>
      <c r="J210" s="9" t="s">
        <v>3</v>
      </c>
      <c r="K210" s="9">
        <v>23189</v>
      </c>
    </row>
    <row r="211" spans="1:13">
      <c r="A211">
        <v>21</v>
      </c>
      <c r="B211">
        <v>9</v>
      </c>
      <c r="C211" t="s">
        <v>588</v>
      </c>
      <c r="D211" t="s">
        <v>303</v>
      </c>
      <c r="E211" t="str">
        <f t="shared" si="32"/>
        <v>There's Nothing That Our God Can't Do</v>
      </c>
      <c r="F211" t="str">
        <f t="shared" si="33"/>
        <v>There's Nothing That Our God Can't Do</v>
      </c>
      <c r="G211" t="str">
        <f t="shared" si="29"/>
        <v/>
      </c>
      <c r="H211" t="str">
        <f t="shared" si="30"/>
        <v>Passion Music</v>
      </c>
      <c r="I211" s="9">
        <v>105</v>
      </c>
      <c r="J211" s="9" t="s">
        <v>61</v>
      </c>
      <c r="K211" s="9">
        <v>7141227</v>
      </c>
    </row>
    <row r="212" spans="1:13">
      <c r="A212">
        <v>21</v>
      </c>
      <c r="B212">
        <v>10</v>
      </c>
      <c r="C212" t="s">
        <v>588</v>
      </c>
      <c r="D212" t="s">
        <v>301</v>
      </c>
      <c r="E212" t="str">
        <f t="shared" si="32"/>
        <v>The Blessing</v>
      </c>
      <c r="F212" t="str">
        <f t="shared" si="33"/>
        <v>The Blessing</v>
      </c>
      <c r="G212" t="str">
        <f t="shared" si="29"/>
        <v/>
      </c>
      <c r="H212" t="str">
        <f t="shared" si="30"/>
        <v>Kari Jobe, Cody Carnes, Elevation Worship</v>
      </c>
      <c r="I212" s="9">
        <v>70</v>
      </c>
      <c r="J212" s="9" t="s">
        <v>24</v>
      </c>
      <c r="K212" s="9">
        <v>7147007</v>
      </c>
    </row>
    <row r="213" spans="1:13">
      <c r="A213">
        <v>22</v>
      </c>
      <c r="B213">
        <v>1</v>
      </c>
      <c r="C213" t="s">
        <v>589</v>
      </c>
      <c r="D213" t="s">
        <v>313</v>
      </c>
      <c r="E213" t="str">
        <f t="shared" si="32"/>
        <v>Come Ye Sinners</v>
      </c>
      <c r="F213" t="str">
        <f t="shared" si="33"/>
        <v>Come Ye Sinners</v>
      </c>
      <c r="G213" t="str">
        <f t="shared" si="29"/>
        <v/>
      </c>
      <c r="H213" t="str">
        <f t="shared" si="30"/>
        <v>The Worship Initiative</v>
      </c>
      <c r="I213" s="9">
        <v>72</v>
      </c>
      <c r="J213" s="9" t="s">
        <v>27</v>
      </c>
      <c r="K213" s="9">
        <v>4582588</v>
      </c>
    </row>
    <row r="214" spans="1:13">
      <c r="A214">
        <v>22</v>
      </c>
      <c r="B214">
        <v>2</v>
      </c>
      <c r="C214" t="s">
        <v>589</v>
      </c>
      <c r="D214" t="s">
        <v>308</v>
      </c>
      <c r="E214" t="str">
        <f t="shared" si="32"/>
        <v>New Jerusalem</v>
      </c>
      <c r="F214" t="str">
        <f t="shared" si="33"/>
        <v>New Jerusalem</v>
      </c>
      <c r="G214" t="str">
        <f t="shared" si="29"/>
        <v/>
      </c>
      <c r="H214" t="str">
        <f t="shared" si="30"/>
        <v>Jon Guerra</v>
      </c>
      <c r="I214" s="9">
        <v>62</v>
      </c>
      <c r="J214" s="9" t="s">
        <v>27</v>
      </c>
      <c r="K214" s="9">
        <v>7146673</v>
      </c>
    </row>
    <row r="215" spans="1:13">
      <c r="A215">
        <v>22</v>
      </c>
      <c r="B215">
        <v>3</v>
      </c>
      <c r="C215" t="s">
        <v>589</v>
      </c>
      <c r="D215" t="s">
        <v>312</v>
      </c>
      <c r="E215" t="str">
        <f t="shared" si="32"/>
        <v>Promises</v>
      </c>
      <c r="F215" t="str">
        <f t="shared" si="33"/>
        <v>Promises</v>
      </c>
      <c r="G215" t="str">
        <f t="shared" ref="G215:G223" si="34">IF(ISNUMBER(SEARCH("(",E215)), LEFT(RIGHT(E215, LEN(E215) - FIND("(",E215)), LEN(RIGHT(E215, LEN(E215) - FIND("(",E215))) - 1), "")</f>
        <v/>
      </c>
      <c r="H215" t="str">
        <f t="shared" ref="H215:H223" si="35">IF(ISNUMBER(SEARCH(" by",D215)),RIGHT(D215, LEN(D215) - FIND(" by ",D215) - 3),"")</f>
        <v>Maverick City</v>
      </c>
      <c r="I215" s="9">
        <v>86</v>
      </c>
      <c r="J215" s="9" t="s">
        <v>27</v>
      </c>
      <c r="K215" s="9">
        <v>7149439</v>
      </c>
    </row>
    <row r="216" spans="1:13">
      <c r="A216">
        <v>22</v>
      </c>
      <c r="B216">
        <v>4</v>
      </c>
      <c r="C216" t="s">
        <v>589</v>
      </c>
      <c r="D216" t="s">
        <v>314</v>
      </c>
      <c r="E216" t="str">
        <f t="shared" si="32"/>
        <v>Nothing Without You</v>
      </c>
      <c r="F216" t="str">
        <f t="shared" si="33"/>
        <v>Nothing Without You</v>
      </c>
      <c r="G216" t="str">
        <f t="shared" si="34"/>
        <v/>
      </c>
      <c r="H216" t="str">
        <f t="shared" si="35"/>
        <v>United Pursuit</v>
      </c>
      <c r="I216" s="9">
        <v>58</v>
      </c>
      <c r="J216" s="9" t="s">
        <v>6</v>
      </c>
      <c r="K216" s="9">
        <v>7079706</v>
      </c>
    </row>
    <row r="217" spans="1:13">
      <c r="A217">
        <v>22</v>
      </c>
      <c r="B217">
        <v>5</v>
      </c>
      <c r="C217" t="s">
        <v>589</v>
      </c>
      <c r="D217" t="s">
        <v>310</v>
      </c>
      <c r="E217" t="str">
        <f t="shared" si="32"/>
        <v>Such An Awesome God</v>
      </c>
      <c r="F217" t="str">
        <f t="shared" si="33"/>
        <v>Such An Awesome God</v>
      </c>
      <c r="G217" t="str">
        <f t="shared" si="34"/>
        <v/>
      </c>
      <c r="H217" t="str">
        <f t="shared" si="35"/>
        <v>Maverick City, Anthony Evans</v>
      </c>
      <c r="I217" s="9">
        <v>66.5</v>
      </c>
      <c r="J217" s="9" t="s">
        <v>11</v>
      </c>
      <c r="K217" s="9">
        <v>7130622</v>
      </c>
    </row>
    <row r="218" spans="1:13">
      <c r="A218">
        <v>22</v>
      </c>
      <c r="B218">
        <v>6</v>
      </c>
      <c r="C218" t="s">
        <v>589</v>
      </c>
      <c r="D218" t="s">
        <v>315</v>
      </c>
      <c r="E218" t="str">
        <f t="shared" si="32"/>
        <v>At Your Name</v>
      </c>
      <c r="F218" t="str">
        <f t="shared" si="33"/>
        <v>At Your Name</v>
      </c>
      <c r="G218" t="str">
        <f t="shared" si="34"/>
        <v/>
      </c>
      <c r="H218" t="str">
        <f t="shared" si="35"/>
        <v>Phil Wickham</v>
      </c>
      <c r="I218" s="9">
        <v>84</v>
      </c>
      <c r="J218" s="9" t="s">
        <v>24</v>
      </c>
      <c r="K218" s="9">
        <v>5942543</v>
      </c>
    </row>
    <row r="219" spans="1:13">
      <c r="A219">
        <v>22</v>
      </c>
      <c r="B219">
        <v>7</v>
      </c>
      <c r="C219" t="s">
        <v>589</v>
      </c>
      <c r="D219" t="s">
        <v>316</v>
      </c>
      <c r="E219" t="str">
        <f t="shared" si="32"/>
        <v>You Keep On Getting Better</v>
      </c>
      <c r="F219" t="str">
        <f t="shared" si="33"/>
        <v>You Keep On Getting Better</v>
      </c>
      <c r="G219" t="str">
        <f t="shared" si="34"/>
        <v/>
      </c>
      <c r="H219" t="str">
        <f t="shared" si="35"/>
        <v>Maverick City</v>
      </c>
      <c r="I219" s="9">
        <v>76</v>
      </c>
      <c r="J219" s="9" t="s">
        <v>0</v>
      </c>
      <c r="K219" s="9">
        <v>7126793</v>
      </c>
    </row>
    <row r="220" spans="1:13">
      <c r="A220">
        <v>22</v>
      </c>
      <c r="B220">
        <v>8</v>
      </c>
      <c r="C220" t="s">
        <v>589</v>
      </c>
      <c r="D220" t="s">
        <v>317</v>
      </c>
      <c r="E220" t="str">
        <f t="shared" si="32"/>
        <v>The Story I'll Tell</v>
      </c>
      <c r="F220" t="str">
        <f t="shared" si="33"/>
        <v>The Story I'll Tell</v>
      </c>
      <c r="G220" t="str">
        <f t="shared" si="34"/>
        <v/>
      </c>
      <c r="H220" t="str">
        <f t="shared" si="35"/>
        <v>Maverick City</v>
      </c>
      <c r="I220" s="9">
        <v>70.5</v>
      </c>
      <c r="J220" s="9" t="s">
        <v>20</v>
      </c>
      <c r="K220" s="9">
        <v>7153516</v>
      </c>
    </row>
    <row r="221" spans="1:13">
      <c r="A221">
        <v>22</v>
      </c>
      <c r="B221">
        <v>9</v>
      </c>
      <c r="C221" t="s">
        <v>589</v>
      </c>
      <c r="D221" t="s">
        <v>311</v>
      </c>
      <c r="E221" t="str">
        <f t="shared" si="32"/>
        <v>Jesus, Firm Foundation</v>
      </c>
      <c r="F221" t="str">
        <f t="shared" si="33"/>
        <v>Jesus, Firm Foundation</v>
      </c>
      <c r="G221" t="str">
        <f t="shared" si="34"/>
        <v/>
      </c>
      <c r="H221" t="str">
        <f t="shared" si="35"/>
        <v>Robbie Seay</v>
      </c>
      <c r="I221" s="9">
        <v>79</v>
      </c>
      <c r="J221" s="9" t="s">
        <v>3</v>
      </c>
      <c r="K221" s="9">
        <v>6472799</v>
      </c>
    </row>
    <row r="222" spans="1:13">
      <c r="A222">
        <v>22</v>
      </c>
      <c r="B222">
        <v>10</v>
      </c>
      <c r="C222" t="s">
        <v>589</v>
      </c>
      <c r="D222" t="s">
        <v>318</v>
      </c>
      <c r="E222" t="str">
        <f t="shared" si="32"/>
        <v>Crowns</v>
      </c>
      <c r="F222" t="str">
        <f t="shared" si="33"/>
        <v>Crowns</v>
      </c>
      <c r="G222" t="str">
        <f t="shared" si="34"/>
        <v/>
      </c>
      <c r="H222" t="str">
        <f t="shared" si="35"/>
        <v>Hillsong Worship</v>
      </c>
      <c r="I222" s="9">
        <v>70</v>
      </c>
      <c r="J222" s="9" t="s">
        <v>0</v>
      </c>
      <c r="K222" s="9">
        <v>7068421</v>
      </c>
    </row>
    <row r="223" spans="1:13">
      <c r="A223">
        <v>22</v>
      </c>
      <c r="B223">
        <v>11</v>
      </c>
      <c r="C223" t="s">
        <v>589</v>
      </c>
      <c r="D223" t="s">
        <v>309</v>
      </c>
      <c r="E223" t="str">
        <f t="shared" si="32"/>
        <v>My Truest Praise</v>
      </c>
      <c r="F223" t="str">
        <f t="shared" si="33"/>
        <v>My Truest Praise</v>
      </c>
      <c r="G223" t="str">
        <f t="shared" si="34"/>
        <v/>
      </c>
      <c r="H223" t="str">
        <f t="shared" si="35"/>
        <v>Jon Guerra</v>
      </c>
      <c r="I223" s="9">
        <v>68</v>
      </c>
      <c r="J223" s="9" t="s">
        <v>29</v>
      </c>
      <c r="K223" s="9">
        <v>7151239</v>
      </c>
    </row>
    <row r="224" spans="1:13">
      <c r="A224">
        <v>23</v>
      </c>
      <c r="B224">
        <v>1</v>
      </c>
      <c r="C224" t="s">
        <v>590</v>
      </c>
      <c r="D224" t="s">
        <v>710</v>
      </c>
      <c r="E224" t="str">
        <f>IF(ISNUMBER(SEARCH(" by", D224)), LEFT(D224, FIND(" by ",D224) - 1),D224)</f>
        <v>Where You Are</v>
      </c>
      <c r="F224" t="str">
        <f>LEFT(E224,IF(ISNUMBER(SEARCH(" (",E224)),FIND(" (",E224)-1,LEN(E224)))</f>
        <v>Where You Are</v>
      </c>
      <c r="G224" t="str">
        <f>IF(ISNUMBER(SEARCH("(",E224)), LEFT(RIGHT(E224, LEN(E224) - FIND("(",E224)), LEN(RIGHT(E224, LEN(E224) - FIND("(",E224))) - 1), "")</f>
        <v/>
      </c>
      <c r="H224" t="str">
        <f>IF(ISNUMBER(SEARCH(" by",D224)),RIGHT(D224, LEN(D224) - FIND(" by ",D224) - 3),"")</f>
        <v/>
      </c>
      <c r="M224" s="9" t="s">
        <v>741</v>
      </c>
    </row>
    <row r="225" spans="1:13">
      <c r="A225">
        <v>23</v>
      </c>
      <c r="B225">
        <v>2</v>
      </c>
      <c r="C225" t="s">
        <v>590</v>
      </c>
      <c r="D225" t="s">
        <v>306</v>
      </c>
      <c r="E225" t="str">
        <f t="shared" ref="E225:E243" si="36">IF(ISNUMBER(SEARCH(" by", D225)), LEFT(D225, FIND(" by ",D225) - 1),D225)</f>
        <v>Run To the Father</v>
      </c>
      <c r="F225" t="str">
        <f t="shared" ref="F225:F243" si="37">LEFT(E225,IF(ISNUMBER(SEARCH(" (",E225)),FIND(" (",E225)-1,LEN(E225)))</f>
        <v>Run To the Father</v>
      </c>
      <c r="G225" t="str">
        <f t="shared" ref="G225:G243" si="38">IF(ISNUMBER(SEARCH("(",E225)), LEFT(RIGHT(E225, LEN(E225) - FIND("(",E225)), LEN(RIGHT(E225, LEN(E225) - FIND("(",E225))) - 1), "")</f>
        <v/>
      </c>
      <c r="H225" t="str">
        <f t="shared" ref="H225:H243" si="39">IF(ISNUMBER(SEARCH(" by",D225)),RIGHT(D225, LEN(D225) - FIND(" by ",D225) - 3),"")</f>
        <v>Cody Carnes</v>
      </c>
      <c r="I225" s="9">
        <v>68.5</v>
      </c>
      <c r="J225" s="9" t="s">
        <v>20</v>
      </c>
      <c r="K225" s="9">
        <v>7133494</v>
      </c>
      <c r="M225" s="9"/>
    </row>
    <row r="226" spans="1:13">
      <c r="A226">
        <v>23</v>
      </c>
      <c r="B226">
        <v>3</v>
      </c>
      <c r="C226" t="s">
        <v>590</v>
      </c>
      <c r="D226" t="s">
        <v>304</v>
      </c>
      <c r="E226" t="str">
        <f t="shared" si="36"/>
        <v>You Keep Hope Alive</v>
      </c>
      <c r="F226" t="str">
        <f t="shared" si="37"/>
        <v>You Keep Hope Alive</v>
      </c>
      <c r="G226" t="str">
        <f t="shared" si="38"/>
        <v/>
      </c>
      <c r="H226" t="str">
        <f t="shared" si="39"/>
        <v>Jon Reddick, Mandisa</v>
      </c>
      <c r="I226" s="9">
        <v>77</v>
      </c>
      <c r="J226" s="9" t="s">
        <v>29</v>
      </c>
      <c r="K226" s="9">
        <v>7125876</v>
      </c>
      <c r="M226" s="9"/>
    </row>
    <row r="227" spans="1:13">
      <c r="A227">
        <v>23</v>
      </c>
      <c r="B227">
        <v>4</v>
      </c>
      <c r="C227" t="s">
        <v>590</v>
      </c>
      <c r="D227" t="s">
        <v>711</v>
      </c>
      <c r="E227" t="str">
        <f t="shared" si="36"/>
        <v>Better</v>
      </c>
      <c r="F227" t="str">
        <f t="shared" si="37"/>
        <v>Better</v>
      </c>
      <c r="G227" t="str">
        <f t="shared" si="38"/>
        <v/>
      </c>
      <c r="H227" t="str">
        <f t="shared" si="39"/>
        <v/>
      </c>
      <c r="M227" s="9" t="s">
        <v>741</v>
      </c>
    </row>
    <row r="228" spans="1:13">
      <c r="A228">
        <v>23</v>
      </c>
      <c r="B228">
        <v>5</v>
      </c>
      <c r="C228" t="s">
        <v>590</v>
      </c>
      <c r="D228" t="s">
        <v>307</v>
      </c>
      <c r="E228" t="str">
        <f t="shared" si="36"/>
        <v>Miracle Or Not</v>
      </c>
      <c r="F228" t="str">
        <f t="shared" si="37"/>
        <v>Miracle Or Not</v>
      </c>
      <c r="G228" t="str">
        <f t="shared" si="38"/>
        <v/>
      </c>
      <c r="H228" t="str">
        <f t="shared" si="39"/>
        <v>Alisa Turner</v>
      </c>
      <c r="I228" s="9">
        <v>68</v>
      </c>
      <c r="J228" s="9" t="s">
        <v>27</v>
      </c>
      <c r="K228" s="9">
        <v>7108656</v>
      </c>
      <c r="M228" s="9"/>
    </row>
    <row r="229" spans="1:13">
      <c r="A229">
        <v>23</v>
      </c>
      <c r="B229">
        <v>6</v>
      </c>
      <c r="C229" t="s">
        <v>590</v>
      </c>
      <c r="D229" t="s">
        <v>305</v>
      </c>
      <c r="E229" t="str">
        <f t="shared" si="36"/>
        <v>No One Ever Cared For Me Like Jesus</v>
      </c>
      <c r="F229" t="str">
        <f t="shared" si="37"/>
        <v>No One Ever Cared For Me Like Jesus</v>
      </c>
      <c r="G229" t="str">
        <f t="shared" si="38"/>
        <v/>
      </c>
      <c r="H229" t="str">
        <f t="shared" si="39"/>
        <v>Steffany Gretzinger</v>
      </c>
      <c r="I229" s="9">
        <v>69</v>
      </c>
      <c r="J229" s="9" t="s">
        <v>20</v>
      </c>
      <c r="K229" s="9">
        <v>19007</v>
      </c>
      <c r="M229" s="9"/>
    </row>
    <row r="230" spans="1:13">
      <c r="A230">
        <v>23</v>
      </c>
      <c r="B230">
        <v>7</v>
      </c>
      <c r="C230" t="s">
        <v>590</v>
      </c>
      <c r="D230" t="s">
        <v>712</v>
      </c>
      <c r="E230" t="str">
        <f t="shared" si="36"/>
        <v>By The Grace of God</v>
      </c>
      <c r="F230" t="str">
        <f t="shared" si="37"/>
        <v>By The Grace of God</v>
      </c>
      <c r="G230" t="str">
        <f t="shared" si="38"/>
        <v/>
      </c>
      <c r="H230" t="str">
        <f t="shared" si="39"/>
        <v/>
      </c>
      <c r="M230" s="9" t="s">
        <v>741</v>
      </c>
    </row>
    <row r="231" spans="1:13">
      <c r="A231">
        <v>23</v>
      </c>
      <c r="B231">
        <v>8</v>
      </c>
      <c r="C231" t="s">
        <v>590</v>
      </c>
      <c r="D231" t="s">
        <v>713</v>
      </c>
      <c r="E231" t="str">
        <f t="shared" si="36"/>
        <v>Good Grace</v>
      </c>
      <c r="F231" t="str">
        <f t="shared" si="37"/>
        <v>Good Grace</v>
      </c>
      <c r="G231" t="str">
        <f t="shared" si="38"/>
        <v/>
      </c>
      <c r="H231" t="str">
        <f t="shared" si="39"/>
        <v/>
      </c>
      <c r="M231" s="9" t="s">
        <v>741</v>
      </c>
    </row>
    <row r="232" spans="1:13">
      <c r="A232">
        <v>23</v>
      </c>
      <c r="B232">
        <v>9</v>
      </c>
      <c r="C232" t="s">
        <v>590</v>
      </c>
      <c r="D232" t="s">
        <v>714</v>
      </c>
      <c r="E232" t="str">
        <f t="shared" si="36"/>
        <v>Make Room</v>
      </c>
      <c r="F232" t="str">
        <f t="shared" si="37"/>
        <v>Make Room</v>
      </c>
      <c r="G232" t="str">
        <f t="shared" si="38"/>
        <v/>
      </c>
      <c r="H232" t="str">
        <f t="shared" si="39"/>
        <v/>
      </c>
      <c r="M232" s="9" t="s">
        <v>741</v>
      </c>
    </row>
    <row r="233" spans="1:13">
      <c r="A233">
        <v>23</v>
      </c>
      <c r="B233">
        <v>10</v>
      </c>
      <c r="C233" t="s">
        <v>590</v>
      </c>
      <c r="D233" t="s">
        <v>715</v>
      </c>
      <c r="E233" t="str">
        <f t="shared" si="36"/>
        <v>Psalm 13</v>
      </c>
      <c r="F233" t="str">
        <f t="shared" si="37"/>
        <v>Psalm 13</v>
      </c>
      <c r="G233" t="str">
        <f t="shared" si="38"/>
        <v/>
      </c>
      <c r="H233" t="str">
        <f t="shared" si="39"/>
        <v/>
      </c>
      <c r="M233" s="9" t="s">
        <v>741</v>
      </c>
    </row>
    <row r="234" spans="1:13">
      <c r="A234" t="s">
        <v>753</v>
      </c>
      <c r="B234">
        <v>1</v>
      </c>
      <c r="C234" t="s">
        <v>725</v>
      </c>
      <c r="D234" t="s">
        <v>52</v>
      </c>
      <c r="E234" t="str">
        <f t="shared" si="36"/>
        <v>Tis So Sweet</v>
      </c>
      <c r="F234" t="str">
        <f t="shared" si="37"/>
        <v>Tis So Sweet</v>
      </c>
      <c r="G234" t="str">
        <f t="shared" si="38"/>
        <v/>
      </c>
      <c r="H234" t="str">
        <f t="shared" si="39"/>
        <v>Shane &amp; Shane</v>
      </c>
      <c r="I234">
        <v>102</v>
      </c>
      <c r="J234" t="s">
        <v>29</v>
      </c>
      <c r="K234" s="3">
        <v>22609</v>
      </c>
    </row>
    <row r="235" spans="1:13">
      <c r="A235" t="s">
        <v>753</v>
      </c>
      <c r="B235">
        <v>2</v>
      </c>
      <c r="C235" t="s">
        <v>725</v>
      </c>
      <c r="D235" t="s">
        <v>57</v>
      </c>
      <c r="E235" t="str">
        <f t="shared" si="36"/>
        <v>How Great Thou Art</v>
      </c>
      <c r="F235" t="str">
        <f t="shared" si="37"/>
        <v>How Great Thou Art</v>
      </c>
      <c r="G235" t="str">
        <f t="shared" si="38"/>
        <v/>
      </c>
      <c r="H235" t="str">
        <f t="shared" si="39"/>
        <v>Shane &amp; Shane</v>
      </c>
      <c r="I235">
        <v>58</v>
      </c>
      <c r="J235" t="s">
        <v>29</v>
      </c>
      <c r="K235" s="5">
        <v>14181</v>
      </c>
    </row>
    <row r="236" spans="1:13">
      <c r="A236" t="s">
        <v>753</v>
      </c>
      <c r="B236">
        <v>3</v>
      </c>
      <c r="C236" t="s">
        <v>725</v>
      </c>
      <c r="D236" t="s">
        <v>54</v>
      </c>
      <c r="E236" t="str">
        <f t="shared" si="36"/>
        <v>Give Me Jesus</v>
      </c>
      <c r="F236" t="str">
        <f t="shared" si="37"/>
        <v>Give Me Jesus</v>
      </c>
      <c r="G236" t="str">
        <f t="shared" si="38"/>
        <v/>
      </c>
      <c r="H236" t="str">
        <f t="shared" si="39"/>
        <v>Shane &amp; Shane</v>
      </c>
      <c r="I236">
        <v>72</v>
      </c>
      <c r="J236" t="s">
        <v>29</v>
      </c>
      <c r="K236" s="3" t="s">
        <v>592</v>
      </c>
    </row>
    <row r="237" spans="1:13">
      <c r="A237" t="s">
        <v>753</v>
      </c>
      <c r="B237">
        <v>4</v>
      </c>
      <c r="C237" t="s">
        <v>725</v>
      </c>
      <c r="D237" t="s">
        <v>50</v>
      </c>
      <c r="E237" t="str">
        <f t="shared" si="36"/>
        <v>Come Thou Fount (Above All Else)</v>
      </c>
      <c r="F237" t="str">
        <f t="shared" si="37"/>
        <v>Come Thou Fount</v>
      </c>
      <c r="G237" t="str">
        <f t="shared" si="38"/>
        <v>Above All Else</v>
      </c>
      <c r="H237" t="str">
        <f t="shared" si="39"/>
        <v>Shane &amp; Shane</v>
      </c>
      <c r="I237">
        <v>65</v>
      </c>
      <c r="J237" t="s">
        <v>29</v>
      </c>
      <c r="K237" s="3">
        <v>7029505</v>
      </c>
    </row>
    <row r="238" spans="1:13">
      <c r="A238" t="s">
        <v>753</v>
      </c>
      <c r="B238">
        <v>5</v>
      </c>
      <c r="C238" t="s">
        <v>725</v>
      </c>
      <c r="D238" t="s">
        <v>58</v>
      </c>
      <c r="E238" t="str">
        <f t="shared" si="36"/>
        <v>The Lord is My Salvation</v>
      </c>
      <c r="F238" t="str">
        <f t="shared" si="37"/>
        <v>The Lord is My Salvation</v>
      </c>
      <c r="G238" t="str">
        <f t="shared" si="38"/>
        <v/>
      </c>
      <c r="H238" t="str">
        <f t="shared" si="39"/>
        <v>Keith &amp; Kristyn Getty</v>
      </c>
      <c r="I238">
        <v>66</v>
      </c>
      <c r="J238" t="s">
        <v>3</v>
      </c>
      <c r="K238" s="3">
        <v>7063694</v>
      </c>
    </row>
    <row r="239" spans="1:13">
      <c r="A239" t="s">
        <v>753</v>
      </c>
      <c r="B239">
        <v>6</v>
      </c>
      <c r="C239" t="s">
        <v>725</v>
      </c>
      <c r="D239" t="s">
        <v>51</v>
      </c>
      <c r="E239" t="str">
        <f t="shared" si="36"/>
        <v>Holy, Holy, Holy (We Bow Before Thee)</v>
      </c>
      <c r="F239" t="str">
        <f t="shared" si="37"/>
        <v>Holy, Holy, Holy</v>
      </c>
      <c r="G239" t="str">
        <f t="shared" si="38"/>
        <v>We Bow Before Thee</v>
      </c>
      <c r="H239" t="str">
        <f t="shared" si="39"/>
        <v>Shane &amp; Shane</v>
      </c>
      <c r="I239">
        <v>73</v>
      </c>
      <c r="J239" t="s">
        <v>3</v>
      </c>
      <c r="K239" s="3">
        <v>7118356</v>
      </c>
    </row>
    <row r="240" spans="1:13">
      <c r="A240" t="s">
        <v>753</v>
      </c>
      <c r="B240">
        <v>7</v>
      </c>
      <c r="C240" t="s">
        <v>725</v>
      </c>
      <c r="D240" t="s">
        <v>56</v>
      </c>
      <c r="E240" t="str">
        <f t="shared" si="36"/>
        <v>He Will Hold Me Fast</v>
      </c>
      <c r="F240" t="str">
        <f t="shared" si="37"/>
        <v>He Will Hold Me Fast</v>
      </c>
      <c r="G240" t="str">
        <f t="shared" si="38"/>
        <v/>
      </c>
      <c r="H240" t="str">
        <f t="shared" si="39"/>
        <v>Keith &amp; Kristyn Getty</v>
      </c>
      <c r="I240">
        <v>58</v>
      </c>
      <c r="J240" t="s">
        <v>3</v>
      </c>
      <c r="K240" s="3">
        <v>7016161</v>
      </c>
    </row>
    <row r="241" spans="1:12">
      <c r="A241" t="s">
        <v>753</v>
      </c>
      <c r="B241">
        <v>8</v>
      </c>
      <c r="C241" t="s">
        <v>725</v>
      </c>
      <c r="D241" t="s">
        <v>53</v>
      </c>
      <c r="E241" t="str">
        <f t="shared" si="36"/>
        <v>My Worth Is Not In What I Own</v>
      </c>
      <c r="F241" t="str">
        <f t="shared" si="37"/>
        <v>My Worth Is Not In What I Own</v>
      </c>
      <c r="G241" t="str">
        <f t="shared" si="38"/>
        <v/>
      </c>
      <c r="H241" t="str">
        <f t="shared" si="39"/>
        <v>Keith &amp; Kristyn Getty</v>
      </c>
      <c r="I241">
        <v>62</v>
      </c>
      <c r="J241" t="s">
        <v>11</v>
      </c>
      <c r="K241" s="3">
        <v>7024758</v>
      </c>
    </row>
    <row r="242" spans="1:12">
      <c r="A242" t="s">
        <v>753</v>
      </c>
      <c r="B242">
        <v>9</v>
      </c>
      <c r="C242" t="s">
        <v>725</v>
      </c>
      <c r="D242" t="s">
        <v>49</v>
      </c>
      <c r="E242" t="str">
        <f t="shared" si="36"/>
        <v>In Christ Alone [Hymns]</v>
      </c>
      <c r="F242" t="str">
        <f t="shared" si="37"/>
        <v>In Christ Alone [Hymns]</v>
      </c>
      <c r="G242" t="str">
        <f t="shared" si="38"/>
        <v/>
      </c>
      <c r="H242" t="str">
        <f t="shared" si="39"/>
        <v>Keith Getty</v>
      </c>
      <c r="I242">
        <v>61</v>
      </c>
      <c r="J242" t="s">
        <v>11</v>
      </c>
      <c r="K242" s="3">
        <v>3350395</v>
      </c>
    </row>
    <row r="243" spans="1:12">
      <c r="A243" t="s">
        <v>753</v>
      </c>
      <c r="B243">
        <v>10</v>
      </c>
      <c r="C243" t="s">
        <v>725</v>
      </c>
      <c r="D243" t="s">
        <v>55</v>
      </c>
      <c r="E243" t="str">
        <f t="shared" si="36"/>
        <v>There Is A Fountain (Full of Love)</v>
      </c>
      <c r="F243" t="str">
        <f t="shared" si="37"/>
        <v>There Is A Fountain</v>
      </c>
      <c r="G243" t="str">
        <f t="shared" si="38"/>
        <v>Full of Love</v>
      </c>
      <c r="H243" t="str">
        <f t="shared" si="39"/>
        <v>Shane &amp; Shane</v>
      </c>
      <c r="I243">
        <v>63</v>
      </c>
      <c r="J243" t="s">
        <v>6</v>
      </c>
      <c r="K243" s="3">
        <v>7125088</v>
      </c>
    </row>
    <row r="244" spans="1:12">
      <c r="A244" t="s">
        <v>755</v>
      </c>
      <c r="B244">
        <v>1</v>
      </c>
      <c r="C244" t="s">
        <v>740</v>
      </c>
      <c r="D244" t="s">
        <v>727</v>
      </c>
      <c r="E244" t="str">
        <f>IF(ISNUMBER(SEARCH(" by", D244)), LEFT(D244, FIND(" by ",D244) - 1),D244)</f>
        <v>Is He Worthy [Live]</v>
      </c>
      <c r="F244" t="str">
        <f>LEFT(E244,IF(ISNUMBER(SEARCH(" (",E244)),FIND(" (",E244)-1,LEN(E244)))</f>
        <v>Is He Worthy [Live]</v>
      </c>
      <c r="G244" t="str">
        <f>IF(ISNUMBER(SEARCH("(",E244)), LEFT(RIGHT(E244, LEN(E244) - FIND("(",E244)), LEN(RIGHT(E244, LEN(E244) - FIND("(",E244))) - 1), "")</f>
        <v/>
      </c>
      <c r="H244" t="str">
        <f>IF(ISNUMBER(SEARCH(" by",D244)),RIGHT(D244, LEN(D244) - FIND(" by ",D244) - 3),"")</f>
        <v/>
      </c>
    </row>
    <row r="245" spans="1:12">
      <c r="A245" t="s">
        <v>755</v>
      </c>
      <c r="B245">
        <v>2</v>
      </c>
      <c r="C245" t="s">
        <v>740</v>
      </c>
      <c r="D245" t="s">
        <v>728</v>
      </c>
      <c r="E245" t="str">
        <f t="shared" ref="E245:E305" si="40">IF(ISNUMBER(SEARCH(" by", D245)), LEFT(D245, FIND(" by ",D245) - 1),D245)</f>
        <v>Tis So Sweet [Live]</v>
      </c>
      <c r="F245" t="str">
        <f t="shared" ref="F245:F305" si="41">LEFT(E245,IF(ISNUMBER(SEARCH(" (",E245)),FIND(" (",E245)-1,LEN(E245)))</f>
        <v>Tis So Sweet [Live]</v>
      </c>
      <c r="G245" t="str">
        <f t="shared" ref="G245:G305" si="42">IF(ISNUMBER(SEARCH("(",E245)), LEFT(RIGHT(E245, LEN(E245) - FIND("(",E245)), LEN(RIGHT(E245, LEN(E245) - FIND("(",E245))) - 1), "")</f>
        <v/>
      </c>
      <c r="H245" t="str">
        <f t="shared" ref="H245:H305" si="43">IF(ISNUMBER(SEARCH(" by",D245)),RIGHT(D245, LEN(D245) - FIND(" by ",D245) - 3),"")</f>
        <v/>
      </c>
      <c r="L245" s="9" t="s">
        <v>756</v>
      </c>
    </row>
    <row r="246" spans="1:12">
      <c r="A246" t="s">
        <v>755</v>
      </c>
      <c r="B246">
        <v>3</v>
      </c>
      <c r="C246" t="s">
        <v>740</v>
      </c>
      <c r="D246" t="s">
        <v>729</v>
      </c>
      <c r="E246" t="str">
        <f t="shared" si="40"/>
        <v>How Great Thou Art [Live]</v>
      </c>
      <c r="F246" t="str">
        <f t="shared" si="41"/>
        <v>How Great Thou Art [Live]</v>
      </c>
      <c r="G246" t="str">
        <f t="shared" si="42"/>
        <v/>
      </c>
      <c r="H246" t="str">
        <f t="shared" si="43"/>
        <v/>
      </c>
      <c r="L246" s="9" t="s">
        <v>756</v>
      </c>
    </row>
    <row r="247" spans="1:12">
      <c r="A247" t="s">
        <v>755</v>
      </c>
      <c r="B247">
        <v>4</v>
      </c>
      <c r="C247" t="s">
        <v>740</v>
      </c>
      <c r="D247" t="s">
        <v>730</v>
      </c>
      <c r="E247" t="str">
        <f t="shared" si="40"/>
        <v>Come Thou Fount [Live]</v>
      </c>
      <c r="F247" t="str">
        <f t="shared" si="41"/>
        <v>Come Thou Fount [Live]</v>
      </c>
      <c r="G247" t="str">
        <f t="shared" si="42"/>
        <v/>
      </c>
      <c r="H247" t="str">
        <f t="shared" si="43"/>
        <v/>
      </c>
      <c r="L247" s="9" t="s">
        <v>756</v>
      </c>
    </row>
    <row r="248" spans="1:12">
      <c r="A248" t="s">
        <v>755</v>
      </c>
      <c r="B248">
        <v>5</v>
      </c>
      <c r="C248" t="s">
        <v>740</v>
      </c>
      <c r="D248" t="s">
        <v>731</v>
      </c>
      <c r="E248" t="str">
        <f t="shared" si="40"/>
        <v>His Mercy is More [Live]</v>
      </c>
      <c r="F248" t="str">
        <f t="shared" si="41"/>
        <v>His Mercy is More [Live]</v>
      </c>
      <c r="G248" t="str">
        <f t="shared" si="42"/>
        <v/>
      </c>
      <c r="H248" t="str">
        <f t="shared" si="43"/>
        <v/>
      </c>
    </row>
    <row r="249" spans="1:12">
      <c r="A249" t="s">
        <v>755</v>
      </c>
      <c r="B249">
        <v>6</v>
      </c>
      <c r="C249" t="s">
        <v>740</v>
      </c>
      <c r="D249" t="s">
        <v>732</v>
      </c>
      <c r="E249" t="str">
        <f t="shared" si="40"/>
        <v>Amazing Grace [Live]</v>
      </c>
      <c r="F249" t="str">
        <f t="shared" si="41"/>
        <v>Amazing Grace [Live]</v>
      </c>
      <c r="G249" t="str">
        <f t="shared" si="42"/>
        <v/>
      </c>
      <c r="H249" t="str">
        <f t="shared" si="43"/>
        <v/>
      </c>
    </row>
    <row r="250" spans="1:12">
      <c r="A250" t="s">
        <v>755</v>
      </c>
      <c r="B250">
        <v>7</v>
      </c>
      <c r="C250" t="s">
        <v>740</v>
      </c>
      <c r="D250" t="s">
        <v>733</v>
      </c>
      <c r="E250" t="str">
        <f t="shared" si="40"/>
        <v>I Will Wait For You (Psalm 130) [Live]</v>
      </c>
      <c r="F250" t="str">
        <f t="shared" si="41"/>
        <v>I Will Wait For You</v>
      </c>
      <c r="G250" t="str">
        <f t="shared" si="42"/>
        <v>Psalm 130) [Live</v>
      </c>
      <c r="H250" t="str">
        <f t="shared" si="43"/>
        <v/>
      </c>
    </row>
    <row r="251" spans="1:12">
      <c r="A251" t="s">
        <v>755</v>
      </c>
      <c r="B251">
        <v>8</v>
      </c>
      <c r="C251" t="s">
        <v>740</v>
      </c>
      <c r="D251" t="s">
        <v>734</v>
      </c>
      <c r="E251" t="str">
        <f t="shared" si="40"/>
        <v>The Lord is My Salvation [Live]</v>
      </c>
      <c r="F251" t="str">
        <f t="shared" si="41"/>
        <v>The Lord is My Salvation [Live]</v>
      </c>
      <c r="G251" t="str">
        <f t="shared" si="42"/>
        <v/>
      </c>
      <c r="H251" t="str">
        <f t="shared" si="43"/>
        <v/>
      </c>
      <c r="L251" s="9" t="s">
        <v>756</v>
      </c>
    </row>
    <row r="252" spans="1:12">
      <c r="A252" t="s">
        <v>755</v>
      </c>
      <c r="B252">
        <v>9</v>
      </c>
      <c r="C252" t="s">
        <v>740</v>
      </c>
      <c r="D252" t="s">
        <v>735</v>
      </c>
      <c r="E252" t="str">
        <f t="shared" si="40"/>
        <v>Holy, Holy, Holy [Live]</v>
      </c>
      <c r="F252" t="str">
        <f t="shared" si="41"/>
        <v>Holy, Holy, Holy [Live]</v>
      </c>
      <c r="G252" t="str">
        <f t="shared" si="42"/>
        <v/>
      </c>
      <c r="H252" t="str">
        <f t="shared" si="43"/>
        <v/>
      </c>
      <c r="L252" s="9" t="s">
        <v>756</v>
      </c>
    </row>
    <row r="253" spans="1:12">
      <c r="A253" t="s">
        <v>755</v>
      </c>
      <c r="B253">
        <v>10</v>
      </c>
      <c r="C253" t="s">
        <v>740</v>
      </c>
      <c r="D253" t="s">
        <v>736</v>
      </c>
      <c r="E253" t="str">
        <f t="shared" si="40"/>
        <v>He Will Hold Me Fast [Live]</v>
      </c>
      <c r="F253" t="str">
        <f t="shared" si="41"/>
        <v>He Will Hold Me Fast [Live]</v>
      </c>
      <c r="G253" t="str">
        <f t="shared" si="42"/>
        <v/>
      </c>
      <c r="H253" t="str">
        <f t="shared" si="43"/>
        <v/>
      </c>
      <c r="L253" s="9" t="s">
        <v>756</v>
      </c>
    </row>
    <row r="254" spans="1:12">
      <c r="A254" t="s">
        <v>755</v>
      </c>
      <c r="B254">
        <v>11</v>
      </c>
      <c r="C254" t="s">
        <v>740</v>
      </c>
      <c r="D254" t="s">
        <v>737</v>
      </c>
      <c r="E254" t="str">
        <f t="shared" si="40"/>
        <v>There is A Fountain [Live]</v>
      </c>
      <c r="F254" t="str">
        <f t="shared" si="41"/>
        <v>There is A Fountain [Live]</v>
      </c>
      <c r="G254" t="str">
        <f t="shared" si="42"/>
        <v/>
      </c>
      <c r="H254" t="str">
        <f t="shared" si="43"/>
        <v/>
      </c>
      <c r="L254" s="9" t="s">
        <v>756</v>
      </c>
    </row>
    <row r="255" spans="1:12">
      <c r="A255" t="s">
        <v>755</v>
      </c>
      <c r="B255">
        <v>12</v>
      </c>
      <c r="C255" t="s">
        <v>740</v>
      </c>
      <c r="D255" t="s">
        <v>738</v>
      </c>
      <c r="E255" t="str">
        <f t="shared" si="40"/>
        <v>My Worth Is Not In What I Own [Live]</v>
      </c>
      <c r="F255" t="str">
        <f t="shared" si="41"/>
        <v>My Worth Is Not In What I Own [Live]</v>
      </c>
      <c r="G255" t="str">
        <f t="shared" si="42"/>
        <v/>
      </c>
      <c r="H255" t="str">
        <f t="shared" si="43"/>
        <v/>
      </c>
    </row>
    <row r="256" spans="1:12">
      <c r="A256" t="s">
        <v>755</v>
      </c>
      <c r="B256">
        <v>13</v>
      </c>
      <c r="C256" t="s">
        <v>740</v>
      </c>
      <c r="D256" t="s">
        <v>739</v>
      </c>
      <c r="E256" t="str">
        <f t="shared" si="40"/>
        <v>In Christ Alone [Live]</v>
      </c>
      <c r="F256" t="str">
        <f t="shared" si="41"/>
        <v>In Christ Alone [Live]</v>
      </c>
      <c r="G256" t="str">
        <f t="shared" si="42"/>
        <v/>
      </c>
      <c r="H256" t="str">
        <f t="shared" si="43"/>
        <v/>
      </c>
    </row>
    <row r="257" spans="1:11">
      <c r="A257" t="s">
        <v>754</v>
      </c>
      <c r="B257">
        <v>1</v>
      </c>
      <c r="C257" t="s">
        <v>726</v>
      </c>
      <c r="D257" t="s">
        <v>66</v>
      </c>
      <c r="E257" t="str">
        <f t="shared" si="40"/>
        <v>Be Thou My Vision (Lord You Are)</v>
      </c>
      <c r="F257" t="str">
        <f t="shared" si="41"/>
        <v>Be Thou My Vision</v>
      </c>
      <c r="G257" t="str">
        <f t="shared" si="42"/>
        <v>Lord You Are</v>
      </c>
      <c r="H257" t="str">
        <f t="shared" si="43"/>
        <v>Shane &amp; Shane</v>
      </c>
      <c r="I257">
        <v>71</v>
      </c>
      <c r="J257" t="s">
        <v>31</v>
      </c>
      <c r="K257" s="3">
        <v>7056332</v>
      </c>
    </row>
    <row r="258" spans="1:11">
      <c r="A258" t="s">
        <v>754</v>
      </c>
      <c r="B258">
        <v>2</v>
      </c>
      <c r="C258" t="s">
        <v>726</v>
      </c>
      <c r="D258" t="s">
        <v>64</v>
      </c>
      <c r="E258" t="str">
        <f t="shared" si="40"/>
        <v>Turn Your Eyes Upon Jesus (Amazing Grace)</v>
      </c>
      <c r="F258" t="str">
        <f t="shared" si="41"/>
        <v>Turn Your Eyes Upon Jesus</v>
      </c>
      <c r="G258" t="str">
        <f t="shared" si="42"/>
        <v>Amazing Grace</v>
      </c>
      <c r="H258" t="str">
        <f t="shared" si="43"/>
        <v/>
      </c>
      <c r="I258">
        <v>74</v>
      </c>
      <c r="J258" t="s">
        <v>27</v>
      </c>
      <c r="K258" s="3">
        <v>15960</v>
      </c>
    </row>
    <row r="259" spans="1:11">
      <c r="A259" t="s">
        <v>754</v>
      </c>
      <c r="B259">
        <v>3</v>
      </c>
      <c r="C259" t="s">
        <v>726</v>
      </c>
      <c r="D259" t="s">
        <v>65</v>
      </c>
      <c r="E259" t="str">
        <f t="shared" si="40"/>
        <v>My Jesus I Love Thee</v>
      </c>
      <c r="F259" t="str">
        <f t="shared" si="41"/>
        <v>My Jesus I Love Thee</v>
      </c>
      <c r="G259" t="str">
        <f t="shared" si="42"/>
        <v/>
      </c>
      <c r="H259" t="str">
        <f t="shared" si="43"/>
        <v/>
      </c>
      <c r="I259">
        <v>68</v>
      </c>
      <c r="J259" t="s">
        <v>27</v>
      </c>
      <c r="K259" s="3">
        <v>27817</v>
      </c>
    </row>
    <row r="260" spans="1:11">
      <c r="A260" t="s">
        <v>754</v>
      </c>
      <c r="B260">
        <v>4</v>
      </c>
      <c r="C260" t="s">
        <v>726</v>
      </c>
      <c r="D260" t="s">
        <v>63</v>
      </c>
      <c r="E260" t="str">
        <f t="shared" si="40"/>
        <v>Praise to the Lord (Joyful, Joyful)</v>
      </c>
      <c r="F260" t="str">
        <f t="shared" si="41"/>
        <v>Praise to the Lord</v>
      </c>
      <c r="G260" t="str">
        <f t="shared" si="42"/>
        <v>Joyful, Joyful</v>
      </c>
      <c r="H260" t="str">
        <f t="shared" si="43"/>
        <v/>
      </c>
      <c r="I260">
        <v>68</v>
      </c>
      <c r="J260" t="s">
        <v>27</v>
      </c>
      <c r="K260" s="3">
        <v>43073</v>
      </c>
    </row>
    <row r="261" spans="1:11">
      <c r="A261" t="s">
        <v>754</v>
      </c>
      <c r="B261">
        <v>5</v>
      </c>
      <c r="C261" t="s">
        <v>726</v>
      </c>
      <c r="D261" t="s">
        <v>69</v>
      </c>
      <c r="E261" t="str">
        <f t="shared" si="40"/>
        <v>Oh Lord Almighty</v>
      </c>
      <c r="F261" t="str">
        <f t="shared" si="41"/>
        <v>Oh Lord Almighty</v>
      </c>
      <c r="G261" t="str">
        <f t="shared" si="42"/>
        <v/>
      </c>
      <c r="H261" t="str">
        <f t="shared" si="43"/>
        <v>Shane &amp; Shane</v>
      </c>
      <c r="I261">
        <v>71</v>
      </c>
      <c r="J261" t="s">
        <v>3</v>
      </c>
      <c r="K261" s="3">
        <v>7128814</v>
      </c>
    </row>
    <row r="262" spans="1:11">
      <c r="A262" t="s">
        <v>754</v>
      </c>
      <c r="B262">
        <v>6</v>
      </c>
      <c r="C262" t="s">
        <v>726</v>
      </c>
      <c r="D262" t="s">
        <v>68</v>
      </c>
      <c r="E262" t="str">
        <f t="shared" si="40"/>
        <v>Power of the Cross</v>
      </c>
      <c r="F262" t="str">
        <f t="shared" si="41"/>
        <v>Power of the Cross</v>
      </c>
      <c r="G262" t="str">
        <f t="shared" si="42"/>
        <v/>
      </c>
      <c r="H262" t="str">
        <f t="shared" si="43"/>
        <v>Keith and Kristyn Getty</v>
      </c>
      <c r="I262">
        <v>57</v>
      </c>
      <c r="J262" t="s">
        <v>20</v>
      </c>
      <c r="K262" s="5">
        <v>4490766</v>
      </c>
    </row>
    <row r="263" spans="1:11">
      <c r="A263" t="s">
        <v>754</v>
      </c>
      <c r="B263">
        <v>7</v>
      </c>
      <c r="C263" t="s">
        <v>726</v>
      </c>
      <c r="D263" t="s">
        <v>60</v>
      </c>
      <c r="E263" t="str">
        <f t="shared" si="40"/>
        <v>Come Behold the Wondrous Mystery</v>
      </c>
      <c r="F263" t="str">
        <f t="shared" si="41"/>
        <v>Come Behold the Wondrous Mystery</v>
      </c>
      <c r="G263" t="str">
        <f t="shared" si="42"/>
        <v/>
      </c>
      <c r="H263" t="str">
        <f t="shared" si="43"/>
        <v>Matt Boswell</v>
      </c>
      <c r="I263">
        <v>68</v>
      </c>
      <c r="J263" t="s">
        <v>6</v>
      </c>
      <c r="K263" s="3" t="s">
        <v>592</v>
      </c>
    </row>
    <row r="264" spans="1:11">
      <c r="A264" t="s">
        <v>754</v>
      </c>
      <c r="B264">
        <v>8</v>
      </c>
      <c r="C264" t="s">
        <v>726</v>
      </c>
      <c r="D264" t="s">
        <v>67</v>
      </c>
      <c r="E264" t="str">
        <f t="shared" si="40"/>
        <v>Living Waters (As the Deer)</v>
      </c>
      <c r="F264" t="str">
        <f t="shared" si="41"/>
        <v>Living Waters</v>
      </c>
      <c r="G264" t="str">
        <f t="shared" si="42"/>
        <v>As the Deer</v>
      </c>
      <c r="H264" t="str">
        <f t="shared" si="43"/>
        <v>Keith and Kristyn Getty</v>
      </c>
      <c r="I264">
        <v>84</v>
      </c>
      <c r="J264" t="s">
        <v>61</v>
      </c>
      <c r="K264" s="3">
        <v>7063743</v>
      </c>
    </row>
    <row r="265" spans="1:11">
      <c r="A265" t="s">
        <v>754</v>
      </c>
      <c r="B265">
        <v>9</v>
      </c>
      <c r="C265" t="s">
        <v>726</v>
      </c>
      <c r="D265" t="s">
        <v>70</v>
      </c>
      <c r="E265" t="str">
        <f t="shared" si="40"/>
        <v>All Hail The Power of Jesus Name</v>
      </c>
      <c r="F265" t="str">
        <f t="shared" si="41"/>
        <v>All Hail The Power of Jesus Name</v>
      </c>
      <c r="G265" t="str">
        <f t="shared" si="42"/>
        <v/>
      </c>
      <c r="H265" t="str">
        <f t="shared" si="43"/>
        <v/>
      </c>
      <c r="I265">
        <v>77</v>
      </c>
      <c r="J265" t="s">
        <v>61</v>
      </c>
      <c r="K265" s="3">
        <v>25400</v>
      </c>
    </row>
    <row r="266" spans="1:11">
      <c r="A266" t="s">
        <v>754</v>
      </c>
      <c r="B266">
        <v>10</v>
      </c>
      <c r="C266" t="s">
        <v>726</v>
      </c>
      <c r="D266" t="s">
        <v>62</v>
      </c>
      <c r="E266" t="str">
        <f t="shared" si="40"/>
        <v>Crown Him With Many Crowns</v>
      </c>
      <c r="F266" t="str">
        <f t="shared" si="41"/>
        <v>Crown Him With Many Crowns</v>
      </c>
      <c r="G266" t="str">
        <f t="shared" si="42"/>
        <v/>
      </c>
      <c r="H266" t="str">
        <f t="shared" si="43"/>
        <v/>
      </c>
      <c r="I266">
        <v>77</v>
      </c>
      <c r="J266" t="s">
        <v>61</v>
      </c>
      <c r="K266" s="3">
        <v>23938</v>
      </c>
    </row>
    <row r="267" spans="1:11">
      <c r="A267" s="9" t="s">
        <v>750</v>
      </c>
      <c r="B267" s="9">
        <v>1</v>
      </c>
      <c r="C267" s="9" t="s">
        <v>742</v>
      </c>
      <c r="D267" t="s">
        <v>5</v>
      </c>
      <c r="E267" t="str">
        <f t="shared" si="40"/>
        <v>Angels We Have Heard On High</v>
      </c>
      <c r="F267" t="str">
        <f t="shared" si="41"/>
        <v>Angels We Have Heard On High</v>
      </c>
      <c r="G267" t="str">
        <f t="shared" si="42"/>
        <v/>
      </c>
      <c r="H267" t="str">
        <f t="shared" si="43"/>
        <v/>
      </c>
      <c r="I267">
        <v>100</v>
      </c>
      <c r="J267" t="s">
        <v>0</v>
      </c>
      <c r="K267" s="3">
        <v>27721</v>
      </c>
    </row>
    <row r="268" spans="1:11">
      <c r="A268" s="9" t="s">
        <v>750</v>
      </c>
      <c r="B268" s="9">
        <v>2</v>
      </c>
      <c r="C268" s="9" t="s">
        <v>742</v>
      </c>
      <c r="D268" t="s">
        <v>2</v>
      </c>
      <c r="E268" t="str">
        <f t="shared" si="40"/>
        <v>O Come All Ye Faithful</v>
      </c>
      <c r="F268" t="str">
        <f t="shared" si="41"/>
        <v>O Come All Ye Faithful</v>
      </c>
      <c r="G268" t="str">
        <f t="shared" si="42"/>
        <v/>
      </c>
      <c r="H268" t="str">
        <f t="shared" si="43"/>
        <v/>
      </c>
      <c r="I268">
        <v>82</v>
      </c>
      <c r="J268" t="s">
        <v>0</v>
      </c>
      <c r="K268" s="3">
        <v>31054</v>
      </c>
    </row>
    <row r="269" spans="1:11">
      <c r="A269" s="9" t="s">
        <v>750</v>
      </c>
      <c r="B269" s="9">
        <v>3</v>
      </c>
      <c r="C269" s="9" t="s">
        <v>742</v>
      </c>
      <c r="D269" t="s">
        <v>7</v>
      </c>
      <c r="E269" t="str">
        <f t="shared" si="40"/>
        <v>Go Tell It On The Mountain</v>
      </c>
      <c r="F269" t="str">
        <f t="shared" si="41"/>
        <v>Go Tell It On The Mountain</v>
      </c>
      <c r="G269" t="str">
        <f t="shared" si="42"/>
        <v/>
      </c>
      <c r="H269" t="str">
        <f t="shared" si="43"/>
        <v/>
      </c>
      <c r="I269">
        <v>60</v>
      </c>
      <c r="J269" t="s">
        <v>6</v>
      </c>
      <c r="K269" s="3">
        <v>29080</v>
      </c>
    </row>
    <row r="270" spans="1:11">
      <c r="A270" s="9" t="s">
        <v>750</v>
      </c>
      <c r="B270" s="9">
        <v>4</v>
      </c>
      <c r="C270" s="9" t="s">
        <v>742</v>
      </c>
      <c r="D270" t="s">
        <v>4</v>
      </c>
      <c r="E270" t="str">
        <f t="shared" si="40"/>
        <v>O Holy Night (Vol. 1)</v>
      </c>
      <c r="F270" t="str">
        <f t="shared" si="41"/>
        <v>O Holy Night</v>
      </c>
      <c r="G270" t="str">
        <f t="shared" si="42"/>
        <v>Vol. 1</v>
      </c>
      <c r="H270" t="str">
        <f t="shared" si="43"/>
        <v>Shane &amp; Shane</v>
      </c>
      <c r="I270">
        <v>102</v>
      </c>
      <c r="J270" t="s">
        <v>3</v>
      </c>
      <c r="K270" s="3">
        <v>32015</v>
      </c>
    </row>
    <row r="271" spans="1:11">
      <c r="A271" s="9" t="s">
        <v>750</v>
      </c>
      <c r="B271" s="9">
        <v>5</v>
      </c>
      <c r="C271" s="9" t="s">
        <v>742</v>
      </c>
      <c r="D271" t="s">
        <v>13</v>
      </c>
      <c r="E271" t="str">
        <f t="shared" si="40"/>
        <v>Joy To The World</v>
      </c>
      <c r="F271" t="str">
        <f t="shared" si="41"/>
        <v>Joy To The World</v>
      </c>
      <c r="G271" t="str">
        <f t="shared" si="42"/>
        <v/>
      </c>
      <c r="H271" t="str">
        <f t="shared" si="43"/>
        <v/>
      </c>
      <c r="I271">
        <v>110</v>
      </c>
      <c r="J271" t="s">
        <v>3</v>
      </c>
      <c r="K271" s="3">
        <v>24016</v>
      </c>
    </row>
    <row r="272" spans="1:11">
      <c r="A272" s="9" t="s">
        <v>750</v>
      </c>
      <c r="B272" s="9">
        <v>6</v>
      </c>
      <c r="C272" s="9" t="s">
        <v>742</v>
      </c>
      <c r="D272" t="s">
        <v>9</v>
      </c>
      <c r="E272" t="str">
        <f t="shared" si="40"/>
        <v>Silent Night</v>
      </c>
      <c r="F272" t="str">
        <f t="shared" si="41"/>
        <v>Silent Night</v>
      </c>
      <c r="G272" t="str">
        <f t="shared" si="42"/>
        <v/>
      </c>
      <c r="H272" t="str">
        <f t="shared" si="43"/>
        <v/>
      </c>
      <c r="I272">
        <v>86</v>
      </c>
      <c r="J272" t="s">
        <v>3</v>
      </c>
      <c r="K272" s="3">
        <v>27862</v>
      </c>
    </row>
    <row r="273" spans="1:12">
      <c r="A273" s="9" t="s">
        <v>750</v>
      </c>
      <c r="B273" s="9">
        <v>7</v>
      </c>
      <c r="C273" s="9" t="s">
        <v>742</v>
      </c>
      <c r="D273" t="s">
        <v>10</v>
      </c>
      <c r="E273" t="str">
        <f t="shared" si="40"/>
        <v>The First Noel (Vol. 1)</v>
      </c>
      <c r="F273" t="str">
        <f t="shared" si="41"/>
        <v>The First Noel</v>
      </c>
      <c r="G273" t="str">
        <f t="shared" si="42"/>
        <v>Vol. 1</v>
      </c>
      <c r="H273" t="str">
        <f t="shared" si="43"/>
        <v>Shane &amp; Shane</v>
      </c>
      <c r="I273">
        <v>79</v>
      </c>
      <c r="J273" t="s">
        <v>3</v>
      </c>
      <c r="K273" s="3">
        <v>31047</v>
      </c>
    </row>
    <row r="274" spans="1:12">
      <c r="A274" s="9" t="s">
        <v>750</v>
      </c>
      <c r="B274" s="9">
        <v>8</v>
      </c>
      <c r="C274" s="9" t="s">
        <v>742</v>
      </c>
      <c r="D274" t="s">
        <v>8</v>
      </c>
      <c r="E274" t="str">
        <f t="shared" si="40"/>
        <v>O Come O Come Emmanuel (Vol. 1)</v>
      </c>
      <c r="F274" t="str">
        <f t="shared" si="41"/>
        <v>O Come O Come Emmanuel</v>
      </c>
      <c r="G274" t="str">
        <f t="shared" si="42"/>
        <v>Vol. 1</v>
      </c>
      <c r="H274" t="str">
        <f t="shared" si="43"/>
        <v>Shane &amp; Shane</v>
      </c>
      <c r="I274">
        <v>63</v>
      </c>
      <c r="J274" t="s">
        <v>0</v>
      </c>
      <c r="K274" s="3">
        <v>31982</v>
      </c>
    </row>
    <row r="275" spans="1:12">
      <c r="A275" s="9" t="s">
        <v>750</v>
      </c>
      <c r="B275" s="9">
        <v>9</v>
      </c>
      <c r="C275" s="9" t="s">
        <v>742</v>
      </c>
      <c r="D275" t="s">
        <v>14</v>
      </c>
      <c r="E275" t="str">
        <f t="shared" si="40"/>
        <v>Little Drummer Boy (Vol. 1)</v>
      </c>
      <c r="F275" t="str">
        <f t="shared" si="41"/>
        <v>Little Drummer Boy</v>
      </c>
      <c r="G275" t="str">
        <f t="shared" si="42"/>
        <v>Vol. 1</v>
      </c>
      <c r="H275" t="str">
        <f t="shared" si="43"/>
        <v>Shane &amp; Shane</v>
      </c>
      <c r="I275">
        <v>106</v>
      </c>
      <c r="J275" t="s">
        <v>11</v>
      </c>
      <c r="K275" s="3"/>
    </row>
    <row r="276" spans="1:12">
      <c r="A276" s="9" t="s">
        <v>750</v>
      </c>
      <c r="B276" s="9">
        <v>10</v>
      </c>
      <c r="C276" s="9" t="s">
        <v>742</v>
      </c>
      <c r="D276" t="s">
        <v>12</v>
      </c>
      <c r="E276" t="str">
        <f t="shared" si="40"/>
        <v>Love Comes Down</v>
      </c>
      <c r="F276" t="str">
        <f t="shared" si="41"/>
        <v>Love Comes Down</v>
      </c>
      <c r="G276" t="str">
        <f t="shared" si="42"/>
        <v/>
      </c>
      <c r="H276" t="str">
        <f t="shared" si="43"/>
        <v>Michael Farren</v>
      </c>
      <c r="I276">
        <v>73</v>
      </c>
      <c r="J276" t="s">
        <v>11</v>
      </c>
      <c r="K276" s="3"/>
    </row>
    <row r="277" spans="1:12">
      <c r="A277" s="9" t="s">
        <v>751</v>
      </c>
      <c r="B277" s="9">
        <v>1</v>
      </c>
      <c r="C277" s="9" t="s">
        <v>743</v>
      </c>
      <c r="D277" t="s">
        <v>19</v>
      </c>
      <c r="E277" t="str">
        <f t="shared" si="40"/>
        <v>Come Thou Long Expected Jesus</v>
      </c>
      <c r="F277" t="str">
        <f t="shared" si="41"/>
        <v>Come Thou Long Expected Jesus</v>
      </c>
      <c r="G277" t="str">
        <f t="shared" si="42"/>
        <v/>
      </c>
      <c r="H277" t="str">
        <f t="shared" si="43"/>
        <v/>
      </c>
      <c r="I277">
        <v>68</v>
      </c>
      <c r="J277" t="s">
        <v>3</v>
      </c>
      <c r="K277" s="3">
        <v>31999</v>
      </c>
    </row>
    <row r="278" spans="1:12">
      <c r="A278" s="9" t="s">
        <v>751</v>
      </c>
      <c r="B278" s="9">
        <v>2</v>
      </c>
      <c r="C278" s="9" t="s">
        <v>743</v>
      </c>
      <c r="D278" t="s">
        <v>16</v>
      </c>
      <c r="E278" t="str">
        <f t="shared" si="40"/>
        <v>Joy to the World (Joyful, Joyful)</v>
      </c>
      <c r="F278" t="str">
        <f t="shared" si="41"/>
        <v>Joy to the World</v>
      </c>
      <c r="G278" t="str">
        <f t="shared" si="42"/>
        <v>Joyful, Joyful</v>
      </c>
      <c r="H278" t="str">
        <f t="shared" si="43"/>
        <v>Phil Wickham</v>
      </c>
      <c r="I278">
        <v>145</v>
      </c>
      <c r="J278" t="s">
        <v>3</v>
      </c>
      <c r="K278" s="3">
        <v>7036006</v>
      </c>
    </row>
    <row r="279" spans="1:12">
      <c r="A279" s="9" t="s">
        <v>751</v>
      </c>
      <c r="B279" s="9">
        <v>3</v>
      </c>
      <c r="C279" s="9" t="s">
        <v>743</v>
      </c>
      <c r="D279" t="s">
        <v>22</v>
      </c>
      <c r="E279" t="str">
        <f t="shared" si="40"/>
        <v>Hark the Herald Angels Sing</v>
      </c>
      <c r="F279" t="str">
        <f t="shared" si="41"/>
        <v>Hark the Herald Angels Sing</v>
      </c>
      <c r="G279" t="str">
        <f t="shared" si="42"/>
        <v/>
      </c>
      <c r="H279" t="str">
        <f t="shared" si="43"/>
        <v/>
      </c>
      <c r="I279">
        <v>78</v>
      </c>
      <c r="J279" t="s">
        <v>20</v>
      </c>
      <c r="K279" s="3">
        <v>27738</v>
      </c>
    </row>
    <row r="280" spans="1:12">
      <c r="A280" s="9" t="s">
        <v>751</v>
      </c>
      <c r="B280" s="9">
        <v>4</v>
      </c>
      <c r="C280" s="9" t="s">
        <v>743</v>
      </c>
      <c r="D280" t="s">
        <v>21</v>
      </c>
      <c r="E280" t="str">
        <f t="shared" si="40"/>
        <v>O Little Town of Bethlehem</v>
      </c>
      <c r="F280" t="str">
        <f t="shared" si="41"/>
        <v>O Little Town of Bethlehem</v>
      </c>
      <c r="G280" t="str">
        <f t="shared" si="42"/>
        <v/>
      </c>
      <c r="H280" t="str">
        <f t="shared" si="43"/>
        <v/>
      </c>
      <c r="I280">
        <v>65</v>
      </c>
      <c r="J280" t="s">
        <v>20</v>
      </c>
      <c r="K280" s="3">
        <v>27879</v>
      </c>
    </row>
    <row r="281" spans="1:12">
      <c r="A281" s="9" t="s">
        <v>751</v>
      </c>
      <c r="B281" s="9">
        <v>5</v>
      </c>
      <c r="C281" s="9" t="s">
        <v>743</v>
      </c>
      <c r="D281" t="s">
        <v>23</v>
      </c>
      <c r="E281" t="str">
        <f t="shared" si="40"/>
        <v>Breath of Heaven</v>
      </c>
      <c r="F281" t="str">
        <f t="shared" si="41"/>
        <v>Breath of Heaven</v>
      </c>
      <c r="G281" t="str">
        <f t="shared" si="42"/>
        <v/>
      </c>
      <c r="H281" t="str">
        <f t="shared" si="43"/>
        <v>Amy Grant</v>
      </c>
      <c r="I281">
        <v>57</v>
      </c>
      <c r="J281" t="s">
        <v>3</v>
      </c>
      <c r="K281" s="3"/>
    </row>
    <row r="282" spans="1:12">
      <c r="A282" s="9" t="s">
        <v>751</v>
      </c>
      <c r="B282" s="9">
        <v>6</v>
      </c>
      <c r="C282" s="9" t="s">
        <v>743</v>
      </c>
      <c r="D282" t="s">
        <v>25</v>
      </c>
      <c r="E282" t="str">
        <f t="shared" si="40"/>
        <v>Face of God</v>
      </c>
      <c r="F282" t="str">
        <f t="shared" si="41"/>
        <v>Face of God</v>
      </c>
      <c r="G282" t="str">
        <f t="shared" si="42"/>
        <v/>
      </c>
      <c r="H282" t="str">
        <f t="shared" si="43"/>
        <v/>
      </c>
      <c r="I282">
        <v>70</v>
      </c>
      <c r="J282" t="s">
        <v>24</v>
      </c>
      <c r="K282" s="3"/>
    </row>
    <row r="283" spans="1:12">
      <c r="A283" s="9" t="s">
        <v>751</v>
      </c>
      <c r="B283" s="9">
        <v>7</v>
      </c>
      <c r="C283" s="9" t="s">
        <v>743</v>
      </c>
      <c r="D283" t="s">
        <v>18</v>
      </c>
      <c r="E283" t="str">
        <f t="shared" si="40"/>
        <v>What Child Is This</v>
      </c>
      <c r="F283" t="str">
        <f t="shared" si="41"/>
        <v>What Child Is This</v>
      </c>
      <c r="G283" t="str">
        <f t="shared" si="42"/>
        <v/>
      </c>
      <c r="H283" t="str">
        <f t="shared" si="43"/>
        <v/>
      </c>
      <c r="I283">
        <v>110</v>
      </c>
      <c r="J283" t="s">
        <v>17</v>
      </c>
      <c r="K283" s="3">
        <v>30983</v>
      </c>
    </row>
    <row r="284" spans="1:12">
      <c r="A284" s="9" t="s">
        <v>751</v>
      </c>
      <c r="B284" s="9">
        <v>8</v>
      </c>
      <c r="C284" s="9" t="s">
        <v>743</v>
      </c>
      <c r="D284" t="s">
        <v>26</v>
      </c>
      <c r="E284" t="str">
        <f t="shared" si="40"/>
        <v>Away in a Manger</v>
      </c>
      <c r="F284" t="str">
        <f t="shared" si="41"/>
        <v>Away in a Manger</v>
      </c>
      <c r="G284" t="str">
        <f t="shared" si="42"/>
        <v/>
      </c>
      <c r="H284" t="str">
        <f t="shared" si="43"/>
        <v/>
      </c>
      <c r="I284">
        <v>73</v>
      </c>
      <c r="J284" t="s">
        <v>17</v>
      </c>
      <c r="K284" s="3">
        <v>38583</v>
      </c>
    </row>
    <row r="285" spans="1:12">
      <c r="A285" s="9" t="s">
        <v>751</v>
      </c>
      <c r="B285" s="9">
        <v>9</v>
      </c>
      <c r="C285" s="9" t="s">
        <v>743</v>
      </c>
      <c r="D285" t="s">
        <v>30</v>
      </c>
      <c r="E285" t="str">
        <f t="shared" si="40"/>
        <v>Winter Snow</v>
      </c>
      <c r="F285" t="str">
        <f t="shared" si="41"/>
        <v>Winter Snow</v>
      </c>
      <c r="G285" t="str">
        <f t="shared" si="42"/>
        <v/>
      </c>
      <c r="H285" t="str">
        <f t="shared" si="43"/>
        <v>Audrey Assad</v>
      </c>
      <c r="I285">
        <v>71</v>
      </c>
      <c r="J285" t="s">
        <v>29</v>
      </c>
      <c r="K285" s="3"/>
    </row>
    <row r="286" spans="1:12">
      <c r="A286" s="9" t="s">
        <v>751</v>
      </c>
      <c r="B286" s="9">
        <v>10</v>
      </c>
      <c r="C286" s="9" t="s">
        <v>743</v>
      </c>
      <c r="D286" t="s">
        <v>28</v>
      </c>
      <c r="E286" t="str">
        <f t="shared" si="40"/>
        <v>It Came Upon A Midnight Clear</v>
      </c>
      <c r="F286" t="str">
        <f t="shared" si="41"/>
        <v>It Came Upon A Midnight Clear</v>
      </c>
      <c r="G286" t="str">
        <f t="shared" si="42"/>
        <v/>
      </c>
      <c r="H286" t="str">
        <f t="shared" si="43"/>
        <v/>
      </c>
      <c r="I286">
        <v>67</v>
      </c>
      <c r="J286" t="s">
        <v>27</v>
      </c>
      <c r="K286" s="3">
        <v>31078</v>
      </c>
    </row>
    <row r="287" spans="1:12">
      <c r="A287" t="s">
        <v>752</v>
      </c>
      <c r="B287">
        <v>1</v>
      </c>
      <c r="C287" t="s">
        <v>749</v>
      </c>
      <c r="D287" t="s">
        <v>744</v>
      </c>
      <c r="E287" t="str">
        <f t="shared" si="40"/>
        <v>Sing We The Song of Emmanuel (Vol. 3)</v>
      </c>
      <c r="F287" t="str">
        <f t="shared" si="41"/>
        <v>Sing We The Song of Emmanuel</v>
      </c>
      <c r="G287" t="str">
        <f t="shared" si="42"/>
        <v>Vol. 3</v>
      </c>
      <c r="H287" t="str">
        <f t="shared" si="43"/>
        <v/>
      </c>
    </row>
    <row r="288" spans="1:12">
      <c r="A288" t="s">
        <v>752</v>
      </c>
      <c r="B288">
        <v>2</v>
      </c>
      <c r="C288" t="s">
        <v>749</v>
      </c>
      <c r="D288" t="s">
        <v>745</v>
      </c>
      <c r="E288" t="str">
        <f t="shared" si="40"/>
        <v>Oh Holy Night (Vol. 3)</v>
      </c>
      <c r="F288" t="str">
        <f t="shared" si="41"/>
        <v>Oh Holy Night</v>
      </c>
      <c r="G288" t="str">
        <f t="shared" si="42"/>
        <v>Vol. 3</v>
      </c>
      <c r="H288" t="str">
        <f t="shared" si="43"/>
        <v/>
      </c>
      <c r="L288" s="9" t="s">
        <v>756</v>
      </c>
    </row>
    <row r="289" spans="1:12">
      <c r="A289" t="s">
        <v>752</v>
      </c>
      <c r="B289">
        <v>3</v>
      </c>
      <c r="C289" t="s">
        <v>749</v>
      </c>
      <c r="D289" t="s">
        <v>746</v>
      </c>
      <c r="E289" t="str">
        <f t="shared" si="40"/>
        <v>Little Drummer Boy (Vol. 3)</v>
      </c>
      <c r="F289" t="str">
        <f t="shared" si="41"/>
        <v>Little Drummer Boy</v>
      </c>
      <c r="G289" t="str">
        <f t="shared" si="42"/>
        <v>Vol. 3</v>
      </c>
      <c r="H289" t="str">
        <f t="shared" si="43"/>
        <v/>
      </c>
      <c r="L289" s="9" t="s">
        <v>756</v>
      </c>
    </row>
    <row r="290" spans="1:12">
      <c r="A290" t="s">
        <v>752</v>
      </c>
      <c r="B290">
        <v>4</v>
      </c>
      <c r="C290" t="s">
        <v>749</v>
      </c>
      <c r="D290" t="s">
        <v>747</v>
      </c>
      <c r="E290" t="str">
        <f t="shared" si="40"/>
        <v>The First Noel (Vol. 3)</v>
      </c>
      <c r="F290" t="str">
        <f t="shared" si="41"/>
        <v>The First Noel</v>
      </c>
      <c r="G290" t="str">
        <f t="shared" si="42"/>
        <v>Vol. 3</v>
      </c>
      <c r="H290" t="str">
        <f t="shared" si="43"/>
        <v/>
      </c>
      <c r="L290" s="9" t="s">
        <v>756</v>
      </c>
    </row>
    <row r="291" spans="1:12">
      <c r="A291" t="s">
        <v>752</v>
      </c>
      <c r="B291">
        <v>5</v>
      </c>
      <c r="C291" t="s">
        <v>749</v>
      </c>
      <c r="D291" t="s">
        <v>748</v>
      </c>
      <c r="E291" t="str">
        <f t="shared" si="40"/>
        <v>O Come O Come Emmanuel (Vol. 3)</v>
      </c>
      <c r="F291" t="str">
        <f t="shared" si="41"/>
        <v>O Come O Come Emmanuel</v>
      </c>
      <c r="G291" t="str">
        <f t="shared" si="42"/>
        <v>Vol. 3</v>
      </c>
      <c r="H291" t="str">
        <f t="shared" si="43"/>
        <v/>
      </c>
      <c r="L291" s="9" t="s">
        <v>756</v>
      </c>
    </row>
    <row r="292" spans="1:12">
      <c r="A292" t="s">
        <v>757</v>
      </c>
      <c r="B292">
        <v>1</v>
      </c>
      <c r="C292" t="s">
        <v>758</v>
      </c>
      <c r="D292" t="s">
        <v>72</v>
      </c>
      <c r="E292" t="str">
        <f t="shared" si="40"/>
        <v>Psalm 46 (Lord of Hosts)</v>
      </c>
      <c r="F292" t="str">
        <f t="shared" si="41"/>
        <v>Psalm 46</v>
      </c>
      <c r="G292" t="str">
        <f t="shared" si="42"/>
        <v>Lord of Hosts</v>
      </c>
      <c r="H292" t="str">
        <f t="shared" si="43"/>
        <v>Shane &amp; Shane</v>
      </c>
      <c r="I292">
        <v>69</v>
      </c>
      <c r="J292" t="s">
        <v>11</v>
      </c>
      <c r="K292" s="3">
        <v>7053138</v>
      </c>
    </row>
    <row r="293" spans="1:12">
      <c r="A293" t="s">
        <v>757</v>
      </c>
      <c r="B293">
        <v>2</v>
      </c>
      <c r="C293" t="s">
        <v>758</v>
      </c>
      <c r="D293" t="s">
        <v>82</v>
      </c>
      <c r="E293" t="str">
        <f t="shared" si="40"/>
        <v>Psalm 45 (Fairest of All)</v>
      </c>
      <c r="F293" t="str">
        <f t="shared" si="41"/>
        <v>Psalm 45</v>
      </c>
      <c r="G293" t="str">
        <f t="shared" si="42"/>
        <v>Fairest of All</v>
      </c>
      <c r="H293" t="str">
        <f t="shared" si="43"/>
        <v>Shane &amp; Shane</v>
      </c>
      <c r="I293">
        <v>106</v>
      </c>
      <c r="J293" t="s">
        <v>11</v>
      </c>
      <c r="K293" s="3">
        <v>7054933</v>
      </c>
    </row>
    <row r="294" spans="1:12">
      <c r="A294" t="s">
        <v>757</v>
      </c>
      <c r="B294">
        <v>3</v>
      </c>
      <c r="C294" t="s">
        <v>758</v>
      </c>
      <c r="D294" t="s">
        <v>76</v>
      </c>
      <c r="E294" t="str">
        <f t="shared" si="40"/>
        <v>Psalm 34 (Taste and See)</v>
      </c>
      <c r="F294" t="str">
        <f t="shared" si="41"/>
        <v>Psalm 34</v>
      </c>
      <c r="G294" t="str">
        <f t="shared" si="42"/>
        <v>Taste and See</v>
      </c>
      <c r="H294" t="str">
        <f t="shared" si="43"/>
        <v>Shane &amp; Shane</v>
      </c>
      <c r="I294">
        <v>57</v>
      </c>
      <c r="J294" t="s">
        <v>29</v>
      </c>
      <c r="K294" s="3">
        <v>7054932</v>
      </c>
    </row>
    <row r="295" spans="1:12">
      <c r="A295" t="s">
        <v>757</v>
      </c>
      <c r="B295">
        <v>4</v>
      </c>
      <c r="C295" t="s">
        <v>758</v>
      </c>
      <c r="D295" t="s">
        <v>80</v>
      </c>
      <c r="E295" t="str">
        <f t="shared" si="40"/>
        <v>Psalm 51 (Wisdom in the Secret Heart)</v>
      </c>
      <c r="F295" t="str">
        <f t="shared" si="41"/>
        <v>Psalm 51</v>
      </c>
      <c r="G295" t="str">
        <f t="shared" si="42"/>
        <v>Wisdom in the Secret Heart</v>
      </c>
      <c r="H295" t="str">
        <f t="shared" si="43"/>
        <v>Shane &amp; Shane</v>
      </c>
      <c r="I295">
        <v>97</v>
      </c>
      <c r="J295" t="s">
        <v>29</v>
      </c>
      <c r="K295" s="3">
        <v>7054928</v>
      </c>
    </row>
    <row r="296" spans="1:12">
      <c r="A296" t="s">
        <v>757</v>
      </c>
      <c r="B296">
        <v>5</v>
      </c>
      <c r="C296" t="s">
        <v>758</v>
      </c>
      <c r="D296" t="s">
        <v>78</v>
      </c>
      <c r="E296" t="str">
        <f t="shared" si="40"/>
        <v>Psalm 139 (Far Too Wonderful)</v>
      </c>
      <c r="F296" t="str">
        <f t="shared" si="41"/>
        <v>Psalm 139</v>
      </c>
      <c r="G296" t="str">
        <f t="shared" si="42"/>
        <v>Far Too Wonderful</v>
      </c>
      <c r="H296" t="str">
        <f t="shared" si="43"/>
        <v>Shane &amp; Shane</v>
      </c>
      <c r="I296">
        <v>107</v>
      </c>
      <c r="J296" t="s">
        <v>29</v>
      </c>
      <c r="K296" s="3">
        <v>7054936</v>
      </c>
    </row>
    <row r="297" spans="1:12">
      <c r="A297" t="s">
        <v>757</v>
      </c>
      <c r="B297">
        <v>6</v>
      </c>
      <c r="C297" t="s">
        <v>758</v>
      </c>
      <c r="D297" t="s">
        <v>83</v>
      </c>
      <c r="E297" t="str">
        <f t="shared" si="40"/>
        <v>Psalm 98 (Sing Unto The Lord)</v>
      </c>
      <c r="F297" t="str">
        <f t="shared" si="41"/>
        <v>Psalm 98</v>
      </c>
      <c r="G297" t="str">
        <f t="shared" si="42"/>
        <v>Sing Unto The Lord</v>
      </c>
      <c r="H297" t="str">
        <f t="shared" si="43"/>
        <v>Shane &amp; Shane</v>
      </c>
      <c r="I297">
        <v>123</v>
      </c>
      <c r="J297" t="s">
        <v>29</v>
      </c>
      <c r="K297" s="3">
        <v>7054935</v>
      </c>
    </row>
    <row r="298" spans="1:12">
      <c r="A298" t="s">
        <v>757</v>
      </c>
      <c r="B298">
        <v>7</v>
      </c>
      <c r="C298" t="s">
        <v>758</v>
      </c>
      <c r="D298" t="s">
        <v>81</v>
      </c>
      <c r="E298" t="str">
        <f t="shared" si="40"/>
        <v>Psalm 91 (On Eagles' Wings)</v>
      </c>
      <c r="F298" t="str">
        <f t="shared" si="41"/>
        <v>Psalm 91</v>
      </c>
      <c r="G298" t="str">
        <f t="shared" si="42"/>
        <v>On Eagles' Wings</v>
      </c>
      <c r="H298" t="str">
        <f t="shared" si="43"/>
        <v>Shane &amp; Shane</v>
      </c>
      <c r="I298">
        <v>62</v>
      </c>
      <c r="J298" t="s">
        <v>24</v>
      </c>
      <c r="K298" s="3" t="s">
        <v>592</v>
      </c>
    </row>
    <row r="299" spans="1:12">
      <c r="A299" t="s">
        <v>757</v>
      </c>
      <c r="B299">
        <v>8</v>
      </c>
      <c r="C299" t="s">
        <v>758</v>
      </c>
      <c r="D299" t="s">
        <v>77</v>
      </c>
      <c r="E299" t="str">
        <f t="shared" si="40"/>
        <v>Psalm 63 (Better than Life)</v>
      </c>
      <c r="F299" t="str">
        <f t="shared" si="41"/>
        <v>Psalm 63</v>
      </c>
      <c r="G299" t="str">
        <f t="shared" si="42"/>
        <v>Better than Life</v>
      </c>
      <c r="H299" t="str">
        <f t="shared" si="43"/>
        <v>Shane &amp; Shane</v>
      </c>
      <c r="I299">
        <v>73</v>
      </c>
      <c r="J299" t="s">
        <v>6</v>
      </c>
      <c r="K299" s="3">
        <v>7054927</v>
      </c>
    </row>
    <row r="300" spans="1:12">
      <c r="A300" t="s">
        <v>757</v>
      </c>
      <c r="B300">
        <v>9</v>
      </c>
      <c r="C300" t="s">
        <v>758</v>
      </c>
      <c r="D300" t="s">
        <v>75</v>
      </c>
      <c r="E300" t="str">
        <f t="shared" si="40"/>
        <v>Psalm 16 (Fullness of Joy)</v>
      </c>
      <c r="F300" t="str">
        <f t="shared" si="41"/>
        <v>Psalm 16</v>
      </c>
      <c r="G300" t="str">
        <f t="shared" si="42"/>
        <v>Fullness of Joy</v>
      </c>
      <c r="H300" t="str">
        <f t="shared" si="43"/>
        <v>Shane &amp; Shane</v>
      </c>
      <c r="I300">
        <v>123</v>
      </c>
      <c r="J300" t="s">
        <v>6</v>
      </c>
      <c r="K300" s="3">
        <v>7054929</v>
      </c>
    </row>
    <row r="301" spans="1:12">
      <c r="A301" t="s">
        <v>757</v>
      </c>
      <c r="B301">
        <v>10</v>
      </c>
      <c r="C301" t="s">
        <v>758</v>
      </c>
      <c r="D301" t="s">
        <v>74</v>
      </c>
      <c r="E301" t="str">
        <f t="shared" si="40"/>
        <v>Take Over</v>
      </c>
      <c r="F301" t="str">
        <f t="shared" si="41"/>
        <v>Take Over</v>
      </c>
      <c r="G301" t="str">
        <f t="shared" si="42"/>
        <v/>
      </c>
      <c r="H301" t="str">
        <f t="shared" si="43"/>
        <v>Shane &amp; Shane</v>
      </c>
      <c r="I301">
        <v>60</v>
      </c>
      <c r="J301" t="s">
        <v>6</v>
      </c>
      <c r="K301" s="3">
        <v>7057211</v>
      </c>
    </row>
    <row r="302" spans="1:12">
      <c r="A302" t="s">
        <v>757</v>
      </c>
      <c r="B302">
        <v>11</v>
      </c>
      <c r="C302" t="s">
        <v>758</v>
      </c>
      <c r="D302" t="s">
        <v>79</v>
      </c>
      <c r="E302" t="str">
        <f t="shared" si="40"/>
        <v>Psalm 27 (One Thing)</v>
      </c>
      <c r="F302" t="str">
        <f t="shared" si="41"/>
        <v>Psalm 27</v>
      </c>
      <c r="G302" t="str">
        <f t="shared" si="42"/>
        <v>One Thing</v>
      </c>
      <c r="H302" t="str">
        <f t="shared" si="43"/>
        <v>Shane &amp; Shane</v>
      </c>
      <c r="I302">
        <v>69</v>
      </c>
      <c r="J302" t="s">
        <v>3</v>
      </c>
      <c r="K302" s="3">
        <v>7054931</v>
      </c>
    </row>
    <row r="303" spans="1:12">
      <c r="A303" t="s">
        <v>757</v>
      </c>
      <c r="B303">
        <v>12</v>
      </c>
      <c r="C303" t="s">
        <v>758</v>
      </c>
      <c r="D303" t="s">
        <v>73</v>
      </c>
      <c r="E303" t="str">
        <f t="shared" si="40"/>
        <v>Psalm 23 (Surely Goodness, Surely Mercy)</v>
      </c>
      <c r="F303" t="str">
        <f t="shared" si="41"/>
        <v>Psalm 23</v>
      </c>
      <c r="G303" t="str">
        <f t="shared" si="42"/>
        <v>Surely Goodness, Surely Mercy</v>
      </c>
      <c r="H303" t="str">
        <f t="shared" si="43"/>
        <v>Shane &amp; Shane</v>
      </c>
      <c r="I303">
        <v>55</v>
      </c>
      <c r="J303" t="s">
        <v>3</v>
      </c>
      <c r="K303" s="3">
        <v>7054930</v>
      </c>
    </row>
    <row r="304" spans="1:12">
      <c r="A304" t="s">
        <v>760</v>
      </c>
      <c r="B304">
        <v>1</v>
      </c>
      <c r="C304" t="s">
        <v>759</v>
      </c>
      <c r="D304" t="s">
        <v>330</v>
      </c>
      <c r="E304" t="str">
        <f t="shared" si="40"/>
        <v>Battle Belongs</v>
      </c>
      <c r="F304" t="str">
        <f t="shared" si="41"/>
        <v>Battle Belongs</v>
      </c>
      <c r="G304" t="str">
        <f t="shared" si="42"/>
        <v/>
      </c>
      <c r="H304" t="str">
        <f t="shared" si="43"/>
        <v>Phil Wickham</v>
      </c>
      <c r="I304">
        <v>81</v>
      </c>
      <c r="J304" t="s">
        <v>147</v>
      </c>
      <c r="K304" s="3">
        <v>7148126</v>
      </c>
    </row>
    <row r="305" spans="1:11">
      <c r="A305" t="s">
        <v>760</v>
      </c>
      <c r="B305">
        <v>2</v>
      </c>
      <c r="C305" t="s">
        <v>759</v>
      </c>
      <c r="D305" t="s">
        <v>331</v>
      </c>
      <c r="E305" t="str">
        <f t="shared" si="40"/>
        <v>At Your Name (Lite)</v>
      </c>
      <c r="F305" t="str">
        <f t="shared" si="41"/>
        <v>At Your Name</v>
      </c>
      <c r="G305" t="str">
        <f t="shared" si="42"/>
        <v>Lite</v>
      </c>
      <c r="H305" t="str">
        <f t="shared" si="43"/>
        <v>Phil Wickham</v>
      </c>
      <c r="I305">
        <v>84</v>
      </c>
      <c r="J305" t="s">
        <v>24</v>
      </c>
      <c r="K305" s="3">
        <v>5942543</v>
      </c>
    </row>
    <row r="306" spans="1:11">
      <c r="A306" t="s">
        <v>760</v>
      </c>
      <c r="B306">
        <v>3</v>
      </c>
      <c r="C306" t="s">
        <v>759</v>
      </c>
      <c r="D306" t="s">
        <v>335</v>
      </c>
      <c r="E306" t="str">
        <f t="shared" ref="E306:E314" si="44">IF(ISNUMBER(SEARCH(" by", D306)), LEFT(D306, FIND(" by ",D306) - 1),D306)</f>
        <v>Raise A Hallelujah (Lite)</v>
      </c>
      <c r="F306" t="str">
        <f t="shared" ref="F306:F314" si="45">LEFT(E306,IF(ISNUMBER(SEARCH(" (",E306)),FIND(" (",E306)-1,LEN(E306)))</f>
        <v>Raise A Hallelujah</v>
      </c>
      <c r="G306" t="str">
        <f t="shared" ref="G306:G313" si="46">IF(ISNUMBER(SEARCH("(",E306)), LEFT(RIGHT(E306, LEN(E306) - FIND("(",E306)), LEN(RIGHT(E306, LEN(E306) - FIND("(",E306))) - 1), "")</f>
        <v>Lite</v>
      </c>
      <c r="H306" t="str">
        <f t="shared" ref="H306:H313" si="47">IF(ISNUMBER(SEARCH(" by",D306)),RIGHT(D306, LEN(D306) - FIND(" by ",D306) - 3),"")</f>
        <v>Jonathan David &amp; Melissa Helser</v>
      </c>
      <c r="I306">
        <v>82</v>
      </c>
      <c r="J306" t="s">
        <v>3</v>
      </c>
      <c r="K306" s="3">
        <v>7119315</v>
      </c>
    </row>
    <row r="307" spans="1:11">
      <c r="A307" t="s">
        <v>760</v>
      </c>
      <c r="B307">
        <v>4</v>
      </c>
      <c r="C307" t="s">
        <v>759</v>
      </c>
      <c r="D307" t="s">
        <v>338</v>
      </c>
      <c r="E307" t="str">
        <f t="shared" si="44"/>
        <v>Peace (Lite)</v>
      </c>
      <c r="F307" t="str">
        <f t="shared" si="45"/>
        <v>Peace</v>
      </c>
      <c r="G307" t="str">
        <f t="shared" si="46"/>
        <v>Lite</v>
      </c>
      <c r="H307" t="str">
        <f t="shared" si="47"/>
        <v>Hillsong Young &amp; Free</v>
      </c>
      <c r="I307">
        <v>64</v>
      </c>
      <c r="J307" t="s">
        <v>29</v>
      </c>
      <c r="K307" s="3">
        <v>7104628</v>
      </c>
    </row>
    <row r="308" spans="1:11">
      <c r="A308" t="s">
        <v>760</v>
      </c>
      <c r="B308">
        <v>5</v>
      </c>
      <c r="C308" t="s">
        <v>759</v>
      </c>
      <c r="D308" t="s">
        <v>339</v>
      </c>
      <c r="E308" t="str">
        <f t="shared" si="44"/>
        <v>Bigger Than I Thought (Lite)</v>
      </c>
      <c r="F308" t="str">
        <f t="shared" si="45"/>
        <v>Bigger Than I Thought</v>
      </c>
      <c r="G308" t="str">
        <f t="shared" si="46"/>
        <v>Lite</v>
      </c>
      <c r="H308" t="str">
        <f t="shared" si="47"/>
        <v>Passion</v>
      </c>
      <c r="I308">
        <v>63</v>
      </c>
      <c r="J308" t="s">
        <v>27</v>
      </c>
      <c r="K308" s="3">
        <v>7123203</v>
      </c>
    </row>
    <row r="309" spans="1:11">
      <c r="A309" t="s">
        <v>760</v>
      </c>
      <c r="B309">
        <v>6</v>
      </c>
      <c r="C309" t="s">
        <v>759</v>
      </c>
      <c r="D309" t="s">
        <v>337</v>
      </c>
      <c r="E309" t="str">
        <f t="shared" si="44"/>
        <v>Sinking Deep (Lite)</v>
      </c>
      <c r="F309" t="str">
        <f t="shared" si="45"/>
        <v>Sinking Deep</v>
      </c>
      <c r="G309" t="str">
        <f t="shared" si="46"/>
        <v>Lite</v>
      </c>
      <c r="H309" t="str">
        <f t="shared" si="47"/>
        <v>Hillsong Young &amp; Free</v>
      </c>
      <c r="I309">
        <v>70</v>
      </c>
      <c r="J309" t="s">
        <v>24</v>
      </c>
      <c r="K309" s="3">
        <v>6605236</v>
      </c>
    </row>
    <row r="310" spans="1:11">
      <c r="A310" t="s">
        <v>760</v>
      </c>
      <c r="B310">
        <v>7</v>
      </c>
      <c r="C310" t="s">
        <v>759</v>
      </c>
      <c r="D310" t="s">
        <v>333</v>
      </c>
      <c r="E310" t="str">
        <f t="shared" si="44"/>
        <v>Psalm 145 (Lite)</v>
      </c>
      <c r="F310" t="str">
        <f t="shared" si="45"/>
        <v>Psalm 145</v>
      </c>
      <c r="G310" t="str">
        <f t="shared" si="46"/>
        <v>Lite</v>
      </c>
      <c r="H310" t="str">
        <f t="shared" si="47"/>
        <v>Shane &amp; Shane</v>
      </c>
      <c r="I310">
        <v>80</v>
      </c>
      <c r="J310" t="s">
        <v>0</v>
      </c>
      <c r="K310" s="3">
        <v>3407011</v>
      </c>
    </row>
    <row r="311" spans="1:11">
      <c r="A311" t="s">
        <v>760</v>
      </c>
      <c r="B311">
        <v>8</v>
      </c>
      <c r="C311" t="s">
        <v>759</v>
      </c>
      <c r="D311" t="s">
        <v>334</v>
      </c>
      <c r="E311" t="str">
        <f t="shared" si="44"/>
        <v>Psalm 13 (Lite)</v>
      </c>
      <c r="F311" t="str">
        <f t="shared" si="45"/>
        <v>Psalm 13</v>
      </c>
      <c r="G311" t="str">
        <f t="shared" si="46"/>
        <v>Lite</v>
      </c>
      <c r="H311" t="str">
        <f t="shared" si="47"/>
        <v>Shane &amp; Shane</v>
      </c>
      <c r="I311">
        <v>80</v>
      </c>
      <c r="J311" t="s">
        <v>29</v>
      </c>
      <c r="K311" s="3">
        <v>3406988</v>
      </c>
    </row>
    <row r="312" spans="1:11">
      <c r="A312" t="s">
        <v>760</v>
      </c>
      <c r="B312">
        <v>9</v>
      </c>
      <c r="C312" t="s">
        <v>759</v>
      </c>
      <c r="D312" t="s">
        <v>332</v>
      </c>
      <c r="E312" t="str">
        <f t="shared" si="44"/>
        <v>The One You'll Find (Lite)</v>
      </c>
      <c r="F312" t="str">
        <f t="shared" si="45"/>
        <v>The One You'll Find</v>
      </c>
      <c r="G312" t="str">
        <f t="shared" si="46"/>
        <v>Lite</v>
      </c>
      <c r="H312" t="str">
        <f t="shared" si="47"/>
        <v>Shane &amp; Shane</v>
      </c>
      <c r="I312">
        <v>118</v>
      </c>
      <c r="J312" t="s">
        <v>29</v>
      </c>
      <c r="K312" s="3">
        <v>6590815</v>
      </c>
    </row>
    <row r="313" spans="1:11">
      <c r="A313" t="s">
        <v>760</v>
      </c>
      <c r="B313">
        <v>10</v>
      </c>
      <c r="C313" t="s">
        <v>759</v>
      </c>
      <c r="D313" t="s">
        <v>336</v>
      </c>
      <c r="E313" t="str">
        <f t="shared" si="44"/>
        <v>Great Reward (Lite)</v>
      </c>
      <c r="F313" t="str">
        <f t="shared" si="45"/>
        <v>Great Reward</v>
      </c>
      <c r="G313" t="str">
        <f t="shared" si="46"/>
        <v>Lite</v>
      </c>
      <c r="H313" t="str">
        <f t="shared" si="47"/>
        <v>Shane &amp; Shane</v>
      </c>
      <c r="I313">
        <v>72</v>
      </c>
      <c r="J313" t="s">
        <v>6</v>
      </c>
      <c r="K313" s="3">
        <v>5627789</v>
      </c>
    </row>
    <row r="314" spans="1:11">
      <c r="A314" t="s">
        <v>761</v>
      </c>
      <c r="B314">
        <v>1</v>
      </c>
      <c r="C314" t="s">
        <v>762</v>
      </c>
      <c r="D314" t="s">
        <v>341</v>
      </c>
      <c r="E314" t="str">
        <f t="shared" si="44"/>
        <v>Run</v>
      </c>
      <c r="F314" t="str">
        <f t="shared" si="45"/>
        <v>Run</v>
      </c>
      <c r="G314" t="str">
        <f t="shared" ref="G314" si="48">IF(ISNUMBER(SEARCH("(",E314)), LEFT(RIGHT(E314, LEN(E314) - FIND("(",E314)), LEN(RIGHT(E314, LEN(E314) - FIND("(",E314))) - 1), "")</f>
        <v/>
      </c>
      <c r="H314" t="str">
        <f t="shared" ref="H314" si="49">IF(ISNUMBER(SEARCH(" by",D314)),RIGHT(D314, LEN(D314) - FIND(" by ",D314) - 3),"")</f>
        <v>Liberty Worship Collective</v>
      </c>
      <c r="I314">
        <v>85</v>
      </c>
      <c r="J314" t="s">
        <v>6</v>
      </c>
      <c r="K314" s="11">
        <v>7087777</v>
      </c>
    </row>
  </sheetData>
  <autoFilter ref="A1:V233" xr:uid="{1A6E084D-5331-4891-8D35-E574A08F1C03}"/>
  <phoneticPr fontId="5" type="noConversion"/>
  <conditionalFormatting sqref="K234:K243">
    <cfRule type="duplicateValues" dxfId="28" priority="29"/>
  </conditionalFormatting>
  <conditionalFormatting sqref="K257:K266">
    <cfRule type="duplicateValues" dxfId="27" priority="28"/>
  </conditionalFormatting>
  <conditionalFormatting sqref="K267:K286">
    <cfRule type="duplicateValues" dxfId="26" priority="27"/>
  </conditionalFormatting>
  <conditionalFormatting sqref="K267">
    <cfRule type="duplicateValues" dxfId="25" priority="26"/>
  </conditionalFormatting>
  <conditionalFormatting sqref="K267">
    <cfRule type="duplicateValues" dxfId="24" priority="25"/>
  </conditionalFormatting>
  <conditionalFormatting sqref="K268">
    <cfRule type="duplicateValues" dxfId="23" priority="24"/>
  </conditionalFormatting>
  <conditionalFormatting sqref="K268">
    <cfRule type="duplicateValues" dxfId="22" priority="23"/>
  </conditionalFormatting>
  <conditionalFormatting sqref="K269">
    <cfRule type="duplicateValues" dxfId="21" priority="22"/>
  </conditionalFormatting>
  <conditionalFormatting sqref="K269">
    <cfRule type="duplicateValues" dxfId="20" priority="21"/>
  </conditionalFormatting>
  <conditionalFormatting sqref="K270">
    <cfRule type="duplicateValues" dxfId="19" priority="20"/>
  </conditionalFormatting>
  <conditionalFormatting sqref="K270">
    <cfRule type="duplicateValues" dxfId="18" priority="19"/>
  </conditionalFormatting>
  <conditionalFormatting sqref="K271">
    <cfRule type="duplicateValues" dxfId="17" priority="18"/>
  </conditionalFormatting>
  <conditionalFormatting sqref="K271">
    <cfRule type="duplicateValues" dxfId="16" priority="17"/>
  </conditionalFormatting>
  <conditionalFormatting sqref="K272">
    <cfRule type="duplicateValues" dxfId="15" priority="16"/>
  </conditionalFormatting>
  <conditionalFormatting sqref="K272">
    <cfRule type="duplicateValues" dxfId="14" priority="15"/>
  </conditionalFormatting>
  <conditionalFormatting sqref="K273">
    <cfRule type="duplicateValues" dxfId="13" priority="14"/>
  </conditionalFormatting>
  <conditionalFormatting sqref="K273">
    <cfRule type="duplicateValues" dxfId="12" priority="13"/>
  </conditionalFormatting>
  <conditionalFormatting sqref="K274">
    <cfRule type="duplicateValues" dxfId="11" priority="12"/>
  </conditionalFormatting>
  <conditionalFormatting sqref="K274">
    <cfRule type="duplicateValues" dxfId="10" priority="11"/>
  </conditionalFormatting>
  <conditionalFormatting sqref="K279">
    <cfRule type="duplicateValues" dxfId="9" priority="10"/>
  </conditionalFormatting>
  <conditionalFormatting sqref="K279">
    <cfRule type="duplicateValues" dxfId="8" priority="9"/>
  </conditionalFormatting>
  <conditionalFormatting sqref="K280">
    <cfRule type="duplicateValues" dxfId="7" priority="8"/>
  </conditionalFormatting>
  <conditionalFormatting sqref="K280">
    <cfRule type="duplicateValues" dxfId="6" priority="7"/>
  </conditionalFormatting>
  <conditionalFormatting sqref="K283">
    <cfRule type="duplicateValues" dxfId="5" priority="6"/>
  </conditionalFormatting>
  <conditionalFormatting sqref="K283">
    <cfRule type="duplicateValues" dxfId="4" priority="5"/>
  </conditionalFormatting>
  <conditionalFormatting sqref="K286">
    <cfRule type="duplicateValues" dxfId="3" priority="4"/>
  </conditionalFormatting>
  <conditionalFormatting sqref="K286">
    <cfRule type="duplicateValues" dxfId="2" priority="3"/>
  </conditionalFormatting>
  <conditionalFormatting sqref="K292:K303">
    <cfRule type="duplicateValues" dxfId="1" priority="2"/>
  </conditionalFormatting>
  <conditionalFormatting sqref="K304:K313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40DBE-EA4F-426A-9E66-68C7A4F61EA8}">
  <dimension ref="A1:J103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7.140625" bestFit="1" customWidth="1"/>
    <col min="2" max="2" width="4.28515625" bestFit="1" customWidth="1"/>
    <col min="3" max="3" width="24.140625" customWidth="1"/>
    <col min="4" max="4" width="8.28515625" bestFit="1" customWidth="1"/>
    <col min="5" max="5" width="6.7109375" bestFit="1" customWidth="1"/>
    <col min="6" max="6" width="56.28515625" bestFit="1" customWidth="1"/>
    <col min="7" max="7" width="38.7109375" bestFit="1" customWidth="1"/>
    <col min="8" max="8" width="34.42578125" bestFit="1" customWidth="1"/>
    <col min="9" max="9" width="28.7109375" bestFit="1" customWidth="1"/>
    <col min="10" max="10" width="30.28515625" bestFit="1" customWidth="1"/>
  </cols>
  <sheetData>
    <row r="1" spans="1:10" s="1" customFormat="1">
      <c r="A1" s="1" t="s">
        <v>342</v>
      </c>
      <c r="B1" s="1" t="s">
        <v>343</v>
      </c>
      <c r="C1" s="1" t="s">
        <v>344</v>
      </c>
      <c r="D1" s="1" t="s">
        <v>346</v>
      </c>
      <c r="E1" s="1" t="s">
        <v>564</v>
      </c>
      <c r="F1" s="1" t="s">
        <v>347</v>
      </c>
      <c r="H1" s="1" t="s">
        <v>347</v>
      </c>
      <c r="I1" s="1" t="s">
        <v>565</v>
      </c>
      <c r="J1" s="1" t="s">
        <v>348</v>
      </c>
    </row>
    <row r="2" spans="1:10">
      <c r="A2">
        <v>82</v>
      </c>
      <c r="B2" t="s">
        <v>0</v>
      </c>
      <c r="C2" t="s">
        <v>1</v>
      </c>
      <c r="D2">
        <v>1</v>
      </c>
      <c r="F2" t="s">
        <v>2</v>
      </c>
      <c r="G2" t="str">
        <f>LEFT(F2, IF(ISNUMBER(SEARCH(" by ",F2)),FIND(" by ",F2) - 1,LEN(F2)))</f>
        <v>O Come All Ye Faithful</v>
      </c>
      <c r="H2" t="str">
        <f t="shared" ref="H2:H33" si="0">LEFT(G2,IF(ISNUMBER(SEARCH(" (",G2)),FIND(" (",G2)-1,LEN(G2)))</f>
        <v>O Come All Ye Faithful</v>
      </c>
      <c r="I2" t="str">
        <f t="shared" ref="I2:I33" si="1">IF(ISNUMBER(SEARCH("(",G2)), LEFT(RIGHT(G2, LEN(G2) - FIND("(",G2)), LEN(RIGHT(G2, LEN(G2) - FIND("(",G2))) - 1), "")</f>
        <v/>
      </c>
      <c r="J2" t="str">
        <f>RIGHT(F2,IF(ISNUMBER(SEARCH(" by ",F2)),LEN(F2)-FIND(" by ",F2)-3,0))</f>
        <v/>
      </c>
    </row>
    <row r="3" spans="1:10">
      <c r="A3">
        <v>102</v>
      </c>
      <c r="B3" t="s">
        <v>3</v>
      </c>
      <c r="C3" t="s">
        <v>1</v>
      </c>
      <c r="D3">
        <v>1</v>
      </c>
      <c r="F3" t="s">
        <v>4</v>
      </c>
      <c r="G3" t="str">
        <f t="shared" ref="G3:G66" si="2">LEFT(F3, IF(ISNUMBER(SEARCH(" by ",F3)),FIND(" by ",F3) - 1,LEN(F3)))</f>
        <v>O Holy Night (Vol. 1)</v>
      </c>
      <c r="H3" t="str">
        <f t="shared" si="0"/>
        <v>O Holy Night</v>
      </c>
      <c r="I3" t="str">
        <f t="shared" si="1"/>
        <v>Vol. 1</v>
      </c>
      <c r="J3" t="str">
        <f t="shared" ref="J3:J66" si="3">RIGHT(F3,IF(ISNUMBER(SEARCH(" by ",F3)),LEN(F3)-FIND(" by ",F3)-3,0))</f>
        <v>Shane &amp; Shane</v>
      </c>
    </row>
    <row r="4" spans="1:10">
      <c r="A4">
        <v>100</v>
      </c>
      <c r="B4" t="s">
        <v>0</v>
      </c>
      <c r="C4" t="s">
        <v>1</v>
      </c>
      <c r="D4">
        <v>1</v>
      </c>
      <c r="F4" t="s">
        <v>5</v>
      </c>
      <c r="G4" t="str">
        <f t="shared" si="2"/>
        <v>Angels We Have Heard On High</v>
      </c>
      <c r="H4" t="str">
        <f t="shared" si="0"/>
        <v>Angels We Have Heard On High</v>
      </c>
      <c r="I4" t="str">
        <f t="shared" si="1"/>
        <v/>
      </c>
      <c r="J4" t="str">
        <f t="shared" si="3"/>
        <v/>
      </c>
    </row>
    <row r="5" spans="1:10">
      <c r="A5">
        <v>60</v>
      </c>
      <c r="B5" t="s">
        <v>6</v>
      </c>
      <c r="C5" t="s">
        <v>1</v>
      </c>
      <c r="D5">
        <v>1</v>
      </c>
      <c r="F5" t="s">
        <v>7</v>
      </c>
      <c r="G5" t="str">
        <f t="shared" si="2"/>
        <v>Go Tell It On The Mountain</v>
      </c>
      <c r="H5" t="str">
        <f t="shared" si="0"/>
        <v>Go Tell It On The Mountain</v>
      </c>
      <c r="I5" t="str">
        <f t="shared" si="1"/>
        <v/>
      </c>
      <c r="J5" t="str">
        <f t="shared" si="3"/>
        <v/>
      </c>
    </row>
    <row r="6" spans="1:10">
      <c r="A6">
        <v>63</v>
      </c>
      <c r="B6" t="s">
        <v>0</v>
      </c>
      <c r="C6" t="s">
        <v>1</v>
      </c>
      <c r="D6">
        <v>1</v>
      </c>
      <c r="F6" t="s">
        <v>8</v>
      </c>
      <c r="G6" t="str">
        <f t="shared" si="2"/>
        <v>O Come O Come Emmanuel (Vol. 1)</v>
      </c>
      <c r="H6" t="str">
        <f t="shared" si="0"/>
        <v>O Come O Come Emmanuel</v>
      </c>
      <c r="I6" t="str">
        <f t="shared" si="1"/>
        <v>Vol. 1</v>
      </c>
      <c r="J6" t="str">
        <f t="shared" si="3"/>
        <v>Shane &amp; Shane</v>
      </c>
    </row>
    <row r="7" spans="1:10">
      <c r="A7">
        <v>86</v>
      </c>
      <c r="B7" t="s">
        <v>3</v>
      </c>
      <c r="C7" t="s">
        <v>1</v>
      </c>
      <c r="D7">
        <v>1</v>
      </c>
      <c r="F7" t="s">
        <v>9</v>
      </c>
      <c r="G7" t="str">
        <f t="shared" si="2"/>
        <v>Silent Night</v>
      </c>
      <c r="H7" t="str">
        <f t="shared" si="0"/>
        <v>Silent Night</v>
      </c>
      <c r="I7" t="str">
        <f t="shared" si="1"/>
        <v/>
      </c>
      <c r="J7" t="str">
        <f t="shared" si="3"/>
        <v/>
      </c>
    </row>
    <row r="8" spans="1:10">
      <c r="A8">
        <v>79</v>
      </c>
      <c r="B8" t="s">
        <v>3</v>
      </c>
      <c r="C8" t="s">
        <v>1</v>
      </c>
      <c r="D8">
        <v>1</v>
      </c>
      <c r="F8" t="s">
        <v>10</v>
      </c>
      <c r="G8" t="str">
        <f t="shared" si="2"/>
        <v>The First Noel (Vol. 1)</v>
      </c>
      <c r="H8" t="str">
        <f t="shared" si="0"/>
        <v>The First Noel</v>
      </c>
      <c r="I8" t="str">
        <f t="shared" si="1"/>
        <v>Vol. 1</v>
      </c>
      <c r="J8" t="str">
        <f t="shared" si="3"/>
        <v>Shane &amp; Shane</v>
      </c>
    </row>
    <row r="9" spans="1:10">
      <c r="A9">
        <v>73</v>
      </c>
      <c r="B9" t="s">
        <v>11</v>
      </c>
      <c r="C9" t="s">
        <v>1</v>
      </c>
      <c r="D9">
        <v>1</v>
      </c>
      <c r="F9" t="s">
        <v>12</v>
      </c>
      <c r="G9" t="str">
        <f t="shared" si="2"/>
        <v>Love Comes Down</v>
      </c>
      <c r="H9" t="str">
        <f t="shared" si="0"/>
        <v>Love Comes Down</v>
      </c>
      <c r="I9" t="str">
        <f t="shared" si="1"/>
        <v/>
      </c>
      <c r="J9" t="str">
        <f t="shared" si="3"/>
        <v>Michael Farren</v>
      </c>
    </row>
    <row r="10" spans="1:10">
      <c r="A10">
        <v>110</v>
      </c>
      <c r="B10" t="s">
        <v>3</v>
      </c>
      <c r="C10" t="s">
        <v>1</v>
      </c>
      <c r="D10">
        <v>1</v>
      </c>
      <c r="F10" t="s">
        <v>13</v>
      </c>
      <c r="G10" t="str">
        <f t="shared" si="2"/>
        <v>Joy To The World</v>
      </c>
      <c r="H10" t="str">
        <f t="shared" si="0"/>
        <v>Joy To The World</v>
      </c>
      <c r="I10" t="str">
        <f t="shared" si="1"/>
        <v/>
      </c>
      <c r="J10" t="str">
        <f t="shared" si="3"/>
        <v/>
      </c>
    </row>
    <row r="11" spans="1:10">
      <c r="A11">
        <v>106</v>
      </c>
      <c r="B11" t="s">
        <v>11</v>
      </c>
      <c r="C11" t="s">
        <v>1</v>
      </c>
      <c r="D11">
        <v>1</v>
      </c>
      <c r="F11" t="s">
        <v>14</v>
      </c>
      <c r="G11" t="str">
        <f t="shared" si="2"/>
        <v>Little Drummer Boy (Vol. 1)</v>
      </c>
      <c r="H11" t="str">
        <f t="shared" si="0"/>
        <v>Little Drummer Boy</v>
      </c>
      <c r="I11" t="str">
        <f t="shared" si="1"/>
        <v>Vol. 1</v>
      </c>
      <c r="J11" t="str">
        <f t="shared" si="3"/>
        <v>Shane &amp; Shane</v>
      </c>
    </row>
    <row r="12" spans="1:10">
      <c r="A12">
        <v>105</v>
      </c>
      <c r="B12" t="s">
        <v>29</v>
      </c>
      <c r="C12" t="s">
        <v>95</v>
      </c>
      <c r="F12" t="s">
        <v>96</v>
      </c>
      <c r="G12" t="str">
        <f t="shared" si="2"/>
        <v>The First Noel (Vol. 3)</v>
      </c>
      <c r="H12" t="str">
        <f t="shared" si="0"/>
        <v>The First Noel</v>
      </c>
      <c r="I12" t="str">
        <f t="shared" si="1"/>
        <v>Vol. 3</v>
      </c>
      <c r="J12" t="str">
        <f t="shared" si="3"/>
        <v>The Worship Initiative</v>
      </c>
    </row>
    <row r="13" spans="1:10">
      <c r="A13">
        <v>113</v>
      </c>
      <c r="B13" t="s">
        <v>31</v>
      </c>
      <c r="C13" t="s">
        <v>95</v>
      </c>
      <c r="F13" t="s">
        <v>97</v>
      </c>
      <c r="G13" t="str">
        <f t="shared" si="2"/>
        <v>Oh Holy Night (Vol. 3)</v>
      </c>
      <c r="H13" t="str">
        <f t="shared" si="0"/>
        <v>Oh Holy Night</v>
      </c>
      <c r="I13" t="str">
        <f t="shared" si="1"/>
        <v>Vol. 3</v>
      </c>
      <c r="J13" t="str">
        <f t="shared" si="3"/>
        <v>The Worship Initiative</v>
      </c>
    </row>
    <row r="14" spans="1:10">
      <c r="A14">
        <v>105</v>
      </c>
      <c r="B14" t="s">
        <v>3</v>
      </c>
      <c r="C14" t="s">
        <v>95</v>
      </c>
      <c r="F14" t="s">
        <v>98</v>
      </c>
      <c r="G14" t="str">
        <f t="shared" si="2"/>
        <v>O Come O Come Emmanuel (Vol. 3)</v>
      </c>
      <c r="H14" t="str">
        <f t="shared" si="0"/>
        <v>O Come O Come Emmanuel</v>
      </c>
      <c r="I14" t="str">
        <f t="shared" si="1"/>
        <v>Vol. 3</v>
      </c>
      <c r="J14" t="str">
        <f t="shared" si="3"/>
        <v>The Worship Initiative</v>
      </c>
    </row>
    <row r="15" spans="1:10">
      <c r="A15">
        <v>83</v>
      </c>
      <c r="B15" t="s">
        <v>61</v>
      </c>
      <c r="C15" t="s">
        <v>95</v>
      </c>
      <c r="F15" t="s">
        <v>99</v>
      </c>
      <c r="G15" t="str">
        <f t="shared" si="2"/>
        <v>Sing We The Song of Emmanuel</v>
      </c>
      <c r="H15" t="str">
        <f t="shared" si="0"/>
        <v>Sing We The Song of Emmanuel</v>
      </c>
      <c r="I15" t="str">
        <f t="shared" si="1"/>
        <v/>
      </c>
      <c r="J15" t="str">
        <f t="shared" si="3"/>
        <v>The Worship Initiative</v>
      </c>
    </row>
    <row r="16" spans="1:10">
      <c r="A16">
        <v>106</v>
      </c>
      <c r="B16" t="s">
        <v>24</v>
      </c>
      <c r="C16" t="s">
        <v>95</v>
      </c>
      <c r="F16" t="s">
        <v>100</v>
      </c>
      <c r="G16" t="str">
        <f t="shared" si="2"/>
        <v>Little Drummer Boy (Vol. 3)</v>
      </c>
      <c r="H16" t="str">
        <f t="shared" si="0"/>
        <v>Little Drummer Boy</v>
      </c>
      <c r="I16" t="str">
        <f t="shared" si="1"/>
        <v>Vol. 3</v>
      </c>
      <c r="J16" t="str">
        <f t="shared" si="3"/>
        <v>The Worship Initiative</v>
      </c>
    </row>
    <row r="17" spans="1:10">
      <c r="A17">
        <v>68</v>
      </c>
      <c r="B17" t="s">
        <v>6</v>
      </c>
      <c r="C17" t="s">
        <v>59</v>
      </c>
      <c r="D17">
        <v>2</v>
      </c>
      <c r="F17" t="s">
        <v>60</v>
      </c>
      <c r="G17" t="str">
        <f t="shared" si="2"/>
        <v>Come Behold the Wondrous Mystery</v>
      </c>
      <c r="H17" t="str">
        <f t="shared" si="0"/>
        <v>Come Behold the Wondrous Mystery</v>
      </c>
      <c r="I17" t="str">
        <f t="shared" si="1"/>
        <v/>
      </c>
      <c r="J17" t="str">
        <f t="shared" si="3"/>
        <v>Matt Boswell</v>
      </c>
    </row>
    <row r="18" spans="1:10">
      <c r="A18">
        <v>77</v>
      </c>
      <c r="B18" t="s">
        <v>61</v>
      </c>
      <c r="C18" t="s">
        <v>59</v>
      </c>
      <c r="D18">
        <v>2</v>
      </c>
      <c r="F18" t="s">
        <v>62</v>
      </c>
      <c r="G18" t="str">
        <f t="shared" si="2"/>
        <v>Crown Him With Many Crowns</v>
      </c>
      <c r="H18" t="str">
        <f t="shared" si="0"/>
        <v>Crown Him With Many Crowns</v>
      </c>
      <c r="I18" t="str">
        <f t="shared" si="1"/>
        <v/>
      </c>
      <c r="J18" t="str">
        <f t="shared" si="3"/>
        <v/>
      </c>
    </row>
    <row r="19" spans="1:10">
      <c r="A19">
        <v>68</v>
      </c>
      <c r="B19" t="s">
        <v>27</v>
      </c>
      <c r="C19" t="s">
        <v>59</v>
      </c>
      <c r="D19">
        <v>2</v>
      </c>
      <c r="F19" t="s">
        <v>63</v>
      </c>
      <c r="G19" t="str">
        <f t="shared" si="2"/>
        <v>Praise to the Lord (Joyful, Joyful)</v>
      </c>
      <c r="H19" t="str">
        <f t="shared" si="0"/>
        <v>Praise to the Lord</v>
      </c>
      <c r="I19" t="str">
        <f t="shared" si="1"/>
        <v>Joyful, Joyful</v>
      </c>
      <c r="J19" t="str">
        <f t="shared" si="3"/>
        <v/>
      </c>
    </row>
    <row r="20" spans="1:10">
      <c r="A20">
        <v>74</v>
      </c>
      <c r="B20" t="s">
        <v>27</v>
      </c>
      <c r="C20" t="s">
        <v>59</v>
      </c>
      <c r="D20">
        <v>2</v>
      </c>
      <c r="F20" t="s">
        <v>64</v>
      </c>
      <c r="G20" t="str">
        <f t="shared" si="2"/>
        <v>Turn Your Eyes Upon Jesus (Amazing Grace)</v>
      </c>
      <c r="H20" t="str">
        <f t="shared" si="0"/>
        <v>Turn Your Eyes Upon Jesus</v>
      </c>
      <c r="I20" t="str">
        <f t="shared" si="1"/>
        <v>Amazing Grace</v>
      </c>
      <c r="J20" t="str">
        <f t="shared" si="3"/>
        <v/>
      </c>
    </row>
    <row r="21" spans="1:10">
      <c r="A21">
        <v>68</v>
      </c>
      <c r="B21" t="s">
        <v>27</v>
      </c>
      <c r="C21" t="s">
        <v>59</v>
      </c>
      <c r="D21">
        <v>2</v>
      </c>
      <c r="F21" t="s">
        <v>65</v>
      </c>
      <c r="G21" t="str">
        <f t="shared" si="2"/>
        <v>My Jesus I Love Thee</v>
      </c>
      <c r="H21" t="str">
        <f t="shared" si="0"/>
        <v>My Jesus I Love Thee</v>
      </c>
      <c r="I21" t="str">
        <f t="shared" si="1"/>
        <v/>
      </c>
      <c r="J21" t="str">
        <f t="shared" si="3"/>
        <v/>
      </c>
    </row>
    <row r="22" spans="1:10">
      <c r="A22">
        <v>71</v>
      </c>
      <c r="B22" t="s">
        <v>31</v>
      </c>
      <c r="C22" t="s">
        <v>59</v>
      </c>
      <c r="D22">
        <v>2</v>
      </c>
      <c r="F22" t="s">
        <v>66</v>
      </c>
      <c r="G22" t="str">
        <f t="shared" si="2"/>
        <v>Be Thou My Vision (Lord You Are)</v>
      </c>
      <c r="H22" t="str">
        <f t="shared" si="0"/>
        <v>Be Thou My Vision</v>
      </c>
      <c r="I22" t="str">
        <f t="shared" si="1"/>
        <v>Lord You Are</v>
      </c>
      <c r="J22" t="str">
        <f t="shared" si="3"/>
        <v>Shane &amp; Shane</v>
      </c>
    </row>
    <row r="23" spans="1:10">
      <c r="A23">
        <v>84</v>
      </c>
      <c r="B23" t="s">
        <v>61</v>
      </c>
      <c r="C23" t="s">
        <v>59</v>
      </c>
      <c r="D23">
        <v>2</v>
      </c>
      <c r="F23" t="s">
        <v>67</v>
      </c>
      <c r="G23" t="str">
        <f t="shared" si="2"/>
        <v>Living Waters (As the Deer)</v>
      </c>
      <c r="H23" t="str">
        <f t="shared" si="0"/>
        <v>Living Waters</v>
      </c>
      <c r="I23" t="str">
        <f t="shared" si="1"/>
        <v>As the Deer</v>
      </c>
      <c r="J23" t="str">
        <f t="shared" si="3"/>
        <v>Keith and Kristyn Getty</v>
      </c>
    </row>
    <row r="24" spans="1:10">
      <c r="A24">
        <v>57</v>
      </c>
      <c r="B24" t="s">
        <v>20</v>
      </c>
      <c r="C24" t="s">
        <v>59</v>
      </c>
      <c r="D24">
        <v>2</v>
      </c>
      <c r="F24" t="s">
        <v>68</v>
      </c>
      <c r="G24" t="str">
        <f t="shared" si="2"/>
        <v>Power of the Cross</v>
      </c>
      <c r="H24" t="str">
        <f t="shared" si="0"/>
        <v>Power of the Cross</v>
      </c>
      <c r="I24" t="str">
        <f t="shared" si="1"/>
        <v/>
      </c>
      <c r="J24" t="str">
        <f t="shared" si="3"/>
        <v>Keith and Kristyn Getty</v>
      </c>
    </row>
    <row r="25" spans="1:10">
      <c r="A25">
        <v>71</v>
      </c>
      <c r="B25" t="s">
        <v>3</v>
      </c>
      <c r="C25" t="s">
        <v>59</v>
      </c>
      <c r="D25">
        <v>2</v>
      </c>
      <c r="F25" t="s">
        <v>69</v>
      </c>
      <c r="G25" t="str">
        <f t="shared" si="2"/>
        <v>Oh Lord Almighty</v>
      </c>
      <c r="H25" t="str">
        <f t="shared" si="0"/>
        <v>Oh Lord Almighty</v>
      </c>
      <c r="I25" t="str">
        <f t="shared" si="1"/>
        <v/>
      </c>
      <c r="J25" t="str">
        <f t="shared" si="3"/>
        <v>Shane &amp; Shane</v>
      </c>
    </row>
    <row r="26" spans="1:10">
      <c r="A26">
        <v>77</v>
      </c>
      <c r="B26" t="s">
        <v>61</v>
      </c>
      <c r="C26" t="s">
        <v>59</v>
      </c>
      <c r="D26">
        <v>2</v>
      </c>
      <c r="F26" t="s">
        <v>70</v>
      </c>
      <c r="G26" t="str">
        <f t="shared" si="2"/>
        <v>All Hail The Power of Jesus Name</v>
      </c>
      <c r="H26" t="str">
        <f t="shared" si="0"/>
        <v>All Hail The Power of Jesus Name</v>
      </c>
      <c r="I26" t="str">
        <f t="shared" si="1"/>
        <v/>
      </c>
      <c r="J26" t="str">
        <f t="shared" si="3"/>
        <v/>
      </c>
    </row>
    <row r="27" spans="1:10">
      <c r="A27">
        <v>61</v>
      </c>
      <c r="B27" t="s">
        <v>11</v>
      </c>
      <c r="C27" t="s">
        <v>48</v>
      </c>
      <c r="D27">
        <v>1</v>
      </c>
      <c r="F27" t="s">
        <v>49</v>
      </c>
      <c r="G27" t="str">
        <f t="shared" si="2"/>
        <v>In Christ Alone [Hymns]</v>
      </c>
      <c r="H27" t="str">
        <f t="shared" si="0"/>
        <v>In Christ Alone [Hymns]</v>
      </c>
      <c r="I27" t="str">
        <f t="shared" si="1"/>
        <v/>
      </c>
      <c r="J27" t="str">
        <f t="shared" si="3"/>
        <v>Keith Getty</v>
      </c>
    </row>
    <row r="28" spans="1:10">
      <c r="A28">
        <v>65</v>
      </c>
      <c r="B28" t="s">
        <v>29</v>
      </c>
      <c r="C28" t="s">
        <v>48</v>
      </c>
      <c r="D28">
        <v>1</v>
      </c>
      <c r="F28" t="s">
        <v>50</v>
      </c>
      <c r="G28" t="str">
        <f t="shared" si="2"/>
        <v>Come Thou Fount (Above All Else)</v>
      </c>
      <c r="H28" t="str">
        <f t="shared" si="0"/>
        <v>Come Thou Fount</v>
      </c>
      <c r="I28" t="str">
        <f t="shared" si="1"/>
        <v>Above All Else</v>
      </c>
      <c r="J28" t="str">
        <f t="shared" si="3"/>
        <v>Shane &amp; Shane</v>
      </c>
    </row>
    <row r="29" spans="1:10">
      <c r="A29">
        <v>73</v>
      </c>
      <c r="B29" t="s">
        <v>3</v>
      </c>
      <c r="C29" t="s">
        <v>48</v>
      </c>
      <c r="D29">
        <v>1</v>
      </c>
      <c r="F29" t="s">
        <v>51</v>
      </c>
      <c r="G29" t="str">
        <f t="shared" si="2"/>
        <v>Holy, Holy, Holy (We Bow Before Thee)</v>
      </c>
      <c r="H29" t="str">
        <f t="shared" si="0"/>
        <v>Holy, Holy, Holy</v>
      </c>
      <c r="I29" t="str">
        <f t="shared" si="1"/>
        <v>We Bow Before Thee</v>
      </c>
      <c r="J29" t="str">
        <f t="shared" si="3"/>
        <v>Shane &amp; Shane</v>
      </c>
    </row>
    <row r="30" spans="1:10">
      <c r="A30">
        <v>102</v>
      </c>
      <c r="B30" t="s">
        <v>29</v>
      </c>
      <c r="C30" t="s">
        <v>48</v>
      </c>
      <c r="D30">
        <v>1</v>
      </c>
      <c r="F30" t="s">
        <v>52</v>
      </c>
      <c r="G30" t="str">
        <f t="shared" si="2"/>
        <v>Tis So Sweet</v>
      </c>
      <c r="H30" t="str">
        <f t="shared" si="0"/>
        <v>Tis So Sweet</v>
      </c>
      <c r="I30" t="str">
        <f t="shared" si="1"/>
        <v/>
      </c>
      <c r="J30" t="str">
        <f t="shared" si="3"/>
        <v>Shane &amp; Shane</v>
      </c>
    </row>
    <row r="31" spans="1:10">
      <c r="A31">
        <v>62</v>
      </c>
      <c r="B31" t="s">
        <v>11</v>
      </c>
      <c r="C31" t="s">
        <v>48</v>
      </c>
      <c r="D31">
        <v>1</v>
      </c>
      <c r="F31" t="s">
        <v>53</v>
      </c>
      <c r="G31" t="str">
        <f t="shared" si="2"/>
        <v>My Worth Is Not In What I Own</v>
      </c>
      <c r="H31" t="str">
        <f t="shared" si="0"/>
        <v>My Worth Is Not In What I Own</v>
      </c>
      <c r="I31" t="str">
        <f t="shared" si="1"/>
        <v/>
      </c>
      <c r="J31" t="str">
        <f t="shared" si="3"/>
        <v>Keith &amp; Kristyn Getty</v>
      </c>
    </row>
    <row r="32" spans="1:10">
      <c r="A32">
        <v>72</v>
      </c>
      <c r="B32" t="s">
        <v>29</v>
      </c>
      <c r="C32" t="s">
        <v>48</v>
      </c>
      <c r="D32">
        <v>1</v>
      </c>
      <c r="F32" t="s">
        <v>54</v>
      </c>
      <c r="G32" t="str">
        <f t="shared" si="2"/>
        <v>Give Me Jesus</v>
      </c>
      <c r="H32" t="str">
        <f t="shared" si="0"/>
        <v>Give Me Jesus</v>
      </c>
      <c r="I32" t="str">
        <f t="shared" si="1"/>
        <v/>
      </c>
      <c r="J32" t="str">
        <f t="shared" si="3"/>
        <v>Shane &amp; Shane</v>
      </c>
    </row>
    <row r="33" spans="1:10">
      <c r="A33">
        <v>63</v>
      </c>
      <c r="B33" t="s">
        <v>6</v>
      </c>
      <c r="C33" t="s">
        <v>48</v>
      </c>
      <c r="D33">
        <v>1</v>
      </c>
      <c r="F33" t="s">
        <v>55</v>
      </c>
      <c r="G33" t="str">
        <f t="shared" si="2"/>
        <v>There Is A Fountain (Full of Love)</v>
      </c>
      <c r="H33" t="str">
        <f t="shared" si="0"/>
        <v>There Is A Fountain</v>
      </c>
      <c r="I33" t="str">
        <f t="shared" si="1"/>
        <v>Full of Love</v>
      </c>
      <c r="J33" t="str">
        <f t="shared" si="3"/>
        <v>Shane &amp; Shane</v>
      </c>
    </row>
    <row r="34" spans="1:10">
      <c r="A34">
        <v>58</v>
      </c>
      <c r="B34" t="s">
        <v>3</v>
      </c>
      <c r="C34" t="s">
        <v>48</v>
      </c>
      <c r="D34">
        <v>1</v>
      </c>
      <c r="F34" t="s">
        <v>56</v>
      </c>
      <c r="G34" t="str">
        <f t="shared" si="2"/>
        <v>He Will Hold Me Fast</v>
      </c>
      <c r="H34" t="str">
        <f t="shared" ref="H34:H65" si="4">LEFT(G34,IF(ISNUMBER(SEARCH(" (",G34)),FIND(" (",G34)-1,LEN(G34)))</f>
        <v>He Will Hold Me Fast</v>
      </c>
      <c r="I34" t="str">
        <f t="shared" ref="I34:I65" si="5">IF(ISNUMBER(SEARCH("(",G34)), LEFT(RIGHT(G34, LEN(G34) - FIND("(",G34)), LEN(RIGHT(G34, LEN(G34) - FIND("(",G34))) - 1), "")</f>
        <v/>
      </c>
      <c r="J34" t="str">
        <f t="shared" si="3"/>
        <v>Keith &amp; Kristyn Getty</v>
      </c>
    </row>
    <row r="35" spans="1:10">
      <c r="A35">
        <v>58</v>
      </c>
      <c r="B35" t="s">
        <v>29</v>
      </c>
      <c r="C35" t="s">
        <v>48</v>
      </c>
      <c r="D35">
        <v>1</v>
      </c>
      <c r="F35" t="s">
        <v>57</v>
      </c>
      <c r="G35" t="str">
        <f t="shared" si="2"/>
        <v>How Great Thou Art</v>
      </c>
      <c r="H35" t="str">
        <f t="shared" si="4"/>
        <v>How Great Thou Art</v>
      </c>
      <c r="I35" t="str">
        <f t="shared" si="5"/>
        <v/>
      </c>
      <c r="J35" t="str">
        <f t="shared" si="3"/>
        <v>Shane &amp; Shane</v>
      </c>
    </row>
    <row r="36" spans="1:10">
      <c r="A36">
        <v>66</v>
      </c>
      <c r="B36" t="s">
        <v>3</v>
      </c>
      <c r="C36" t="s">
        <v>48</v>
      </c>
      <c r="D36">
        <v>1</v>
      </c>
      <c r="F36" t="s">
        <v>58</v>
      </c>
      <c r="G36" t="str">
        <f t="shared" si="2"/>
        <v>The Lord is My Salvation</v>
      </c>
      <c r="H36" t="str">
        <f t="shared" si="4"/>
        <v>The Lord is My Salvation</v>
      </c>
      <c r="I36" t="str">
        <f t="shared" si="5"/>
        <v/>
      </c>
      <c r="J36" t="str">
        <f t="shared" si="3"/>
        <v>Keith &amp; Kristyn Getty</v>
      </c>
    </row>
    <row r="37" spans="1:10">
      <c r="A37">
        <v>70</v>
      </c>
      <c r="B37" t="s">
        <v>31</v>
      </c>
      <c r="C37" t="s">
        <v>32</v>
      </c>
      <c r="F37" t="s">
        <v>33</v>
      </c>
      <c r="G37" t="str">
        <f t="shared" si="2"/>
        <v>Ancient of Days</v>
      </c>
      <c r="H37" t="str">
        <f t="shared" si="4"/>
        <v>Ancient of Days</v>
      </c>
      <c r="I37" t="str">
        <f t="shared" si="5"/>
        <v/>
      </c>
      <c r="J37" t="str">
        <f t="shared" si="3"/>
        <v>CityAlight</v>
      </c>
    </row>
    <row r="38" spans="1:10">
      <c r="A38">
        <v>69</v>
      </c>
      <c r="B38" t="s">
        <v>11</v>
      </c>
      <c r="C38" t="s">
        <v>71</v>
      </c>
      <c r="F38" t="s">
        <v>72</v>
      </c>
      <c r="G38" t="str">
        <f t="shared" si="2"/>
        <v>Psalm 46 (Lord of Hosts)</v>
      </c>
      <c r="H38" t="str">
        <f t="shared" si="4"/>
        <v>Psalm 46</v>
      </c>
      <c r="I38" t="str">
        <f t="shared" si="5"/>
        <v>Lord of Hosts</v>
      </c>
      <c r="J38" t="str">
        <f t="shared" si="3"/>
        <v>Shane &amp; Shane</v>
      </c>
    </row>
    <row r="39" spans="1:10">
      <c r="A39">
        <v>55</v>
      </c>
      <c r="B39" t="s">
        <v>3</v>
      </c>
      <c r="C39" t="s">
        <v>71</v>
      </c>
      <c r="F39" t="s">
        <v>73</v>
      </c>
      <c r="G39" t="str">
        <f t="shared" si="2"/>
        <v>Psalm 23 (Surely Goodness, Surely Mercy)</v>
      </c>
      <c r="H39" t="str">
        <f t="shared" si="4"/>
        <v>Psalm 23</v>
      </c>
      <c r="I39" t="str">
        <f t="shared" si="5"/>
        <v>Surely Goodness, Surely Mercy</v>
      </c>
      <c r="J39" t="str">
        <f t="shared" si="3"/>
        <v>Shane &amp; Shane</v>
      </c>
    </row>
    <row r="40" spans="1:10">
      <c r="A40">
        <v>60</v>
      </c>
      <c r="B40" t="s">
        <v>6</v>
      </c>
      <c r="C40" t="s">
        <v>71</v>
      </c>
      <c r="F40" t="s">
        <v>74</v>
      </c>
      <c r="G40" t="str">
        <f t="shared" si="2"/>
        <v>Take Over</v>
      </c>
      <c r="H40" t="str">
        <f t="shared" si="4"/>
        <v>Take Over</v>
      </c>
      <c r="I40" t="str">
        <f t="shared" si="5"/>
        <v/>
      </c>
      <c r="J40" t="str">
        <f t="shared" si="3"/>
        <v>Shane &amp; Shane</v>
      </c>
    </row>
    <row r="41" spans="1:10">
      <c r="A41">
        <v>123</v>
      </c>
      <c r="B41" t="s">
        <v>6</v>
      </c>
      <c r="C41" t="s">
        <v>71</v>
      </c>
      <c r="F41" t="s">
        <v>75</v>
      </c>
      <c r="G41" t="str">
        <f t="shared" si="2"/>
        <v>Psalm 16 (Fullness of Joy)</v>
      </c>
      <c r="H41" t="str">
        <f t="shared" si="4"/>
        <v>Psalm 16</v>
      </c>
      <c r="I41" t="str">
        <f t="shared" si="5"/>
        <v>Fullness of Joy</v>
      </c>
      <c r="J41" t="str">
        <f t="shared" si="3"/>
        <v>Shane &amp; Shane</v>
      </c>
    </row>
    <row r="42" spans="1:10">
      <c r="A42">
        <v>57</v>
      </c>
      <c r="B42" t="s">
        <v>29</v>
      </c>
      <c r="C42" t="s">
        <v>71</v>
      </c>
      <c r="F42" t="s">
        <v>76</v>
      </c>
      <c r="G42" t="str">
        <f t="shared" si="2"/>
        <v>Psalm 34 (Taste and See)</v>
      </c>
      <c r="H42" t="str">
        <f t="shared" si="4"/>
        <v>Psalm 34</v>
      </c>
      <c r="I42" t="str">
        <f t="shared" si="5"/>
        <v>Taste and See</v>
      </c>
      <c r="J42" t="str">
        <f t="shared" si="3"/>
        <v>Shane &amp; Shane</v>
      </c>
    </row>
    <row r="43" spans="1:10">
      <c r="A43">
        <v>73</v>
      </c>
      <c r="B43" t="s">
        <v>6</v>
      </c>
      <c r="C43" t="s">
        <v>71</v>
      </c>
      <c r="F43" t="s">
        <v>77</v>
      </c>
      <c r="G43" t="str">
        <f t="shared" si="2"/>
        <v>Psalm 63 (Better than Life)</v>
      </c>
      <c r="H43" t="str">
        <f t="shared" si="4"/>
        <v>Psalm 63</v>
      </c>
      <c r="I43" t="str">
        <f t="shared" si="5"/>
        <v>Better than Life</v>
      </c>
      <c r="J43" t="str">
        <f t="shared" si="3"/>
        <v>Shane &amp; Shane</v>
      </c>
    </row>
    <row r="44" spans="1:10">
      <c r="A44">
        <v>107</v>
      </c>
      <c r="B44" t="s">
        <v>29</v>
      </c>
      <c r="C44" t="s">
        <v>71</v>
      </c>
      <c r="F44" t="s">
        <v>78</v>
      </c>
      <c r="G44" t="str">
        <f t="shared" si="2"/>
        <v>Psalm 139 (Far Too Wonderful)</v>
      </c>
      <c r="H44" t="str">
        <f t="shared" si="4"/>
        <v>Psalm 139</v>
      </c>
      <c r="I44" t="str">
        <f t="shared" si="5"/>
        <v>Far Too Wonderful</v>
      </c>
      <c r="J44" t="str">
        <f t="shared" si="3"/>
        <v>Shane &amp; Shane</v>
      </c>
    </row>
    <row r="45" spans="1:10">
      <c r="A45">
        <v>69</v>
      </c>
      <c r="B45" t="s">
        <v>3</v>
      </c>
      <c r="C45" t="s">
        <v>71</v>
      </c>
      <c r="F45" t="s">
        <v>79</v>
      </c>
      <c r="G45" t="str">
        <f t="shared" si="2"/>
        <v>Psalm 27 (One Thing)</v>
      </c>
      <c r="H45" t="str">
        <f t="shared" si="4"/>
        <v>Psalm 27</v>
      </c>
      <c r="I45" t="str">
        <f t="shared" si="5"/>
        <v>One Thing</v>
      </c>
      <c r="J45" t="str">
        <f t="shared" si="3"/>
        <v>Shane &amp; Shane</v>
      </c>
    </row>
    <row r="46" spans="1:10">
      <c r="A46">
        <v>97</v>
      </c>
      <c r="B46" t="s">
        <v>29</v>
      </c>
      <c r="C46" t="s">
        <v>71</v>
      </c>
      <c r="F46" t="s">
        <v>80</v>
      </c>
      <c r="G46" t="str">
        <f t="shared" si="2"/>
        <v>Psalm 51 (Wisdom in the Secret Heart)</v>
      </c>
      <c r="H46" t="str">
        <f t="shared" si="4"/>
        <v>Psalm 51</v>
      </c>
      <c r="I46" t="str">
        <f t="shared" si="5"/>
        <v>Wisdom in the Secret Heart</v>
      </c>
      <c r="J46" t="str">
        <f t="shared" si="3"/>
        <v>Shane &amp; Shane</v>
      </c>
    </row>
    <row r="47" spans="1:10">
      <c r="A47">
        <v>62</v>
      </c>
      <c r="B47" t="s">
        <v>24</v>
      </c>
      <c r="C47" t="s">
        <v>71</v>
      </c>
      <c r="F47" t="s">
        <v>81</v>
      </c>
      <c r="G47" t="str">
        <f t="shared" si="2"/>
        <v>Psalm 91 (On Eagles' Wings)</v>
      </c>
      <c r="H47" t="str">
        <f t="shared" si="4"/>
        <v>Psalm 91</v>
      </c>
      <c r="I47" t="str">
        <f t="shared" si="5"/>
        <v>On Eagles' Wings</v>
      </c>
      <c r="J47" t="str">
        <f t="shared" si="3"/>
        <v>Shane &amp; Shane</v>
      </c>
    </row>
    <row r="48" spans="1:10">
      <c r="A48">
        <v>106</v>
      </c>
      <c r="B48" t="s">
        <v>11</v>
      </c>
      <c r="C48" t="s">
        <v>71</v>
      </c>
      <c r="F48" t="s">
        <v>82</v>
      </c>
      <c r="G48" t="str">
        <f t="shared" si="2"/>
        <v>Psalm 45 (Fairest of All)</v>
      </c>
      <c r="H48" t="str">
        <f t="shared" si="4"/>
        <v>Psalm 45</v>
      </c>
      <c r="I48" t="str">
        <f t="shared" si="5"/>
        <v>Fairest of All</v>
      </c>
      <c r="J48" t="str">
        <f t="shared" si="3"/>
        <v>Shane &amp; Shane</v>
      </c>
    </row>
    <row r="49" spans="1:10">
      <c r="A49">
        <v>123</v>
      </c>
      <c r="B49" t="s">
        <v>29</v>
      </c>
      <c r="C49" t="s">
        <v>71</v>
      </c>
      <c r="F49" t="s">
        <v>83</v>
      </c>
      <c r="G49" t="str">
        <f t="shared" si="2"/>
        <v>Psalm 98 (Sing Unto The Lord)</v>
      </c>
      <c r="H49" t="str">
        <f t="shared" si="4"/>
        <v>Psalm 98</v>
      </c>
      <c r="I49" t="str">
        <f t="shared" si="5"/>
        <v>Sing Unto The Lord</v>
      </c>
      <c r="J49" t="str">
        <f t="shared" si="3"/>
        <v>Shane &amp; Shane</v>
      </c>
    </row>
    <row r="50" spans="1:10">
      <c r="A50">
        <v>72</v>
      </c>
      <c r="B50" t="s">
        <v>29</v>
      </c>
      <c r="C50" t="s">
        <v>34</v>
      </c>
      <c r="F50" t="s">
        <v>35</v>
      </c>
      <c r="G50" t="str">
        <f t="shared" si="2"/>
        <v>Is He Worthy [Live]</v>
      </c>
      <c r="H50" t="str">
        <f t="shared" si="4"/>
        <v>Is He Worthy [Live]</v>
      </c>
      <c r="I50" t="str">
        <f t="shared" si="5"/>
        <v/>
      </c>
      <c r="J50" t="str">
        <f t="shared" si="3"/>
        <v>Andrew Peterson</v>
      </c>
    </row>
    <row r="51" spans="1:10">
      <c r="A51">
        <v>66</v>
      </c>
      <c r="B51" t="s">
        <v>3</v>
      </c>
      <c r="C51" t="s">
        <v>34</v>
      </c>
      <c r="F51" t="s">
        <v>36</v>
      </c>
      <c r="G51" t="str">
        <f t="shared" si="2"/>
        <v>The Lord is My Salvation [Live]</v>
      </c>
      <c r="H51" t="str">
        <f t="shared" si="4"/>
        <v>The Lord is My Salvation [Live]</v>
      </c>
      <c r="I51" t="str">
        <f t="shared" si="5"/>
        <v/>
      </c>
      <c r="J51" t="str">
        <f t="shared" si="3"/>
        <v>Keith &amp; Kristyn Getty</v>
      </c>
    </row>
    <row r="52" spans="1:10">
      <c r="A52">
        <v>63</v>
      </c>
      <c r="B52" t="s">
        <v>0</v>
      </c>
      <c r="C52" t="s">
        <v>34</v>
      </c>
      <c r="F52" t="s">
        <v>37</v>
      </c>
      <c r="G52" t="str">
        <f t="shared" si="2"/>
        <v>Amazing Grace [Live]</v>
      </c>
      <c r="H52" t="str">
        <f t="shared" si="4"/>
        <v>Amazing Grace [Live]</v>
      </c>
      <c r="I52" t="str">
        <f t="shared" si="5"/>
        <v/>
      </c>
      <c r="J52" t="str">
        <f t="shared" si="3"/>
        <v>Shane &amp; Shane</v>
      </c>
    </row>
    <row r="53" spans="1:10">
      <c r="A53">
        <v>58</v>
      </c>
      <c r="B53" t="s">
        <v>3</v>
      </c>
      <c r="C53" t="s">
        <v>34</v>
      </c>
      <c r="F53" t="s">
        <v>38</v>
      </c>
      <c r="G53" t="str">
        <f t="shared" si="2"/>
        <v>He Will Hold Me Fast [Live]</v>
      </c>
      <c r="H53" t="str">
        <f t="shared" si="4"/>
        <v>He Will Hold Me Fast [Live]</v>
      </c>
      <c r="I53" t="str">
        <f t="shared" si="5"/>
        <v/>
      </c>
      <c r="J53" t="str">
        <f t="shared" si="3"/>
        <v>Keith &amp; Krystin Getty</v>
      </c>
    </row>
    <row r="54" spans="1:10">
      <c r="A54">
        <v>61</v>
      </c>
      <c r="B54" t="s">
        <v>11</v>
      </c>
      <c r="C54" t="s">
        <v>34</v>
      </c>
      <c r="F54" t="s">
        <v>39</v>
      </c>
      <c r="G54" t="str">
        <f t="shared" si="2"/>
        <v>In Christ Alone [Live]</v>
      </c>
      <c r="H54" t="str">
        <f t="shared" si="4"/>
        <v>In Christ Alone [Live]</v>
      </c>
      <c r="I54" t="str">
        <f t="shared" si="5"/>
        <v/>
      </c>
      <c r="J54" t="str">
        <f t="shared" si="3"/>
        <v>Keith Getty</v>
      </c>
    </row>
    <row r="55" spans="1:10">
      <c r="A55">
        <v>70</v>
      </c>
      <c r="B55" t="s">
        <v>0</v>
      </c>
      <c r="C55" t="s">
        <v>34</v>
      </c>
      <c r="F55" t="s">
        <v>40</v>
      </c>
      <c r="G55" t="str">
        <f t="shared" si="2"/>
        <v>His Mercy is More [Live]</v>
      </c>
      <c r="H55" t="str">
        <f t="shared" si="4"/>
        <v>His Mercy is More [Live]</v>
      </c>
      <c r="I55" t="str">
        <f t="shared" si="5"/>
        <v/>
      </c>
      <c r="J55" t="str">
        <f t="shared" si="3"/>
        <v>Matt Boswell and Matt Papa</v>
      </c>
    </row>
    <row r="56" spans="1:10">
      <c r="A56">
        <v>65</v>
      </c>
      <c r="B56" t="s">
        <v>3</v>
      </c>
      <c r="C56" t="s">
        <v>34</v>
      </c>
      <c r="F56" t="s">
        <v>41</v>
      </c>
      <c r="G56" t="str">
        <f t="shared" si="2"/>
        <v>I Will Wait For You (Psalm 130) [Live]</v>
      </c>
      <c r="H56" t="str">
        <f t="shared" si="4"/>
        <v>I Will Wait For You</v>
      </c>
      <c r="I56" t="str">
        <f t="shared" si="5"/>
        <v>Psalm 130) [Live</v>
      </c>
      <c r="J56" t="str">
        <f t="shared" si="3"/>
        <v>Getty Music</v>
      </c>
    </row>
    <row r="57" spans="1:10">
      <c r="A57">
        <v>102</v>
      </c>
      <c r="B57" t="s">
        <v>29</v>
      </c>
      <c r="C57" t="s">
        <v>34</v>
      </c>
      <c r="F57" t="s">
        <v>42</v>
      </c>
      <c r="G57" t="str">
        <f t="shared" si="2"/>
        <v>Tis So Sweet [Live]</v>
      </c>
      <c r="H57" t="str">
        <f t="shared" si="4"/>
        <v>Tis So Sweet [Live]</v>
      </c>
      <c r="I57" t="str">
        <f t="shared" si="5"/>
        <v/>
      </c>
      <c r="J57" t="str">
        <f t="shared" si="3"/>
        <v>Shane &amp; Shane</v>
      </c>
    </row>
    <row r="58" spans="1:10">
      <c r="A58">
        <v>73</v>
      </c>
      <c r="B58" t="s">
        <v>3</v>
      </c>
      <c r="C58" t="s">
        <v>34</v>
      </c>
      <c r="F58" t="s">
        <v>43</v>
      </c>
      <c r="G58" t="str">
        <f t="shared" si="2"/>
        <v>Holy, Holy, Holy [Live]</v>
      </c>
      <c r="H58" t="str">
        <f t="shared" si="4"/>
        <v>Holy, Holy, Holy [Live]</v>
      </c>
      <c r="I58" t="str">
        <f t="shared" si="5"/>
        <v/>
      </c>
      <c r="J58" t="str">
        <f t="shared" si="3"/>
        <v>Shane &amp; Shane</v>
      </c>
    </row>
    <row r="59" spans="1:10">
      <c r="A59">
        <v>63</v>
      </c>
      <c r="B59" t="s">
        <v>6</v>
      </c>
      <c r="C59" t="s">
        <v>34</v>
      </c>
      <c r="F59" t="s">
        <v>44</v>
      </c>
      <c r="G59" t="str">
        <f t="shared" si="2"/>
        <v>There is A Fountain [Live]</v>
      </c>
      <c r="H59" t="str">
        <f t="shared" si="4"/>
        <v>There is A Fountain [Live]</v>
      </c>
      <c r="I59" t="str">
        <f t="shared" si="5"/>
        <v/>
      </c>
      <c r="J59" t="str">
        <f t="shared" si="3"/>
        <v>Shane &amp; Shane</v>
      </c>
    </row>
    <row r="60" spans="1:10">
      <c r="A60">
        <v>62</v>
      </c>
      <c r="B60" t="s">
        <v>11</v>
      </c>
      <c r="C60" t="s">
        <v>34</v>
      </c>
      <c r="F60" t="s">
        <v>45</v>
      </c>
      <c r="G60" t="str">
        <f t="shared" si="2"/>
        <v>My Worth Is Not In What I Own [Live]</v>
      </c>
      <c r="H60" t="str">
        <f t="shared" si="4"/>
        <v>My Worth Is Not In What I Own [Live]</v>
      </c>
      <c r="I60" t="str">
        <f t="shared" si="5"/>
        <v/>
      </c>
      <c r="J60" t="str">
        <f t="shared" si="3"/>
        <v>Getty Music</v>
      </c>
    </row>
    <row r="61" spans="1:10">
      <c r="A61">
        <v>65</v>
      </c>
      <c r="B61" t="s">
        <v>29</v>
      </c>
      <c r="C61" t="s">
        <v>34</v>
      </c>
      <c r="F61" t="s">
        <v>46</v>
      </c>
      <c r="G61" t="str">
        <f t="shared" si="2"/>
        <v>Come Thou Fount [Live]</v>
      </c>
      <c r="H61" t="str">
        <f t="shared" si="4"/>
        <v>Come Thou Fount [Live]</v>
      </c>
      <c r="I61" t="str">
        <f t="shared" si="5"/>
        <v/>
      </c>
      <c r="J61" t="str">
        <f t="shared" si="3"/>
        <v>Shane &amp; Shane</v>
      </c>
    </row>
    <row r="62" spans="1:10">
      <c r="A62">
        <v>58</v>
      </c>
      <c r="B62" t="s">
        <v>29</v>
      </c>
      <c r="C62" t="s">
        <v>34</v>
      </c>
      <c r="F62" t="s">
        <v>47</v>
      </c>
      <c r="G62" t="str">
        <f t="shared" si="2"/>
        <v>How Great Thou Art [Live]</v>
      </c>
      <c r="H62" t="str">
        <f t="shared" si="4"/>
        <v>How Great Thou Art [Live]</v>
      </c>
      <c r="I62" t="str">
        <f t="shared" si="5"/>
        <v/>
      </c>
      <c r="J62" t="str">
        <f t="shared" si="3"/>
        <v>Shane &amp; Shane</v>
      </c>
    </row>
    <row r="63" spans="1:10">
      <c r="A63">
        <v>72</v>
      </c>
      <c r="B63" t="s">
        <v>24</v>
      </c>
      <c r="C63" t="s">
        <v>84</v>
      </c>
      <c r="F63" t="s">
        <v>85</v>
      </c>
      <c r="G63" t="str">
        <f t="shared" si="2"/>
        <v>Great Are You Lord</v>
      </c>
      <c r="H63" t="str">
        <f t="shared" si="4"/>
        <v>Great Are You Lord</v>
      </c>
      <c r="I63" t="str">
        <f t="shared" si="5"/>
        <v/>
      </c>
      <c r="J63" t="str">
        <f t="shared" si="3"/>
        <v>All Sons &amp; Daughters</v>
      </c>
    </row>
    <row r="64" spans="1:10">
      <c r="A64">
        <v>77</v>
      </c>
      <c r="B64" t="s">
        <v>3</v>
      </c>
      <c r="C64" t="s">
        <v>84</v>
      </c>
      <c r="F64" t="s">
        <v>86</v>
      </c>
      <c r="G64" t="str">
        <f t="shared" si="2"/>
        <v>Christ Be All Around Me</v>
      </c>
      <c r="H64" t="str">
        <f t="shared" si="4"/>
        <v>Christ Be All Around Me</v>
      </c>
      <c r="I64" t="str">
        <f t="shared" si="5"/>
        <v/>
      </c>
      <c r="J64" t="str">
        <f t="shared" si="3"/>
        <v>All Sons &amp; Daughters</v>
      </c>
    </row>
    <row r="65" spans="1:10">
      <c r="A65">
        <v>72</v>
      </c>
      <c r="B65" t="s">
        <v>3</v>
      </c>
      <c r="C65" t="s">
        <v>84</v>
      </c>
      <c r="F65" t="s">
        <v>87</v>
      </c>
      <c r="G65" t="str">
        <f t="shared" si="2"/>
        <v>This I Believe</v>
      </c>
      <c r="H65" t="str">
        <f t="shared" si="4"/>
        <v>This I Believe</v>
      </c>
      <c r="I65" t="str">
        <f t="shared" si="5"/>
        <v/>
      </c>
      <c r="J65" t="str">
        <f t="shared" si="3"/>
        <v>Hillsong</v>
      </c>
    </row>
    <row r="66" spans="1:10">
      <c r="A66">
        <v>127</v>
      </c>
      <c r="B66" t="s">
        <v>3</v>
      </c>
      <c r="C66" t="s">
        <v>84</v>
      </c>
      <c r="F66" t="s">
        <v>88</v>
      </c>
      <c r="G66" t="str">
        <f t="shared" si="2"/>
        <v>Scandal of Grace</v>
      </c>
      <c r="H66" t="str">
        <f t="shared" ref="H66:H97" si="6">LEFT(G66,IF(ISNUMBER(SEARCH(" (",G66)),FIND(" (",G66)-1,LEN(G66)))</f>
        <v>Scandal of Grace</v>
      </c>
      <c r="I66" t="str">
        <f t="shared" ref="I66:I97" si="7">IF(ISNUMBER(SEARCH("(",G66)), LEFT(RIGHT(G66, LEN(G66) - FIND("(",G66)), LEN(RIGHT(G66, LEN(G66) - FIND("(",G66))) - 1), "")</f>
        <v/>
      </c>
      <c r="J66" t="str">
        <f t="shared" si="3"/>
        <v>Hillsong United</v>
      </c>
    </row>
    <row r="67" spans="1:10">
      <c r="A67">
        <v>74</v>
      </c>
      <c r="B67" t="s">
        <v>3</v>
      </c>
      <c r="C67" t="s">
        <v>84</v>
      </c>
      <c r="F67" t="s">
        <v>89</v>
      </c>
      <c r="G67" t="str">
        <f t="shared" ref="G67:G103" si="8">LEFT(F67, IF(ISNUMBER(SEARCH(" by ",F67)),FIND(" by ",F67) - 1,LEN(F67)))</f>
        <v>Forever (We Sing Hallelujah)</v>
      </c>
      <c r="H67" t="str">
        <f t="shared" si="6"/>
        <v>Forever</v>
      </c>
      <c r="I67" t="str">
        <f t="shared" si="7"/>
        <v>We Sing Hallelujah</v>
      </c>
      <c r="J67" t="str">
        <f t="shared" ref="J67:J103" si="9">RIGHT(F67,IF(ISNUMBER(SEARCH(" by ",F67)),LEN(F67)-FIND(" by ",F67)-3,0))</f>
        <v>Kari Jobe</v>
      </c>
    </row>
    <row r="68" spans="1:10">
      <c r="A68">
        <v>71</v>
      </c>
      <c r="B68" t="s">
        <v>6</v>
      </c>
      <c r="C68" t="s">
        <v>84</v>
      </c>
      <c r="F68" t="s">
        <v>90</v>
      </c>
      <c r="G68" t="str">
        <f t="shared" si="8"/>
        <v>Man of Sorrows</v>
      </c>
      <c r="H68" t="str">
        <f t="shared" si="6"/>
        <v>Man of Sorrows</v>
      </c>
      <c r="I68" t="str">
        <f t="shared" si="7"/>
        <v/>
      </c>
      <c r="J68" t="str">
        <f t="shared" si="9"/>
        <v>Hillsong</v>
      </c>
    </row>
    <row r="69" spans="1:10">
      <c r="A69">
        <v>61</v>
      </c>
      <c r="B69" t="s">
        <v>29</v>
      </c>
      <c r="C69" t="s">
        <v>84</v>
      </c>
      <c r="F69" t="s">
        <v>91</v>
      </c>
      <c r="G69" t="str">
        <f t="shared" si="8"/>
        <v>God of Ages Past</v>
      </c>
      <c r="H69" t="str">
        <f t="shared" si="6"/>
        <v>God of Ages Past</v>
      </c>
      <c r="I69" t="str">
        <f t="shared" si="7"/>
        <v/>
      </c>
      <c r="J69" t="str">
        <f t="shared" si="9"/>
        <v>Shane &amp; Shane</v>
      </c>
    </row>
    <row r="70" spans="1:10">
      <c r="A70">
        <v>138</v>
      </c>
      <c r="B70" t="s">
        <v>24</v>
      </c>
      <c r="C70" t="s">
        <v>84</v>
      </c>
      <c r="F70" t="s">
        <v>92</v>
      </c>
      <c r="G70" t="str">
        <f t="shared" si="8"/>
        <v>You Make Me Brave</v>
      </c>
      <c r="H70" t="str">
        <f t="shared" si="6"/>
        <v>You Make Me Brave</v>
      </c>
      <c r="I70" t="str">
        <f t="shared" si="7"/>
        <v/>
      </c>
      <c r="J70" t="str">
        <f t="shared" si="9"/>
        <v>Amanda Cook</v>
      </c>
    </row>
    <row r="71" spans="1:10">
      <c r="A71">
        <v>81</v>
      </c>
      <c r="B71" t="s">
        <v>3</v>
      </c>
      <c r="C71" t="s">
        <v>84</v>
      </c>
      <c r="F71" t="s">
        <v>93</v>
      </c>
      <c r="G71" t="str">
        <f t="shared" si="8"/>
        <v>Jesus Loves Me</v>
      </c>
      <c r="H71" t="str">
        <f t="shared" si="6"/>
        <v>Jesus Loves Me</v>
      </c>
      <c r="I71" t="str">
        <f t="shared" si="7"/>
        <v/>
      </c>
      <c r="J71" t="str">
        <f t="shared" si="9"/>
        <v>Chris Tomlin</v>
      </c>
    </row>
    <row r="72" spans="1:10">
      <c r="A72">
        <v>63</v>
      </c>
      <c r="B72" t="s">
        <v>29</v>
      </c>
      <c r="C72" t="s">
        <v>84</v>
      </c>
      <c r="F72" t="s">
        <v>94</v>
      </c>
      <c r="G72" t="str">
        <f t="shared" si="8"/>
        <v>Seas of Crimson</v>
      </c>
      <c r="H72" t="str">
        <f t="shared" si="6"/>
        <v>Seas of Crimson</v>
      </c>
      <c r="I72" t="str">
        <f t="shared" si="7"/>
        <v/>
      </c>
      <c r="J72" t="str">
        <f t="shared" si="9"/>
        <v>Brian Johnson</v>
      </c>
    </row>
    <row r="73" spans="1:10">
      <c r="A73">
        <v>69</v>
      </c>
      <c r="B73" t="s">
        <v>3</v>
      </c>
      <c r="C73" t="s">
        <v>101</v>
      </c>
      <c r="F73" t="s">
        <v>102</v>
      </c>
      <c r="G73" t="str">
        <f t="shared" si="8"/>
        <v>Awesome God</v>
      </c>
      <c r="H73" t="str">
        <f t="shared" si="6"/>
        <v>Awesome God</v>
      </c>
      <c r="I73" t="str">
        <f t="shared" si="7"/>
        <v/>
      </c>
      <c r="J73" t="str">
        <f t="shared" si="9"/>
        <v>Rich Mullins</v>
      </c>
    </row>
    <row r="74" spans="1:10">
      <c r="A74">
        <v>95</v>
      </c>
      <c r="B74" t="s">
        <v>29</v>
      </c>
      <c r="C74" t="s">
        <v>101</v>
      </c>
      <c r="F74" t="s">
        <v>103</v>
      </c>
      <c r="G74" t="str">
        <f t="shared" si="8"/>
        <v>Ancient of Days (Blessing and Honor)</v>
      </c>
      <c r="H74" t="str">
        <f t="shared" si="6"/>
        <v>Ancient of Days</v>
      </c>
      <c r="I74" t="str">
        <f t="shared" si="7"/>
        <v>Blessing and Honor</v>
      </c>
      <c r="J74" t="str">
        <f t="shared" si="9"/>
        <v>Shane &amp; Shane</v>
      </c>
    </row>
    <row r="75" spans="1:10">
      <c r="A75">
        <v>58</v>
      </c>
      <c r="B75" t="s">
        <v>31</v>
      </c>
      <c r="C75" t="s">
        <v>101</v>
      </c>
      <c r="F75" t="s">
        <v>104</v>
      </c>
      <c r="G75" t="str">
        <f t="shared" si="8"/>
        <v>Breathe (Yearn)</v>
      </c>
      <c r="H75" t="str">
        <f t="shared" si="6"/>
        <v>Breathe</v>
      </c>
      <c r="I75" t="str">
        <f t="shared" si="7"/>
        <v>Yearn</v>
      </c>
      <c r="J75" t="str">
        <f t="shared" si="9"/>
        <v>Vineyard</v>
      </c>
    </row>
    <row r="76" spans="1:10">
      <c r="A76">
        <v>52</v>
      </c>
      <c r="B76" t="s">
        <v>11</v>
      </c>
      <c r="C76" t="s">
        <v>101</v>
      </c>
      <c r="F76" t="s">
        <v>105</v>
      </c>
      <c r="G76" t="str">
        <f t="shared" si="8"/>
        <v>As the Deer</v>
      </c>
      <c r="H76" t="str">
        <f t="shared" si="6"/>
        <v>As the Deer</v>
      </c>
      <c r="I76" t="str">
        <f t="shared" si="7"/>
        <v/>
      </c>
      <c r="J76" t="str">
        <f t="shared" si="9"/>
        <v>Shane &amp; Shane</v>
      </c>
    </row>
    <row r="77" spans="1:10">
      <c r="A77">
        <v>76</v>
      </c>
      <c r="B77" t="s">
        <v>3</v>
      </c>
      <c r="C77" t="s">
        <v>101</v>
      </c>
      <c r="F77" t="s">
        <v>106</v>
      </c>
      <c r="G77" t="str">
        <f t="shared" si="8"/>
        <v>Draw Me Close (Be Near)</v>
      </c>
      <c r="H77" t="str">
        <f t="shared" si="6"/>
        <v>Draw Me Close</v>
      </c>
      <c r="I77" t="str">
        <f t="shared" si="7"/>
        <v>Be Near</v>
      </c>
      <c r="J77" t="str">
        <f t="shared" si="9"/>
        <v>Shane &amp; Shane</v>
      </c>
    </row>
    <row r="78" spans="1:10">
      <c r="A78">
        <v>94</v>
      </c>
      <c r="B78" t="s">
        <v>24</v>
      </c>
      <c r="C78" t="s">
        <v>101</v>
      </c>
      <c r="F78" t="s">
        <v>107</v>
      </c>
      <c r="G78" t="str">
        <f t="shared" si="8"/>
        <v>In The Secret</v>
      </c>
      <c r="H78" t="str">
        <f t="shared" si="6"/>
        <v>In The Secret</v>
      </c>
      <c r="I78" t="str">
        <f t="shared" si="7"/>
        <v/>
      </c>
      <c r="J78" t="str">
        <f t="shared" si="9"/>
        <v>Andy Park</v>
      </c>
    </row>
    <row r="79" spans="1:10">
      <c r="A79">
        <v>101</v>
      </c>
      <c r="B79" t="s">
        <v>24</v>
      </c>
      <c r="C79" t="s">
        <v>101</v>
      </c>
      <c r="F79" t="s">
        <v>108</v>
      </c>
      <c r="G79" t="str">
        <f t="shared" si="8"/>
        <v>Sometimes By Step</v>
      </c>
      <c r="H79" t="str">
        <f t="shared" si="6"/>
        <v>Sometimes By Step</v>
      </c>
      <c r="I79" t="str">
        <f t="shared" si="7"/>
        <v/>
      </c>
      <c r="J79" t="str">
        <f t="shared" si="9"/>
        <v>Rich Mullins</v>
      </c>
    </row>
    <row r="80" spans="1:10">
      <c r="A80">
        <v>72</v>
      </c>
      <c r="B80" t="s">
        <v>29</v>
      </c>
      <c r="C80" t="s">
        <v>101</v>
      </c>
      <c r="F80" t="s">
        <v>109</v>
      </c>
      <c r="G80" t="str">
        <f t="shared" si="8"/>
        <v>Knowing You</v>
      </c>
      <c r="H80" t="str">
        <f t="shared" si="6"/>
        <v>Knowing You</v>
      </c>
      <c r="I80" t="str">
        <f t="shared" si="7"/>
        <v/>
      </c>
      <c r="J80" t="str">
        <f t="shared" si="9"/>
        <v>Graham Kendrick</v>
      </c>
    </row>
    <row r="81" spans="1:10">
      <c r="A81">
        <v>75</v>
      </c>
      <c r="B81" t="s">
        <v>6</v>
      </c>
      <c r="C81" t="s">
        <v>101</v>
      </c>
      <c r="F81" t="s">
        <v>110</v>
      </c>
      <c r="G81" t="str">
        <f t="shared" si="8"/>
        <v>Lord I Lift Your Name on High</v>
      </c>
      <c r="H81" t="str">
        <f t="shared" si="6"/>
        <v>Lord I Lift Your Name on High</v>
      </c>
      <c r="I81" t="str">
        <f t="shared" si="7"/>
        <v/>
      </c>
      <c r="J81" t="str">
        <f t="shared" si="9"/>
        <v>Shane &amp; Shane</v>
      </c>
    </row>
    <row r="82" spans="1:10">
      <c r="A82">
        <v>81</v>
      </c>
      <c r="B82" t="s">
        <v>3</v>
      </c>
      <c r="C82" t="s">
        <v>101</v>
      </c>
      <c r="F82" t="s">
        <v>111</v>
      </c>
      <c r="G82" t="str">
        <f t="shared" si="8"/>
        <v>I Could Sing of Your Love Forever</v>
      </c>
      <c r="H82" t="str">
        <f t="shared" si="6"/>
        <v>I Could Sing of Your Love Forever</v>
      </c>
      <c r="I82" t="str">
        <f t="shared" si="7"/>
        <v/>
      </c>
      <c r="J82" t="str">
        <f t="shared" si="9"/>
        <v>Delirious</v>
      </c>
    </row>
    <row r="83" spans="1:10">
      <c r="A83">
        <v>145</v>
      </c>
      <c r="B83" t="s">
        <v>3</v>
      </c>
      <c r="C83" t="s">
        <v>15</v>
      </c>
      <c r="F83" t="s">
        <v>16</v>
      </c>
      <c r="G83" t="str">
        <f t="shared" si="8"/>
        <v>Joy to the World (Joyful, Joyful)</v>
      </c>
      <c r="H83" t="str">
        <f t="shared" si="6"/>
        <v>Joy to the World</v>
      </c>
      <c r="I83" t="str">
        <f t="shared" si="7"/>
        <v>Joyful, Joyful</v>
      </c>
      <c r="J83" t="str">
        <f t="shared" si="9"/>
        <v>Phil Wickham</v>
      </c>
    </row>
    <row r="84" spans="1:10">
      <c r="A84">
        <v>110</v>
      </c>
      <c r="B84" t="s">
        <v>17</v>
      </c>
      <c r="C84" t="s">
        <v>15</v>
      </c>
      <c r="F84" t="s">
        <v>18</v>
      </c>
      <c r="G84" t="str">
        <f t="shared" si="8"/>
        <v>What Child Is This</v>
      </c>
      <c r="H84" t="str">
        <f t="shared" si="6"/>
        <v>What Child Is This</v>
      </c>
      <c r="I84" t="str">
        <f t="shared" si="7"/>
        <v/>
      </c>
      <c r="J84" t="str">
        <f t="shared" si="9"/>
        <v/>
      </c>
    </row>
    <row r="85" spans="1:10">
      <c r="A85">
        <v>68</v>
      </c>
      <c r="B85" t="s">
        <v>3</v>
      </c>
      <c r="C85" t="s">
        <v>15</v>
      </c>
      <c r="F85" t="s">
        <v>19</v>
      </c>
      <c r="G85" t="str">
        <f t="shared" si="8"/>
        <v>Come Thou Long Expected Jesus</v>
      </c>
      <c r="H85" t="str">
        <f t="shared" si="6"/>
        <v>Come Thou Long Expected Jesus</v>
      </c>
      <c r="I85" t="str">
        <f t="shared" si="7"/>
        <v/>
      </c>
      <c r="J85" t="str">
        <f t="shared" si="9"/>
        <v/>
      </c>
    </row>
    <row r="86" spans="1:10">
      <c r="A86">
        <v>65</v>
      </c>
      <c r="B86" t="s">
        <v>20</v>
      </c>
      <c r="C86" t="s">
        <v>15</v>
      </c>
      <c r="F86" t="s">
        <v>21</v>
      </c>
      <c r="G86" t="str">
        <f t="shared" si="8"/>
        <v>O Little Town of Bethlehem</v>
      </c>
      <c r="H86" t="str">
        <f t="shared" si="6"/>
        <v>O Little Town of Bethlehem</v>
      </c>
      <c r="I86" t="str">
        <f t="shared" si="7"/>
        <v/>
      </c>
      <c r="J86" t="str">
        <f t="shared" si="9"/>
        <v/>
      </c>
    </row>
    <row r="87" spans="1:10">
      <c r="A87">
        <v>78</v>
      </c>
      <c r="B87" t="s">
        <v>20</v>
      </c>
      <c r="C87" t="s">
        <v>15</v>
      </c>
      <c r="F87" t="s">
        <v>22</v>
      </c>
      <c r="G87" t="str">
        <f t="shared" si="8"/>
        <v>Hark the Herald Angels Sing</v>
      </c>
      <c r="H87" t="str">
        <f t="shared" si="6"/>
        <v>Hark the Herald Angels Sing</v>
      </c>
      <c r="I87" t="str">
        <f t="shared" si="7"/>
        <v/>
      </c>
      <c r="J87" t="str">
        <f t="shared" si="9"/>
        <v/>
      </c>
    </row>
    <row r="88" spans="1:10">
      <c r="A88">
        <v>57</v>
      </c>
      <c r="B88" t="s">
        <v>3</v>
      </c>
      <c r="C88" t="s">
        <v>15</v>
      </c>
      <c r="F88" t="s">
        <v>23</v>
      </c>
      <c r="G88" t="str">
        <f t="shared" si="8"/>
        <v>Breath of Heaven</v>
      </c>
      <c r="H88" t="str">
        <f t="shared" si="6"/>
        <v>Breath of Heaven</v>
      </c>
      <c r="I88" t="str">
        <f t="shared" si="7"/>
        <v/>
      </c>
      <c r="J88" t="str">
        <f t="shared" si="9"/>
        <v>Amy Grant</v>
      </c>
    </row>
    <row r="89" spans="1:10">
      <c r="A89">
        <v>70</v>
      </c>
      <c r="B89" t="s">
        <v>24</v>
      </c>
      <c r="C89" t="s">
        <v>15</v>
      </c>
      <c r="F89" t="s">
        <v>25</v>
      </c>
      <c r="G89" t="str">
        <f t="shared" si="8"/>
        <v>Face of God</v>
      </c>
      <c r="H89" t="str">
        <f t="shared" si="6"/>
        <v>Face of God</v>
      </c>
      <c r="I89" t="str">
        <f t="shared" si="7"/>
        <v/>
      </c>
      <c r="J89" t="str">
        <f t="shared" si="9"/>
        <v/>
      </c>
    </row>
    <row r="90" spans="1:10">
      <c r="A90">
        <v>73</v>
      </c>
      <c r="B90" t="s">
        <v>17</v>
      </c>
      <c r="C90" t="s">
        <v>15</v>
      </c>
      <c r="F90" t="s">
        <v>26</v>
      </c>
      <c r="G90" t="str">
        <f t="shared" si="8"/>
        <v>Away in a Manger</v>
      </c>
      <c r="H90" t="str">
        <f t="shared" si="6"/>
        <v>Away in a Manger</v>
      </c>
      <c r="I90" t="str">
        <f t="shared" si="7"/>
        <v/>
      </c>
      <c r="J90" t="str">
        <f t="shared" si="9"/>
        <v/>
      </c>
    </row>
    <row r="91" spans="1:10">
      <c r="A91">
        <v>67</v>
      </c>
      <c r="B91" t="s">
        <v>27</v>
      </c>
      <c r="C91" t="s">
        <v>15</v>
      </c>
      <c r="F91" t="s">
        <v>28</v>
      </c>
      <c r="G91" t="str">
        <f t="shared" si="8"/>
        <v>It Came Upon A Midnight Clear</v>
      </c>
      <c r="H91" t="str">
        <f t="shared" si="6"/>
        <v>It Came Upon A Midnight Clear</v>
      </c>
      <c r="I91" t="str">
        <f t="shared" si="7"/>
        <v/>
      </c>
      <c r="J91" t="str">
        <f t="shared" si="9"/>
        <v/>
      </c>
    </row>
    <row r="92" spans="1:10">
      <c r="A92">
        <v>71</v>
      </c>
      <c r="B92" t="s">
        <v>29</v>
      </c>
      <c r="C92" t="s">
        <v>15</v>
      </c>
      <c r="F92" t="s">
        <v>30</v>
      </c>
      <c r="G92" t="str">
        <f t="shared" si="8"/>
        <v>Winter Snow</v>
      </c>
      <c r="H92" t="str">
        <f t="shared" si="6"/>
        <v>Winter Snow</v>
      </c>
      <c r="I92" t="str">
        <f t="shared" si="7"/>
        <v/>
      </c>
      <c r="J92" t="str">
        <f t="shared" si="9"/>
        <v>Audrey Assad</v>
      </c>
    </row>
    <row r="93" spans="1:10">
      <c r="A93">
        <v>81</v>
      </c>
      <c r="B93" t="s">
        <v>147</v>
      </c>
      <c r="C93" t="s">
        <v>329</v>
      </c>
      <c r="F93" t="s">
        <v>330</v>
      </c>
      <c r="G93" t="str">
        <f t="shared" si="8"/>
        <v>Battle Belongs</v>
      </c>
      <c r="H93" t="str">
        <f t="shared" si="6"/>
        <v>Battle Belongs</v>
      </c>
      <c r="I93" t="str">
        <f t="shared" si="7"/>
        <v/>
      </c>
      <c r="J93" t="str">
        <f t="shared" si="9"/>
        <v>Phil Wickham</v>
      </c>
    </row>
    <row r="94" spans="1:10">
      <c r="A94">
        <v>84</v>
      </c>
      <c r="B94" t="s">
        <v>24</v>
      </c>
      <c r="C94" t="s">
        <v>329</v>
      </c>
      <c r="F94" t="s">
        <v>331</v>
      </c>
      <c r="G94" t="str">
        <f t="shared" si="8"/>
        <v>At Your Name (Lite)</v>
      </c>
      <c r="H94" t="str">
        <f t="shared" si="6"/>
        <v>At Your Name</v>
      </c>
      <c r="I94" t="str">
        <f t="shared" si="7"/>
        <v>Lite</v>
      </c>
      <c r="J94" t="str">
        <f t="shared" si="9"/>
        <v>Phil Wickham</v>
      </c>
    </row>
    <row r="95" spans="1:10">
      <c r="A95">
        <v>118</v>
      </c>
      <c r="B95" t="s">
        <v>29</v>
      </c>
      <c r="C95" t="s">
        <v>329</v>
      </c>
      <c r="F95" t="s">
        <v>332</v>
      </c>
      <c r="G95" t="str">
        <f t="shared" si="8"/>
        <v>The One You'll Find (Lite)</v>
      </c>
      <c r="H95" t="str">
        <f t="shared" si="6"/>
        <v>The One You'll Find</v>
      </c>
      <c r="I95" t="str">
        <f t="shared" si="7"/>
        <v>Lite</v>
      </c>
      <c r="J95" t="str">
        <f t="shared" si="9"/>
        <v>Shane &amp; Shane</v>
      </c>
    </row>
    <row r="96" spans="1:10">
      <c r="A96">
        <v>80</v>
      </c>
      <c r="B96" t="s">
        <v>0</v>
      </c>
      <c r="C96" t="s">
        <v>329</v>
      </c>
      <c r="F96" t="s">
        <v>333</v>
      </c>
      <c r="G96" t="str">
        <f t="shared" si="8"/>
        <v>Psalm 145 (Lite)</v>
      </c>
      <c r="H96" t="str">
        <f t="shared" si="6"/>
        <v>Psalm 145</v>
      </c>
      <c r="I96" t="str">
        <f t="shared" si="7"/>
        <v>Lite</v>
      </c>
      <c r="J96" t="str">
        <f t="shared" si="9"/>
        <v>Shane &amp; Shane</v>
      </c>
    </row>
    <row r="97" spans="1:10">
      <c r="A97">
        <v>80</v>
      </c>
      <c r="B97" t="s">
        <v>29</v>
      </c>
      <c r="C97" t="s">
        <v>329</v>
      </c>
      <c r="F97" t="s">
        <v>334</v>
      </c>
      <c r="G97" t="str">
        <f t="shared" si="8"/>
        <v>Psalm 13 (Lite)</v>
      </c>
      <c r="H97" t="str">
        <f t="shared" si="6"/>
        <v>Psalm 13</v>
      </c>
      <c r="I97" t="str">
        <f t="shared" si="7"/>
        <v>Lite</v>
      </c>
      <c r="J97" t="str">
        <f t="shared" si="9"/>
        <v>Shane &amp; Shane</v>
      </c>
    </row>
    <row r="98" spans="1:10">
      <c r="A98">
        <v>82</v>
      </c>
      <c r="B98" t="s">
        <v>3</v>
      </c>
      <c r="C98" t="s">
        <v>329</v>
      </c>
      <c r="F98" t="s">
        <v>335</v>
      </c>
      <c r="G98" t="str">
        <f t="shared" si="8"/>
        <v>Raise A Hallelujah (Lite)</v>
      </c>
      <c r="H98" t="str">
        <f t="shared" ref="H98:H103" si="10">LEFT(G98,IF(ISNUMBER(SEARCH(" (",G98)),FIND(" (",G98)-1,LEN(G98)))</f>
        <v>Raise A Hallelujah</v>
      </c>
      <c r="I98" t="str">
        <f t="shared" ref="I98:I103" si="11">IF(ISNUMBER(SEARCH("(",G98)), LEFT(RIGHT(G98, LEN(G98) - FIND("(",G98)), LEN(RIGHT(G98, LEN(G98) - FIND("(",G98))) - 1), "")</f>
        <v>Lite</v>
      </c>
      <c r="J98" t="str">
        <f t="shared" si="9"/>
        <v>Jonathan David &amp; Melissa Helser</v>
      </c>
    </row>
    <row r="99" spans="1:10">
      <c r="A99">
        <v>72</v>
      </c>
      <c r="B99" t="s">
        <v>6</v>
      </c>
      <c r="C99" t="s">
        <v>329</v>
      </c>
      <c r="F99" t="s">
        <v>336</v>
      </c>
      <c r="G99" t="str">
        <f t="shared" si="8"/>
        <v>Great Reward (Lite)</v>
      </c>
      <c r="H99" t="str">
        <f t="shared" si="10"/>
        <v>Great Reward</v>
      </c>
      <c r="I99" t="str">
        <f t="shared" si="11"/>
        <v>Lite</v>
      </c>
      <c r="J99" t="str">
        <f t="shared" si="9"/>
        <v>Shane &amp; Shane</v>
      </c>
    </row>
    <row r="100" spans="1:10">
      <c r="A100">
        <v>70</v>
      </c>
      <c r="B100" t="s">
        <v>24</v>
      </c>
      <c r="C100" t="s">
        <v>329</v>
      </c>
      <c r="F100" t="s">
        <v>337</v>
      </c>
      <c r="G100" t="str">
        <f t="shared" si="8"/>
        <v>Sinking Deep (Lite)</v>
      </c>
      <c r="H100" t="str">
        <f t="shared" si="10"/>
        <v>Sinking Deep</v>
      </c>
      <c r="I100" t="str">
        <f t="shared" si="11"/>
        <v>Lite</v>
      </c>
      <c r="J100" t="str">
        <f t="shared" si="9"/>
        <v>Hillsong Young &amp; Free</v>
      </c>
    </row>
    <row r="101" spans="1:10">
      <c r="A101">
        <v>64</v>
      </c>
      <c r="B101" t="s">
        <v>29</v>
      </c>
      <c r="C101" t="s">
        <v>329</v>
      </c>
      <c r="F101" t="s">
        <v>338</v>
      </c>
      <c r="G101" t="str">
        <f t="shared" si="8"/>
        <v>Peace (Lite)</v>
      </c>
      <c r="H101" t="str">
        <f t="shared" si="10"/>
        <v>Peace</v>
      </c>
      <c r="I101" t="str">
        <f t="shared" si="11"/>
        <v>Lite</v>
      </c>
      <c r="J101" t="str">
        <f t="shared" si="9"/>
        <v>Hillsong Young &amp; Free</v>
      </c>
    </row>
    <row r="102" spans="1:10">
      <c r="A102">
        <v>63</v>
      </c>
      <c r="B102" t="s">
        <v>27</v>
      </c>
      <c r="C102" t="s">
        <v>329</v>
      </c>
      <c r="F102" t="s">
        <v>339</v>
      </c>
      <c r="G102" t="str">
        <f t="shared" si="8"/>
        <v>Bigger Than I Thought (Lite)</v>
      </c>
      <c r="H102" t="str">
        <f t="shared" si="10"/>
        <v>Bigger Than I Thought</v>
      </c>
      <c r="I102" t="str">
        <f t="shared" si="11"/>
        <v>Lite</v>
      </c>
      <c r="J102" t="str">
        <f t="shared" si="9"/>
        <v>Passion</v>
      </c>
    </row>
    <row r="103" spans="1:10">
      <c r="A103">
        <v>85</v>
      </c>
      <c r="B103" t="s">
        <v>6</v>
      </c>
      <c r="C103" t="s">
        <v>340</v>
      </c>
      <c r="F103" t="s">
        <v>341</v>
      </c>
      <c r="G103" t="str">
        <f t="shared" si="8"/>
        <v>Run</v>
      </c>
      <c r="H103" t="str">
        <f t="shared" si="10"/>
        <v>Run</v>
      </c>
      <c r="I103" t="str">
        <f t="shared" si="11"/>
        <v/>
      </c>
      <c r="J103" t="str">
        <f t="shared" si="9"/>
        <v>Liberty Worship Collective</v>
      </c>
    </row>
  </sheetData>
  <sortState xmlns:xlrd2="http://schemas.microsoft.com/office/spreadsheetml/2017/richdata2" ref="A2:K103">
    <sortCondition ref="C2:C10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7DA4D-EA9F-4757-96C7-EECDFE083310}">
  <dimension ref="A1:C217"/>
  <sheetViews>
    <sheetView topLeftCell="A193" workbookViewId="0">
      <selection activeCell="C2" sqref="C2"/>
    </sheetView>
  </sheetViews>
  <sheetFormatPr defaultRowHeight="15"/>
  <cols>
    <col min="1" max="1" width="8.28515625" bestFit="1" customWidth="1"/>
    <col min="3" max="3" width="37.7109375" bestFit="1" customWidth="1"/>
  </cols>
  <sheetData>
    <row r="1" spans="1:3">
      <c r="A1" s="1" t="s">
        <v>346</v>
      </c>
      <c r="B1" s="1" t="s">
        <v>564</v>
      </c>
      <c r="C1" s="1" t="s">
        <v>566</v>
      </c>
    </row>
    <row r="2" spans="1:3">
      <c r="A2">
        <v>1</v>
      </c>
      <c r="B2">
        <v>1</v>
      </c>
      <c r="C2" t="s">
        <v>349</v>
      </c>
    </row>
    <row r="3" spans="1:3">
      <c r="A3">
        <v>1</v>
      </c>
      <c r="B3">
        <v>2</v>
      </c>
      <c r="C3" t="s">
        <v>350</v>
      </c>
    </row>
    <row r="4" spans="1:3">
      <c r="A4">
        <v>1</v>
      </c>
      <c r="B4">
        <v>3</v>
      </c>
      <c r="C4" t="s">
        <v>351</v>
      </c>
    </row>
    <row r="5" spans="1:3">
      <c r="A5">
        <v>1</v>
      </c>
      <c r="B5">
        <v>4</v>
      </c>
      <c r="C5" t="s">
        <v>352</v>
      </c>
    </row>
    <row r="6" spans="1:3">
      <c r="A6">
        <v>1</v>
      </c>
      <c r="B6">
        <v>5</v>
      </c>
      <c r="C6" t="s">
        <v>353</v>
      </c>
    </row>
    <row r="7" spans="1:3">
      <c r="A7">
        <v>1</v>
      </c>
      <c r="B7">
        <v>6</v>
      </c>
      <c r="C7" t="s">
        <v>354</v>
      </c>
    </row>
    <row r="8" spans="1:3">
      <c r="A8">
        <v>1</v>
      </c>
      <c r="B8">
        <v>7</v>
      </c>
      <c r="C8" t="s">
        <v>355</v>
      </c>
    </row>
    <row r="9" spans="1:3">
      <c r="A9">
        <v>1</v>
      </c>
      <c r="B9">
        <v>8</v>
      </c>
      <c r="C9" t="s">
        <v>356</v>
      </c>
    </row>
    <row r="10" spans="1:3">
      <c r="A10">
        <v>1</v>
      </c>
      <c r="B10">
        <v>9</v>
      </c>
      <c r="C10" t="s">
        <v>357</v>
      </c>
    </row>
    <row r="11" spans="1:3">
      <c r="A11">
        <v>1</v>
      </c>
      <c r="B11">
        <v>10</v>
      </c>
      <c r="C11" t="s">
        <v>358</v>
      </c>
    </row>
    <row r="12" spans="1:3">
      <c r="A12">
        <v>2</v>
      </c>
      <c r="B12">
        <v>1</v>
      </c>
      <c r="C12" t="s">
        <v>359</v>
      </c>
    </row>
    <row r="13" spans="1:3">
      <c r="A13">
        <v>2</v>
      </c>
      <c r="B13">
        <v>2</v>
      </c>
      <c r="C13" t="s">
        <v>360</v>
      </c>
    </row>
    <row r="14" spans="1:3">
      <c r="A14">
        <v>2</v>
      </c>
      <c r="B14">
        <v>3</v>
      </c>
      <c r="C14" t="s">
        <v>361</v>
      </c>
    </row>
    <row r="15" spans="1:3">
      <c r="A15">
        <v>2</v>
      </c>
      <c r="B15">
        <v>4</v>
      </c>
      <c r="C15" t="s">
        <v>362</v>
      </c>
    </row>
    <row r="16" spans="1:3">
      <c r="A16">
        <v>2</v>
      </c>
      <c r="B16">
        <v>5</v>
      </c>
      <c r="C16" t="s">
        <v>363</v>
      </c>
    </row>
    <row r="17" spans="1:3">
      <c r="A17">
        <v>2</v>
      </c>
      <c r="B17">
        <v>6</v>
      </c>
      <c r="C17" t="s">
        <v>364</v>
      </c>
    </row>
    <row r="18" spans="1:3">
      <c r="A18">
        <v>2</v>
      </c>
      <c r="B18">
        <v>7</v>
      </c>
      <c r="C18" t="s">
        <v>365</v>
      </c>
    </row>
    <row r="19" spans="1:3">
      <c r="A19">
        <v>2</v>
      </c>
      <c r="B19">
        <v>8</v>
      </c>
      <c r="C19" t="s">
        <v>366</v>
      </c>
    </row>
    <row r="20" spans="1:3">
      <c r="A20">
        <v>2</v>
      </c>
      <c r="B20">
        <v>9</v>
      </c>
      <c r="C20" t="s">
        <v>367</v>
      </c>
    </row>
    <row r="21" spans="1:3">
      <c r="A21">
        <v>2</v>
      </c>
      <c r="B21">
        <v>10</v>
      </c>
      <c r="C21" t="s">
        <v>368</v>
      </c>
    </row>
    <row r="22" spans="1:3">
      <c r="A22">
        <v>3</v>
      </c>
      <c r="B22">
        <v>1</v>
      </c>
      <c r="C22" t="s">
        <v>369</v>
      </c>
    </row>
    <row r="23" spans="1:3">
      <c r="A23">
        <v>3</v>
      </c>
      <c r="B23">
        <v>2</v>
      </c>
      <c r="C23" t="s">
        <v>370</v>
      </c>
    </row>
    <row r="24" spans="1:3">
      <c r="A24">
        <v>3</v>
      </c>
      <c r="B24">
        <v>3</v>
      </c>
      <c r="C24" t="s">
        <v>371</v>
      </c>
    </row>
    <row r="25" spans="1:3">
      <c r="A25">
        <v>3</v>
      </c>
      <c r="B25">
        <v>4</v>
      </c>
      <c r="C25" t="s">
        <v>372</v>
      </c>
    </row>
    <row r="26" spans="1:3">
      <c r="A26">
        <v>3</v>
      </c>
      <c r="B26">
        <v>5</v>
      </c>
      <c r="C26" t="s">
        <v>373</v>
      </c>
    </row>
    <row r="27" spans="1:3">
      <c r="A27">
        <v>3</v>
      </c>
      <c r="B27">
        <v>6</v>
      </c>
      <c r="C27" t="s">
        <v>374</v>
      </c>
    </row>
    <row r="28" spans="1:3">
      <c r="A28">
        <v>3</v>
      </c>
      <c r="B28">
        <v>7</v>
      </c>
      <c r="C28" t="s">
        <v>375</v>
      </c>
    </row>
    <row r="29" spans="1:3">
      <c r="A29">
        <v>3</v>
      </c>
      <c r="B29">
        <v>8</v>
      </c>
      <c r="C29" t="s">
        <v>376</v>
      </c>
    </row>
    <row r="30" spans="1:3">
      <c r="A30">
        <v>3</v>
      </c>
      <c r="B30">
        <v>9</v>
      </c>
      <c r="C30" t="s">
        <v>377</v>
      </c>
    </row>
    <row r="31" spans="1:3">
      <c r="A31">
        <v>3</v>
      </c>
      <c r="B31">
        <v>10</v>
      </c>
      <c r="C31" t="s">
        <v>378</v>
      </c>
    </row>
    <row r="32" spans="1:3">
      <c r="A32">
        <v>4</v>
      </c>
      <c r="B32">
        <v>1</v>
      </c>
      <c r="C32" t="s">
        <v>379</v>
      </c>
    </row>
    <row r="33" spans="1:3">
      <c r="A33">
        <v>4</v>
      </c>
      <c r="B33">
        <v>2</v>
      </c>
      <c r="C33" t="s">
        <v>380</v>
      </c>
    </row>
    <row r="34" spans="1:3">
      <c r="A34">
        <v>4</v>
      </c>
      <c r="B34">
        <v>3</v>
      </c>
      <c r="C34" t="s">
        <v>381</v>
      </c>
    </row>
    <row r="35" spans="1:3">
      <c r="A35">
        <v>4</v>
      </c>
      <c r="B35">
        <v>4</v>
      </c>
      <c r="C35" t="s">
        <v>382</v>
      </c>
    </row>
    <row r="36" spans="1:3">
      <c r="A36">
        <v>4</v>
      </c>
      <c r="B36">
        <v>5</v>
      </c>
      <c r="C36" t="s">
        <v>383</v>
      </c>
    </row>
    <row r="37" spans="1:3">
      <c r="A37">
        <v>4</v>
      </c>
      <c r="B37">
        <v>6</v>
      </c>
      <c r="C37" t="s">
        <v>384</v>
      </c>
    </row>
    <row r="38" spans="1:3">
      <c r="A38">
        <v>4</v>
      </c>
      <c r="B38">
        <v>7</v>
      </c>
      <c r="C38" t="s">
        <v>385</v>
      </c>
    </row>
    <row r="39" spans="1:3">
      <c r="A39">
        <v>4</v>
      </c>
      <c r="B39">
        <v>8</v>
      </c>
      <c r="C39" t="s">
        <v>386</v>
      </c>
    </row>
    <row r="40" spans="1:3">
      <c r="A40">
        <v>4</v>
      </c>
      <c r="B40">
        <v>9</v>
      </c>
      <c r="C40" t="s">
        <v>387</v>
      </c>
    </row>
    <row r="41" spans="1:3">
      <c r="A41">
        <v>4</v>
      </c>
      <c r="B41">
        <v>10</v>
      </c>
      <c r="C41" t="s">
        <v>388</v>
      </c>
    </row>
    <row r="42" spans="1:3">
      <c r="A42">
        <v>5</v>
      </c>
      <c r="B42">
        <v>1</v>
      </c>
      <c r="C42" t="s">
        <v>389</v>
      </c>
    </row>
    <row r="43" spans="1:3">
      <c r="A43">
        <v>5</v>
      </c>
      <c r="B43">
        <v>2</v>
      </c>
      <c r="C43" t="s">
        <v>390</v>
      </c>
    </row>
    <row r="44" spans="1:3">
      <c r="A44">
        <v>5</v>
      </c>
      <c r="B44">
        <v>3</v>
      </c>
      <c r="C44" t="s">
        <v>391</v>
      </c>
    </row>
    <row r="45" spans="1:3">
      <c r="A45">
        <v>5</v>
      </c>
      <c r="B45">
        <v>4</v>
      </c>
      <c r="C45" t="s">
        <v>392</v>
      </c>
    </row>
    <row r="46" spans="1:3">
      <c r="A46">
        <v>5</v>
      </c>
      <c r="B46">
        <v>5</v>
      </c>
      <c r="C46" t="s">
        <v>393</v>
      </c>
    </row>
    <row r="47" spans="1:3">
      <c r="A47">
        <v>5</v>
      </c>
      <c r="B47">
        <v>6</v>
      </c>
      <c r="C47" t="s">
        <v>394</v>
      </c>
    </row>
    <row r="48" spans="1:3">
      <c r="A48">
        <v>5</v>
      </c>
      <c r="B48">
        <v>7</v>
      </c>
      <c r="C48" t="s">
        <v>395</v>
      </c>
    </row>
    <row r="49" spans="1:3">
      <c r="A49">
        <v>5</v>
      </c>
      <c r="B49">
        <v>8</v>
      </c>
      <c r="C49" t="s">
        <v>396</v>
      </c>
    </row>
    <row r="50" spans="1:3">
      <c r="A50">
        <v>5</v>
      </c>
      <c r="B50">
        <v>9</v>
      </c>
      <c r="C50" t="s">
        <v>397</v>
      </c>
    </row>
    <row r="51" spans="1:3">
      <c r="A51">
        <v>5</v>
      </c>
      <c r="B51">
        <v>10</v>
      </c>
      <c r="C51" t="s">
        <v>398</v>
      </c>
    </row>
    <row r="52" spans="1:3">
      <c r="A52">
        <v>6</v>
      </c>
      <c r="B52">
        <v>1</v>
      </c>
      <c r="C52" t="s">
        <v>399</v>
      </c>
    </row>
    <row r="53" spans="1:3">
      <c r="A53">
        <v>6</v>
      </c>
      <c r="B53">
        <v>2</v>
      </c>
      <c r="C53" t="s">
        <v>400</v>
      </c>
    </row>
    <row r="54" spans="1:3">
      <c r="A54">
        <v>6</v>
      </c>
      <c r="B54">
        <v>3</v>
      </c>
      <c r="C54" t="s">
        <v>401</v>
      </c>
    </row>
    <row r="55" spans="1:3">
      <c r="A55">
        <v>6</v>
      </c>
      <c r="B55">
        <v>4</v>
      </c>
      <c r="C55" t="s">
        <v>402</v>
      </c>
    </row>
    <row r="56" spans="1:3">
      <c r="A56">
        <v>6</v>
      </c>
      <c r="B56">
        <v>5</v>
      </c>
      <c r="C56" t="s">
        <v>403</v>
      </c>
    </row>
    <row r="57" spans="1:3">
      <c r="A57">
        <v>6</v>
      </c>
      <c r="B57">
        <v>6</v>
      </c>
      <c r="C57" t="s">
        <v>404</v>
      </c>
    </row>
    <row r="58" spans="1:3">
      <c r="A58">
        <v>6</v>
      </c>
      <c r="B58">
        <v>7</v>
      </c>
      <c r="C58" t="s">
        <v>405</v>
      </c>
    </row>
    <row r="59" spans="1:3">
      <c r="A59">
        <v>6</v>
      </c>
      <c r="B59">
        <v>8</v>
      </c>
      <c r="C59" t="s">
        <v>406</v>
      </c>
    </row>
    <row r="60" spans="1:3">
      <c r="A60">
        <v>6</v>
      </c>
      <c r="B60">
        <v>9</v>
      </c>
      <c r="C60" t="s">
        <v>407</v>
      </c>
    </row>
    <row r="61" spans="1:3">
      <c r="A61">
        <v>6</v>
      </c>
      <c r="B61">
        <v>10</v>
      </c>
      <c r="C61" t="s">
        <v>408</v>
      </c>
    </row>
    <row r="62" spans="1:3">
      <c r="A62">
        <v>7</v>
      </c>
      <c r="B62">
        <v>1</v>
      </c>
      <c r="C62" t="s">
        <v>409</v>
      </c>
    </row>
    <row r="63" spans="1:3">
      <c r="A63">
        <v>7</v>
      </c>
      <c r="B63">
        <v>2</v>
      </c>
      <c r="C63" t="s">
        <v>410</v>
      </c>
    </row>
    <row r="64" spans="1:3">
      <c r="A64">
        <v>7</v>
      </c>
      <c r="B64">
        <v>3</v>
      </c>
      <c r="C64" t="s">
        <v>411</v>
      </c>
    </row>
    <row r="65" spans="1:3">
      <c r="A65">
        <v>7</v>
      </c>
      <c r="B65">
        <v>4</v>
      </c>
      <c r="C65" t="s">
        <v>412</v>
      </c>
    </row>
    <row r="66" spans="1:3">
      <c r="A66">
        <v>7</v>
      </c>
      <c r="B66">
        <v>5</v>
      </c>
      <c r="C66" t="s">
        <v>413</v>
      </c>
    </row>
    <row r="67" spans="1:3">
      <c r="A67">
        <v>7</v>
      </c>
      <c r="B67">
        <v>6</v>
      </c>
      <c r="C67" t="s">
        <v>414</v>
      </c>
    </row>
    <row r="68" spans="1:3">
      <c r="A68">
        <v>7</v>
      </c>
      <c r="B68">
        <v>7</v>
      </c>
      <c r="C68" t="s">
        <v>415</v>
      </c>
    </row>
    <row r="69" spans="1:3">
      <c r="A69">
        <v>7</v>
      </c>
      <c r="B69">
        <v>8</v>
      </c>
      <c r="C69" t="s">
        <v>416</v>
      </c>
    </row>
    <row r="70" spans="1:3">
      <c r="A70">
        <v>7</v>
      </c>
      <c r="B70">
        <v>9</v>
      </c>
      <c r="C70" t="s">
        <v>417</v>
      </c>
    </row>
    <row r="71" spans="1:3">
      <c r="A71">
        <v>7</v>
      </c>
      <c r="B71">
        <v>10</v>
      </c>
      <c r="C71" t="s">
        <v>418</v>
      </c>
    </row>
    <row r="72" spans="1:3">
      <c r="A72">
        <v>8</v>
      </c>
      <c r="B72">
        <v>1</v>
      </c>
      <c r="C72" t="s">
        <v>419</v>
      </c>
    </row>
    <row r="73" spans="1:3">
      <c r="A73">
        <v>8</v>
      </c>
      <c r="B73">
        <v>2</v>
      </c>
      <c r="C73" t="s">
        <v>420</v>
      </c>
    </row>
    <row r="74" spans="1:3">
      <c r="A74">
        <v>8</v>
      </c>
      <c r="B74">
        <v>3</v>
      </c>
      <c r="C74" t="s">
        <v>421</v>
      </c>
    </row>
    <row r="75" spans="1:3">
      <c r="A75">
        <v>8</v>
      </c>
      <c r="B75">
        <v>4</v>
      </c>
      <c r="C75" t="s">
        <v>422</v>
      </c>
    </row>
    <row r="76" spans="1:3">
      <c r="A76">
        <v>8</v>
      </c>
      <c r="B76">
        <v>5</v>
      </c>
      <c r="C76" t="s">
        <v>423</v>
      </c>
    </row>
    <row r="77" spans="1:3">
      <c r="A77">
        <v>8</v>
      </c>
      <c r="B77">
        <v>6</v>
      </c>
      <c r="C77" t="s">
        <v>424</v>
      </c>
    </row>
    <row r="78" spans="1:3">
      <c r="A78">
        <v>8</v>
      </c>
      <c r="B78">
        <v>7</v>
      </c>
      <c r="C78" t="s">
        <v>425</v>
      </c>
    </row>
    <row r="79" spans="1:3">
      <c r="A79">
        <v>8</v>
      </c>
      <c r="B79">
        <v>8</v>
      </c>
      <c r="C79" t="s">
        <v>426</v>
      </c>
    </row>
    <row r="80" spans="1:3">
      <c r="A80">
        <v>8</v>
      </c>
      <c r="B80">
        <v>9</v>
      </c>
      <c r="C80" t="s">
        <v>427</v>
      </c>
    </row>
    <row r="81" spans="1:3">
      <c r="A81">
        <v>8</v>
      </c>
      <c r="B81">
        <v>10</v>
      </c>
      <c r="C81" t="s">
        <v>428</v>
      </c>
    </row>
    <row r="82" spans="1:3">
      <c r="A82">
        <v>9</v>
      </c>
      <c r="B82">
        <v>1</v>
      </c>
      <c r="C82" t="s">
        <v>429</v>
      </c>
    </row>
    <row r="83" spans="1:3">
      <c r="A83">
        <v>9</v>
      </c>
      <c r="B83">
        <v>2</v>
      </c>
      <c r="C83" t="s">
        <v>430</v>
      </c>
    </row>
    <row r="84" spans="1:3">
      <c r="A84">
        <v>9</v>
      </c>
      <c r="B84">
        <v>3</v>
      </c>
      <c r="C84" t="s">
        <v>431</v>
      </c>
    </row>
    <row r="85" spans="1:3">
      <c r="A85">
        <v>9</v>
      </c>
      <c r="B85">
        <v>4</v>
      </c>
      <c r="C85" t="s">
        <v>432</v>
      </c>
    </row>
    <row r="86" spans="1:3">
      <c r="A86">
        <v>9</v>
      </c>
      <c r="B86">
        <v>5</v>
      </c>
      <c r="C86" t="s">
        <v>433</v>
      </c>
    </row>
    <row r="87" spans="1:3">
      <c r="A87">
        <v>9</v>
      </c>
      <c r="B87">
        <v>6</v>
      </c>
      <c r="C87" t="s">
        <v>434</v>
      </c>
    </row>
    <row r="88" spans="1:3">
      <c r="A88">
        <v>9</v>
      </c>
      <c r="B88">
        <v>7</v>
      </c>
      <c r="C88" t="s">
        <v>435</v>
      </c>
    </row>
    <row r="89" spans="1:3">
      <c r="A89">
        <v>9</v>
      </c>
      <c r="B89">
        <v>8</v>
      </c>
      <c r="C89" t="s">
        <v>436</v>
      </c>
    </row>
    <row r="90" spans="1:3">
      <c r="A90">
        <v>9</v>
      </c>
      <c r="B90">
        <v>9</v>
      </c>
      <c r="C90" t="s">
        <v>437</v>
      </c>
    </row>
    <row r="91" spans="1:3">
      <c r="A91">
        <v>9</v>
      </c>
      <c r="B91">
        <v>10</v>
      </c>
      <c r="C91" t="s">
        <v>438</v>
      </c>
    </row>
    <row r="92" spans="1:3">
      <c r="A92">
        <v>10</v>
      </c>
      <c r="B92">
        <v>1</v>
      </c>
      <c r="C92" t="s">
        <v>439</v>
      </c>
    </row>
    <row r="93" spans="1:3">
      <c r="A93">
        <v>10</v>
      </c>
      <c r="B93">
        <v>2</v>
      </c>
      <c r="C93" t="s">
        <v>440</v>
      </c>
    </row>
    <row r="94" spans="1:3">
      <c r="A94">
        <v>10</v>
      </c>
      <c r="B94">
        <v>3</v>
      </c>
      <c r="C94" t="s">
        <v>441</v>
      </c>
    </row>
    <row r="95" spans="1:3">
      <c r="A95">
        <v>10</v>
      </c>
      <c r="B95">
        <v>4</v>
      </c>
      <c r="C95" t="s">
        <v>442</v>
      </c>
    </row>
    <row r="96" spans="1:3">
      <c r="A96">
        <v>10</v>
      </c>
      <c r="B96">
        <v>5</v>
      </c>
      <c r="C96" t="s">
        <v>443</v>
      </c>
    </row>
    <row r="97" spans="1:3">
      <c r="A97">
        <v>10</v>
      </c>
      <c r="B97">
        <v>6</v>
      </c>
      <c r="C97" t="s">
        <v>444</v>
      </c>
    </row>
    <row r="98" spans="1:3">
      <c r="A98">
        <v>10</v>
      </c>
      <c r="B98">
        <v>7</v>
      </c>
      <c r="C98" t="s">
        <v>445</v>
      </c>
    </row>
    <row r="99" spans="1:3">
      <c r="A99">
        <v>10</v>
      </c>
      <c r="B99">
        <v>8</v>
      </c>
      <c r="C99" t="s">
        <v>446</v>
      </c>
    </row>
    <row r="100" spans="1:3">
      <c r="A100">
        <v>10</v>
      </c>
      <c r="B100">
        <v>9</v>
      </c>
      <c r="C100" t="s">
        <v>447</v>
      </c>
    </row>
    <row r="101" spans="1:3">
      <c r="A101">
        <v>10</v>
      </c>
      <c r="B101">
        <v>10</v>
      </c>
      <c r="C101" t="s">
        <v>448</v>
      </c>
    </row>
    <row r="102" spans="1:3">
      <c r="A102">
        <v>11</v>
      </c>
      <c r="B102">
        <v>1</v>
      </c>
      <c r="C102" t="s">
        <v>449</v>
      </c>
    </row>
    <row r="103" spans="1:3">
      <c r="A103">
        <v>11</v>
      </c>
      <c r="B103">
        <v>2</v>
      </c>
      <c r="C103" t="s">
        <v>450</v>
      </c>
    </row>
    <row r="104" spans="1:3">
      <c r="A104">
        <v>11</v>
      </c>
      <c r="B104">
        <v>3</v>
      </c>
      <c r="C104" t="s">
        <v>451</v>
      </c>
    </row>
    <row r="105" spans="1:3">
      <c r="A105">
        <v>11</v>
      </c>
      <c r="B105">
        <v>4</v>
      </c>
      <c r="C105" t="s">
        <v>452</v>
      </c>
    </row>
    <row r="106" spans="1:3">
      <c r="A106">
        <v>11</v>
      </c>
      <c r="B106">
        <v>5</v>
      </c>
      <c r="C106" t="s">
        <v>453</v>
      </c>
    </row>
    <row r="107" spans="1:3">
      <c r="A107">
        <v>11</v>
      </c>
      <c r="B107">
        <v>6</v>
      </c>
      <c r="C107" t="s">
        <v>454</v>
      </c>
    </row>
    <row r="108" spans="1:3">
      <c r="A108">
        <v>11</v>
      </c>
      <c r="B108">
        <v>7</v>
      </c>
      <c r="C108" t="s">
        <v>455</v>
      </c>
    </row>
    <row r="109" spans="1:3">
      <c r="A109">
        <v>11</v>
      </c>
      <c r="B109">
        <v>8</v>
      </c>
      <c r="C109" t="s">
        <v>456</v>
      </c>
    </row>
    <row r="110" spans="1:3">
      <c r="A110">
        <v>11</v>
      </c>
      <c r="B110">
        <v>9</v>
      </c>
      <c r="C110" t="s">
        <v>457</v>
      </c>
    </row>
    <row r="111" spans="1:3">
      <c r="A111">
        <v>11</v>
      </c>
      <c r="B111">
        <v>10</v>
      </c>
      <c r="C111" t="s">
        <v>458</v>
      </c>
    </row>
    <row r="112" spans="1:3">
      <c r="A112">
        <v>11</v>
      </c>
      <c r="B112">
        <v>11</v>
      </c>
      <c r="C112" t="s">
        <v>459</v>
      </c>
    </row>
    <row r="113" spans="1:3">
      <c r="A113">
        <v>12</v>
      </c>
      <c r="B113">
        <v>1</v>
      </c>
      <c r="C113" t="s">
        <v>460</v>
      </c>
    </row>
    <row r="114" spans="1:3">
      <c r="A114">
        <v>12</v>
      </c>
      <c r="B114">
        <v>2</v>
      </c>
      <c r="C114" t="s">
        <v>461</v>
      </c>
    </row>
    <row r="115" spans="1:3">
      <c r="A115">
        <v>12</v>
      </c>
      <c r="B115">
        <v>3</v>
      </c>
      <c r="C115" t="s">
        <v>462</v>
      </c>
    </row>
    <row r="116" spans="1:3">
      <c r="A116">
        <v>12</v>
      </c>
      <c r="B116">
        <v>4</v>
      </c>
      <c r="C116" t="s">
        <v>463</v>
      </c>
    </row>
    <row r="117" spans="1:3">
      <c r="A117">
        <v>12</v>
      </c>
      <c r="B117">
        <v>5</v>
      </c>
      <c r="C117" t="s">
        <v>464</v>
      </c>
    </row>
    <row r="118" spans="1:3">
      <c r="A118">
        <v>12</v>
      </c>
      <c r="B118">
        <v>6</v>
      </c>
      <c r="C118" t="s">
        <v>465</v>
      </c>
    </row>
    <row r="119" spans="1:3">
      <c r="A119">
        <v>12</v>
      </c>
      <c r="B119">
        <v>7</v>
      </c>
      <c r="C119" t="s">
        <v>466</v>
      </c>
    </row>
    <row r="120" spans="1:3">
      <c r="A120">
        <v>12</v>
      </c>
      <c r="B120">
        <v>8</v>
      </c>
      <c r="C120" t="s">
        <v>467</v>
      </c>
    </row>
    <row r="121" spans="1:3">
      <c r="A121">
        <v>12</v>
      </c>
      <c r="B121">
        <v>9</v>
      </c>
      <c r="C121" t="s">
        <v>468</v>
      </c>
    </row>
    <row r="122" spans="1:3">
      <c r="A122">
        <v>12</v>
      </c>
      <c r="B122">
        <v>10</v>
      </c>
      <c r="C122" t="s">
        <v>469</v>
      </c>
    </row>
    <row r="123" spans="1:3">
      <c r="A123">
        <v>12</v>
      </c>
      <c r="B123">
        <v>11</v>
      </c>
      <c r="C123" t="s">
        <v>470</v>
      </c>
    </row>
    <row r="124" spans="1:3">
      <c r="A124">
        <v>12</v>
      </c>
      <c r="B124">
        <v>12</v>
      </c>
      <c r="C124" t="s">
        <v>471</v>
      </c>
    </row>
    <row r="125" spans="1:3">
      <c r="A125">
        <v>12</v>
      </c>
      <c r="B125">
        <v>13</v>
      </c>
      <c r="C125" t="s">
        <v>472</v>
      </c>
    </row>
    <row r="126" spans="1:3">
      <c r="A126">
        <v>13</v>
      </c>
      <c r="B126">
        <v>1</v>
      </c>
      <c r="C126" t="s">
        <v>473</v>
      </c>
    </row>
    <row r="127" spans="1:3">
      <c r="A127">
        <v>13</v>
      </c>
      <c r="B127">
        <v>2</v>
      </c>
      <c r="C127" t="s">
        <v>474</v>
      </c>
    </row>
    <row r="128" spans="1:3">
      <c r="A128">
        <v>13</v>
      </c>
      <c r="B128">
        <v>3</v>
      </c>
      <c r="C128" t="s">
        <v>475</v>
      </c>
    </row>
    <row r="129" spans="1:3">
      <c r="A129">
        <v>13</v>
      </c>
      <c r="B129">
        <v>4</v>
      </c>
      <c r="C129" t="s">
        <v>476</v>
      </c>
    </row>
    <row r="130" spans="1:3">
      <c r="A130">
        <v>13</v>
      </c>
      <c r="B130">
        <v>5</v>
      </c>
      <c r="C130" t="s">
        <v>477</v>
      </c>
    </row>
    <row r="131" spans="1:3">
      <c r="A131">
        <v>14</v>
      </c>
      <c r="B131">
        <v>1</v>
      </c>
      <c r="C131" t="s">
        <v>478</v>
      </c>
    </row>
    <row r="132" spans="1:3">
      <c r="A132">
        <v>14</v>
      </c>
      <c r="B132">
        <v>2</v>
      </c>
      <c r="C132" t="s">
        <v>479</v>
      </c>
    </row>
    <row r="133" spans="1:3">
      <c r="A133">
        <v>14</v>
      </c>
      <c r="B133">
        <v>3</v>
      </c>
      <c r="C133" t="s">
        <v>480</v>
      </c>
    </row>
    <row r="134" spans="1:3">
      <c r="A134">
        <v>14</v>
      </c>
      <c r="B134">
        <v>4</v>
      </c>
      <c r="C134" t="s">
        <v>481</v>
      </c>
    </row>
    <row r="135" spans="1:3">
      <c r="A135">
        <v>14</v>
      </c>
      <c r="B135">
        <v>5</v>
      </c>
      <c r="C135" t="s">
        <v>482</v>
      </c>
    </row>
    <row r="136" spans="1:3">
      <c r="A136">
        <v>15</v>
      </c>
      <c r="B136">
        <v>1</v>
      </c>
      <c r="C136" t="s">
        <v>483</v>
      </c>
    </row>
    <row r="137" spans="1:3">
      <c r="A137">
        <v>15</v>
      </c>
      <c r="B137">
        <v>2</v>
      </c>
      <c r="C137" t="s">
        <v>484</v>
      </c>
    </row>
    <row r="138" spans="1:3">
      <c r="A138">
        <v>15</v>
      </c>
      <c r="B138">
        <v>3</v>
      </c>
      <c r="C138" t="s">
        <v>485</v>
      </c>
    </row>
    <row r="139" spans="1:3">
      <c r="A139">
        <v>15</v>
      </c>
      <c r="B139">
        <v>4</v>
      </c>
      <c r="C139" t="s">
        <v>486</v>
      </c>
    </row>
    <row r="140" spans="1:3">
      <c r="A140">
        <v>15</v>
      </c>
      <c r="B140">
        <v>5</v>
      </c>
      <c r="C140" t="s">
        <v>487</v>
      </c>
    </row>
    <row r="141" spans="1:3">
      <c r="A141">
        <v>16</v>
      </c>
      <c r="B141">
        <v>1</v>
      </c>
      <c r="C141" t="s">
        <v>488</v>
      </c>
    </row>
    <row r="142" spans="1:3">
      <c r="A142">
        <v>16</v>
      </c>
      <c r="B142">
        <v>2</v>
      </c>
      <c r="C142" t="s">
        <v>489</v>
      </c>
    </row>
    <row r="143" spans="1:3">
      <c r="A143">
        <v>16</v>
      </c>
      <c r="B143">
        <v>3</v>
      </c>
      <c r="C143" t="s">
        <v>490</v>
      </c>
    </row>
    <row r="144" spans="1:3">
      <c r="A144">
        <v>16</v>
      </c>
      <c r="B144">
        <v>4</v>
      </c>
      <c r="C144" t="s">
        <v>491</v>
      </c>
    </row>
    <row r="145" spans="1:3">
      <c r="A145">
        <v>16</v>
      </c>
      <c r="B145">
        <v>5</v>
      </c>
      <c r="C145" t="s">
        <v>492</v>
      </c>
    </row>
    <row r="146" spans="1:3">
      <c r="A146">
        <v>16</v>
      </c>
      <c r="B146">
        <v>6</v>
      </c>
      <c r="C146" t="s">
        <v>493</v>
      </c>
    </row>
    <row r="147" spans="1:3">
      <c r="A147">
        <v>16</v>
      </c>
      <c r="B147">
        <v>7</v>
      </c>
      <c r="C147" t="s">
        <v>494</v>
      </c>
    </row>
    <row r="148" spans="1:3">
      <c r="A148">
        <v>16</v>
      </c>
      <c r="B148">
        <v>8</v>
      </c>
      <c r="C148" t="s">
        <v>495</v>
      </c>
    </row>
    <row r="149" spans="1:3">
      <c r="A149">
        <v>16</v>
      </c>
      <c r="B149">
        <v>9</v>
      </c>
      <c r="C149" t="s">
        <v>496</v>
      </c>
    </row>
    <row r="150" spans="1:3">
      <c r="A150">
        <v>16</v>
      </c>
      <c r="B150">
        <v>10</v>
      </c>
      <c r="C150" t="s">
        <v>497</v>
      </c>
    </row>
    <row r="151" spans="1:3">
      <c r="A151">
        <v>17</v>
      </c>
      <c r="B151">
        <v>1</v>
      </c>
      <c r="C151" t="s">
        <v>498</v>
      </c>
    </row>
    <row r="152" spans="1:3">
      <c r="A152">
        <v>17</v>
      </c>
      <c r="B152">
        <v>2</v>
      </c>
      <c r="C152" t="s">
        <v>499</v>
      </c>
    </row>
    <row r="153" spans="1:3">
      <c r="A153">
        <v>17</v>
      </c>
      <c r="B153">
        <v>3</v>
      </c>
      <c r="C153" t="s">
        <v>500</v>
      </c>
    </row>
    <row r="154" spans="1:3">
      <c r="A154">
        <v>17</v>
      </c>
      <c r="B154">
        <v>4</v>
      </c>
      <c r="C154" t="s">
        <v>501</v>
      </c>
    </row>
    <row r="155" spans="1:3">
      <c r="A155">
        <v>17</v>
      </c>
      <c r="B155">
        <v>5</v>
      </c>
      <c r="C155" t="s">
        <v>502</v>
      </c>
    </row>
    <row r="156" spans="1:3">
      <c r="A156">
        <v>17</v>
      </c>
      <c r="B156">
        <v>6</v>
      </c>
      <c r="C156" t="s">
        <v>503</v>
      </c>
    </row>
    <row r="157" spans="1:3">
      <c r="A157">
        <v>17</v>
      </c>
      <c r="B157">
        <v>7</v>
      </c>
      <c r="C157" t="s">
        <v>504</v>
      </c>
    </row>
    <row r="158" spans="1:3">
      <c r="A158">
        <v>17</v>
      </c>
      <c r="B158">
        <v>8</v>
      </c>
      <c r="C158" t="s">
        <v>505</v>
      </c>
    </row>
    <row r="159" spans="1:3">
      <c r="A159">
        <v>17</v>
      </c>
      <c r="B159">
        <v>9</v>
      </c>
      <c r="C159" t="s">
        <v>506</v>
      </c>
    </row>
    <row r="160" spans="1:3">
      <c r="A160">
        <v>17</v>
      </c>
      <c r="B160">
        <v>10</v>
      </c>
      <c r="C160" t="s">
        <v>507</v>
      </c>
    </row>
    <row r="161" spans="1:3">
      <c r="A161">
        <v>17</v>
      </c>
      <c r="B161">
        <v>11</v>
      </c>
      <c r="C161" t="s">
        <v>508</v>
      </c>
    </row>
    <row r="162" spans="1:3">
      <c r="A162">
        <v>17</v>
      </c>
      <c r="B162">
        <v>12</v>
      </c>
      <c r="C162" t="s">
        <v>509</v>
      </c>
    </row>
    <row r="163" spans="1:3">
      <c r="A163">
        <v>18</v>
      </c>
      <c r="B163">
        <v>1</v>
      </c>
      <c r="C163" t="s">
        <v>510</v>
      </c>
    </row>
    <row r="164" spans="1:3">
      <c r="A164">
        <v>18</v>
      </c>
      <c r="B164">
        <v>2</v>
      </c>
      <c r="C164" t="s">
        <v>511</v>
      </c>
    </row>
    <row r="165" spans="1:3">
      <c r="A165">
        <v>18</v>
      </c>
      <c r="B165">
        <v>3</v>
      </c>
      <c r="C165" t="s">
        <v>512</v>
      </c>
    </row>
    <row r="166" spans="1:3">
      <c r="A166">
        <v>18</v>
      </c>
      <c r="B166">
        <v>4</v>
      </c>
      <c r="C166" t="s">
        <v>513</v>
      </c>
    </row>
    <row r="167" spans="1:3">
      <c r="A167">
        <v>18</v>
      </c>
      <c r="B167">
        <v>5</v>
      </c>
      <c r="C167" t="s">
        <v>514</v>
      </c>
    </row>
    <row r="168" spans="1:3">
      <c r="A168">
        <v>18</v>
      </c>
      <c r="B168">
        <v>6</v>
      </c>
      <c r="C168" t="s">
        <v>515</v>
      </c>
    </row>
    <row r="169" spans="1:3">
      <c r="A169">
        <v>18</v>
      </c>
      <c r="B169">
        <v>7</v>
      </c>
      <c r="C169" t="s">
        <v>516</v>
      </c>
    </row>
    <row r="170" spans="1:3">
      <c r="A170">
        <v>18</v>
      </c>
      <c r="B170">
        <v>8</v>
      </c>
      <c r="C170" t="s">
        <v>517</v>
      </c>
    </row>
    <row r="171" spans="1:3">
      <c r="A171">
        <v>18</v>
      </c>
      <c r="B171">
        <v>9</v>
      </c>
      <c r="C171" t="s">
        <v>518</v>
      </c>
    </row>
    <row r="172" spans="1:3">
      <c r="A172">
        <v>18</v>
      </c>
      <c r="B172">
        <v>10</v>
      </c>
      <c r="C172" t="s">
        <v>519</v>
      </c>
    </row>
    <row r="173" spans="1:3">
      <c r="A173">
        <v>19</v>
      </c>
      <c r="B173">
        <v>1</v>
      </c>
      <c r="C173" t="s">
        <v>520</v>
      </c>
    </row>
    <row r="174" spans="1:3">
      <c r="A174">
        <v>19</v>
      </c>
      <c r="B174">
        <v>2</v>
      </c>
      <c r="C174" t="s">
        <v>521</v>
      </c>
    </row>
    <row r="175" spans="1:3">
      <c r="A175">
        <v>19</v>
      </c>
      <c r="B175">
        <v>3</v>
      </c>
      <c r="C175" t="s">
        <v>522</v>
      </c>
    </row>
    <row r="176" spans="1:3">
      <c r="A176">
        <v>19</v>
      </c>
      <c r="B176">
        <v>4</v>
      </c>
      <c r="C176" t="s">
        <v>523</v>
      </c>
    </row>
    <row r="177" spans="1:3">
      <c r="A177">
        <v>19</v>
      </c>
      <c r="B177">
        <v>5</v>
      </c>
      <c r="C177" t="s">
        <v>524</v>
      </c>
    </row>
    <row r="178" spans="1:3">
      <c r="A178">
        <v>19</v>
      </c>
      <c r="B178">
        <v>6</v>
      </c>
      <c r="C178" t="s">
        <v>525</v>
      </c>
    </row>
    <row r="179" spans="1:3">
      <c r="A179">
        <v>19</v>
      </c>
      <c r="B179">
        <v>7</v>
      </c>
      <c r="C179" t="s">
        <v>526</v>
      </c>
    </row>
    <row r="180" spans="1:3">
      <c r="A180">
        <v>19</v>
      </c>
      <c r="B180">
        <v>8</v>
      </c>
      <c r="C180" t="s">
        <v>527</v>
      </c>
    </row>
    <row r="181" spans="1:3">
      <c r="A181">
        <v>19</v>
      </c>
      <c r="B181">
        <v>9</v>
      </c>
      <c r="C181" t="s">
        <v>528</v>
      </c>
    </row>
    <row r="182" spans="1:3">
      <c r="A182">
        <v>19</v>
      </c>
      <c r="B182">
        <v>10</v>
      </c>
      <c r="C182" t="s">
        <v>529</v>
      </c>
    </row>
    <row r="183" spans="1:3">
      <c r="A183">
        <v>20</v>
      </c>
      <c r="B183">
        <v>1</v>
      </c>
      <c r="C183" t="s">
        <v>530</v>
      </c>
    </row>
    <row r="184" spans="1:3">
      <c r="A184">
        <v>20</v>
      </c>
      <c r="B184">
        <v>2</v>
      </c>
      <c r="C184" t="s">
        <v>531</v>
      </c>
    </row>
    <row r="185" spans="1:3">
      <c r="A185">
        <v>20</v>
      </c>
      <c r="B185">
        <v>3</v>
      </c>
      <c r="C185" t="s">
        <v>532</v>
      </c>
    </row>
    <row r="186" spans="1:3">
      <c r="A186">
        <v>20</v>
      </c>
      <c r="B186">
        <v>4</v>
      </c>
      <c r="C186" t="s">
        <v>533</v>
      </c>
    </row>
    <row r="187" spans="1:3">
      <c r="A187">
        <v>20</v>
      </c>
      <c r="B187">
        <v>5</v>
      </c>
      <c r="C187" t="s">
        <v>534</v>
      </c>
    </row>
    <row r="188" spans="1:3">
      <c r="A188">
        <v>20</v>
      </c>
      <c r="B188">
        <v>6</v>
      </c>
      <c r="C188" t="s">
        <v>535</v>
      </c>
    </row>
    <row r="189" spans="1:3">
      <c r="A189">
        <v>20</v>
      </c>
      <c r="B189">
        <v>7</v>
      </c>
      <c r="C189" t="s">
        <v>536</v>
      </c>
    </row>
    <row r="190" spans="1:3">
      <c r="A190">
        <v>20</v>
      </c>
      <c r="B190">
        <v>8</v>
      </c>
      <c r="C190" t="s">
        <v>537</v>
      </c>
    </row>
    <row r="191" spans="1:3">
      <c r="A191">
        <v>20</v>
      </c>
      <c r="B191">
        <v>9</v>
      </c>
      <c r="C191" t="s">
        <v>538</v>
      </c>
    </row>
    <row r="192" spans="1:3">
      <c r="A192">
        <v>20</v>
      </c>
      <c r="B192">
        <v>10</v>
      </c>
      <c r="C192" t="s">
        <v>435</v>
      </c>
    </row>
    <row r="193" spans="1:3">
      <c r="A193">
        <v>21</v>
      </c>
      <c r="B193">
        <v>1</v>
      </c>
      <c r="C193" t="s">
        <v>539</v>
      </c>
    </row>
    <row r="194" spans="1:3">
      <c r="A194">
        <v>21</v>
      </c>
      <c r="B194">
        <v>2</v>
      </c>
      <c r="C194" t="s">
        <v>540</v>
      </c>
    </row>
    <row r="195" spans="1:3">
      <c r="A195">
        <v>21</v>
      </c>
      <c r="B195">
        <v>3</v>
      </c>
      <c r="C195" t="s">
        <v>541</v>
      </c>
    </row>
    <row r="196" spans="1:3">
      <c r="A196">
        <v>21</v>
      </c>
      <c r="B196">
        <v>4</v>
      </c>
      <c r="C196" t="s">
        <v>542</v>
      </c>
    </row>
    <row r="197" spans="1:3">
      <c r="A197">
        <v>21</v>
      </c>
      <c r="B197">
        <v>5</v>
      </c>
      <c r="C197" t="s">
        <v>543</v>
      </c>
    </row>
    <row r="198" spans="1:3">
      <c r="A198">
        <v>21</v>
      </c>
      <c r="B198">
        <v>6</v>
      </c>
      <c r="C198" t="s">
        <v>544</v>
      </c>
    </row>
    <row r="199" spans="1:3">
      <c r="A199">
        <v>21</v>
      </c>
      <c r="B199">
        <v>7</v>
      </c>
      <c r="C199" t="s">
        <v>545</v>
      </c>
    </row>
    <row r="200" spans="1:3">
      <c r="A200">
        <v>21</v>
      </c>
      <c r="B200">
        <v>8</v>
      </c>
      <c r="C200" t="s">
        <v>546</v>
      </c>
    </row>
    <row r="201" spans="1:3">
      <c r="A201">
        <v>21</v>
      </c>
      <c r="B201">
        <v>9</v>
      </c>
      <c r="C201" t="s">
        <v>547</v>
      </c>
    </row>
    <row r="202" spans="1:3">
      <c r="A202">
        <v>21</v>
      </c>
      <c r="B202">
        <v>10</v>
      </c>
      <c r="C202" t="s">
        <v>548</v>
      </c>
    </row>
    <row r="203" spans="1:3">
      <c r="A203">
        <v>22</v>
      </c>
      <c r="B203">
        <v>1</v>
      </c>
      <c r="C203" t="s">
        <v>549</v>
      </c>
    </row>
    <row r="204" spans="1:3">
      <c r="A204">
        <v>22</v>
      </c>
      <c r="B204">
        <v>2</v>
      </c>
      <c r="C204" t="s">
        <v>550</v>
      </c>
    </row>
    <row r="205" spans="1:3">
      <c r="A205">
        <v>22</v>
      </c>
      <c r="B205">
        <v>3</v>
      </c>
      <c r="C205" t="s">
        <v>551</v>
      </c>
    </row>
    <row r="206" spans="1:3">
      <c r="A206">
        <v>22</v>
      </c>
      <c r="B206">
        <v>4</v>
      </c>
      <c r="C206" t="s">
        <v>552</v>
      </c>
    </row>
    <row r="207" spans="1:3">
      <c r="A207">
        <v>22</v>
      </c>
      <c r="B207">
        <v>5</v>
      </c>
      <c r="C207" t="s">
        <v>553</v>
      </c>
    </row>
    <row r="208" spans="1:3">
      <c r="A208">
        <v>22</v>
      </c>
      <c r="B208">
        <v>6</v>
      </c>
      <c r="C208" t="s">
        <v>554</v>
      </c>
    </row>
    <row r="209" spans="1:3">
      <c r="A209">
        <v>22</v>
      </c>
      <c r="B209">
        <v>7</v>
      </c>
      <c r="C209" t="s">
        <v>555</v>
      </c>
    </row>
    <row r="210" spans="1:3">
      <c r="A210">
        <v>22</v>
      </c>
      <c r="B210">
        <v>8</v>
      </c>
      <c r="C210" t="s">
        <v>556</v>
      </c>
    </row>
    <row r="211" spans="1:3">
      <c r="A211">
        <v>22</v>
      </c>
      <c r="B211">
        <v>9</v>
      </c>
      <c r="C211" t="s">
        <v>557</v>
      </c>
    </row>
    <row r="212" spans="1:3">
      <c r="A212">
        <v>22</v>
      </c>
      <c r="B212">
        <v>10</v>
      </c>
      <c r="C212" t="s">
        <v>558</v>
      </c>
    </row>
    <row r="213" spans="1:3">
      <c r="A213">
        <v>22</v>
      </c>
      <c r="B213">
        <v>11</v>
      </c>
      <c r="C213" t="s">
        <v>559</v>
      </c>
    </row>
    <row r="214" spans="1:3">
      <c r="A214">
        <v>23</v>
      </c>
      <c r="B214">
        <v>2</v>
      </c>
      <c r="C214" t="s">
        <v>560</v>
      </c>
    </row>
    <row r="215" spans="1:3">
      <c r="A215">
        <v>23</v>
      </c>
      <c r="B215">
        <v>3</v>
      </c>
      <c r="C215" t="s">
        <v>561</v>
      </c>
    </row>
    <row r="216" spans="1:3">
      <c r="A216">
        <v>23</v>
      </c>
      <c r="B216">
        <v>5</v>
      </c>
      <c r="C216" t="s">
        <v>562</v>
      </c>
    </row>
    <row r="217" spans="1:3">
      <c r="A217">
        <v>23</v>
      </c>
      <c r="B217">
        <v>6</v>
      </c>
      <c r="C217" t="s">
        <v>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Robichaud</dc:creator>
  <cp:lastModifiedBy>Patrick Robichaud</cp:lastModifiedBy>
  <dcterms:created xsi:type="dcterms:W3CDTF">2020-12-16T20:52:48Z</dcterms:created>
  <dcterms:modified xsi:type="dcterms:W3CDTF">2021-01-05T22:34:09Z</dcterms:modified>
</cp:coreProperties>
</file>