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HillsongWorship\"/>
    </mc:Choice>
  </mc:AlternateContent>
  <xr:revisionPtr revIDLastSave="0" documentId="13_ncr:1_{F45B5A6E-8E04-4935-8357-E074BA067849}" xr6:coauthVersionLast="45" xr6:coauthVersionMax="45" xr10:uidLastSave="{00000000-0000-0000-0000-000000000000}"/>
  <bookViews>
    <workbookView xWindow="-120" yWindow="-120" windowWidth="29040" windowHeight="15990" activeTab="2" xr2:uid="{EEB768F0-7332-49A7-8FEF-956E745C1135}"/>
  </bookViews>
  <sheets>
    <sheet name="Statistics" sheetId="3" r:id="rId1"/>
    <sheet name="Albums" sheetId="1" r:id="rId2"/>
    <sheet name="Songs" sheetId="2" r:id="rId3"/>
  </sheets>
  <definedNames>
    <definedName name="_xlnm._FilterDatabase" localSheetId="1" hidden="1">Albums!$A$1:$I$51</definedName>
    <definedName name="_xlnm._FilterDatabase" localSheetId="2" hidden="1">Songs!$A$1:$G$385</definedName>
    <definedName name="_xlnm._FilterDatabase" localSheetId="0" hidden="1">Statistics!$A$1:$D$1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97" i="2" l="1"/>
  <c r="J297" i="2"/>
  <c r="D297" i="2" s="1"/>
  <c r="K297" i="2"/>
  <c r="E297" i="2" s="1"/>
  <c r="F298" i="2"/>
  <c r="J298" i="2"/>
  <c r="D298" i="2" s="1"/>
  <c r="K298" i="2"/>
  <c r="E298" i="2" s="1"/>
  <c r="F299" i="2"/>
  <c r="J299" i="2"/>
  <c r="D299" i="2" s="1"/>
  <c r="K299" i="2"/>
  <c r="E299" i="2" s="1"/>
  <c r="D300" i="2"/>
  <c r="F300" i="2"/>
  <c r="J300" i="2"/>
  <c r="K300" i="2"/>
  <c r="E300" i="2" s="1"/>
  <c r="F301" i="2"/>
  <c r="J301" i="2"/>
  <c r="D301" i="2" s="1"/>
  <c r="K301" i="2"/>
  <c r="E301" i="2" s="1"/>
  <c r="F302" i="2"/>
  <c r="J302" i="2"/>
  <c r="D302" i="2" s="1"/>
  <c r="K302" i="2"/>
  <c r="E302" i="2" s="1"/>
  <c r="D303" i="2"/>
  <c r="E303" i="2"/>
  <c r="F303" i="2"/>
  <c r="J303" i="2"/>
  <c r="K303" i="2"/>
  <c r="F304" i="2"/>
  <c r="J304" i="2"/>
  <c r="D304" i="2" s="1"/>
  <c r="K304" i="2"/>
  <c r="E304" i="2" s="1"/>
  <c r="F305" i="2"/>
  <c r="J305" i="2"/>
  <c r="D305" i="2" s="1"/>
  <c r="K305" i="2"/>
  <c r="E305" i="2" s="1"/>
  <c r="D306" i="2"/>
  <c r="E306" i="2"/>
  <c r="F306" i="2"/>
  <c r="J306" i="2"/>
  <c r="K306" i="2"/>
  <c r="F307" i="2"/>
  <c r="J307" i="2"/>
  <c r="D307" i="2" s="1"/>
  <c r="K307" i="2"/>
  <c r="E307" i="2" s="1"/>
  <c r="F308" i="2"/>
  <c r="J308" i="2"/>
  <c r="D308" i="2" s="1"/>
  <c r="K308" i="2"/>
  <c r="E308" i="2" s="1"/>
  <c r="E309" i="2"/>
  <c r="F309" i="2"/>
  <c r="J309" i="2"/>
  <c r="D309" i="2" s="1"/>
  <c r="K309" i="2"/>
  <c r="F310" i="2"/>
  <c r="J310" i="2"/>
  <c r="D310" i="2" s="1"/>
  <c r="K310" i="2"/>
  <c r="E310" i="2" s="1"/>
  <c r="F311" i="2"/>
  <c r="J311" i="2"/>
  <c r="D311" i="2" s="1"/>
  <c r="K311" i="2"/>
  <c r="E311" i="2" s="1"/>
  <c r="F312" i="2"/>
  <c r="J312" i="2"/>
  <c r="D312" i="2" s="1"/>
  <c r="K312" i="2"/>
  <c r="E312" i="2" s="1"/>
  <c r="F313" i="2"/>
  <c r="J313" i="2"/>
  <c r="D313" i="2" s="1"/>
  <c r="K313" i="2"/>
  <c r="E313" i="2" s="1"/>
  <c r="F314" i="2"/>
  <c r="J314" i="2"/>
  <c r="D314" i="2" s="1"/>
  <c r="K314" i="2"/>
  <c r="E314" i="2" s="1"/>
  <c r="F315" i="2"/>
  <c r="J315" i="2"/>
  <c r="D315" i="2" s="1"/>
  <c r="K315" i="2"/>
  <c r="E315" i="2" s="1"/>
  <c r="D316" i="2"/>
  <c r="F316" i="2"/>
  <c r="J316" i="2"/>
  <c r="K316" i="2"/>
  <c r="E316" i="2" s="1"/>
  <c r="F317" i="2"/>
  <c r="J317" i="2"/>
  <c r="D317" i="2" s="1"/>
  <c r="K317" i="2"/>
  <c r="E317" i="2" s="1"/>
  <c r="F318" i="2"/>
  <c r="J318" i="2"/>
  <c r="D318" i="2" s="1"/>
  <c r="K318" i="2"/>
  <c r="E318" i="2" s="1"/>
  <c r="D319" i="2"/>
  <c r="E319" i="2"/>
  <c r="F319" i="2"/>
  <c r="J319" i="2"/>
  <c r="K319" i="2"/>
  <c r="F320" i="2"/>
  <c r="J320" i="2"/>
  <c r="D320" i="2" s="1"/>
  <c r="K320" i="2"/>
  <c r="E320" i="2" s="1"/>
  <c r="F321" i="2"/>
  <c r="J321" i="2"/>
  <c r="D321" i="2" s="1"/>
  <c r="K321" i="2"/>
  <c r="E321" i="2" s="1"/>
  <c r="D322" i="2"/>
  <c r="E322" i="2"/>
  <c r="F322" i="2"/>
  <c r="J322" i="2"/>
  <c r="K322" i="2"/>
  <c r="F323" i="2"/>
  <c r="J323" i="2"/>
  <c r="D323" i="2" s="1"/>
  <c r="K323" i="2"/>
  <c r="E323" i="2" s="1"/>
  <c r="F324" i="2"/>
  <c r="J324" i="2"/>
  <c r="D324" i="2" s="1"/>
  <c r="K324" i="2"/>
  <c r="E324" i="2" s="1"/>
  <c r="E325" i="2"/>
  <c r="F325" i="2"/>
  <c r="J325" i="2"/>
  <c r="D325" i="2" s="1"/>
  <c r="K325" i="2"/>
  <c r="F326" i="2"/>
  <c r="J326" i="2"/>
  <c r="D326" i="2" s="1"/>
  <c r="K326" i="2"/>
  <c r="E326" i="2" s="1"/>
  <c r="F327" i="2"/>
  <c r="J327" i="2"/>
  <c r="D327" i="2" s="1"/>
  <c r="K327" i="2"/>
  <c r="E327" i="2" s="1"/>
  <c r="F328" i="2"/>
  <c r="J328" i="2"/>
  <c r="D328" i="2" s="1"/>
  <c r="K328" i="2"/>
  <c r="E328" i="2" s="1"/>
  <c r="F329" i="2"/>
  <c r="J329" i="2"/>
  <c r="D329" i="2" s="1"/>
  <c r="K329" i="2"/>
  <c r="E329" i="2" s="1"/>
  <c r="F330" i="2"/>
  <c r="J330" i="2"/>
  <c r="D330" i="2" s="1"/>
  <c r="K330" i="2"/>
  <c r="E330" i="2" s="1"/>
  <c r="F331" i="2"/>
  <c r="J331" i="2"/>
  <c r="D331" i="2" s="1"/>
  <c r="K331" i="2"/>
  <c r="E331" i="2" s="1"/>
  <c r="D332" i="2"/>
  <c r="F332" i="2"/>
  <c r="J332" i="2"/>
  <c r="K332" i="2"/>
  <c r="E332" i="2" s="1"/>
  <c r="F333" i="2"/>
  <c r="J333" i="2"/>
  <c r="D333" i="2" s="1"/>
  <c r="K333" i="2"/>
  <c r="E333" i="2" s="1"/>
  <c r="F334" i="2"/>
  <c r="J334" i="2"/>
  <c r="D334" i="2" s="1"/>
  <c r="K334" i="2"/>
  <c r="E334" i="2" s="1"/>
  <c r="D335" i="2"/>
  <c r="E335" i="2"/>
  <c r="F335" i="2"/>
  <c r="J335" i="2"/>
  <c r="K335" i="2"/>
  <c r="F336" i="2"/>
  <c r="J336" i="2"/>
  <c r="D336" i="2" s="1"/>
  <c r="K336" i="2"/>
  <c r="E336" i="2" s="1"/>
  <c r="F337" i="2"/>
  <c r="J337" i="2"/>
  <c r="D337" i="2" s="1"/>
  <c r="K337" i="2"/>
  <c r="E337" i="2" s="1"/>
  <c r="D338" i="2"/>
  <c r="E338" i="2"/>
  <c r="F338" i="2"/>
  <c r="J338" i="2"/>
  <c r="K338" i="2"/>
  <c r="F339" i="2"/>
  <c r="J339" i="2"/>
  <c r="D339" i="2" s="1"/>
  <c r="K339" i="2"/>
  <c r="E339" i="2" s="1"/>
  <c r="F340" i="2"/>
  <c r="J340" i="2"/>
  <c r="D340" i="2" s="1"/>
  <c r="K340" i="2"/>
  <c r="E340" i="2" s="1"/>
  <c r="E341" i="2"/>
  <c r="F341" i="2"/>
  <c r="J341" i="2"/>
  <c r="D341" i="2" s="1"/>
  <c r="K341" i="2"/>
  <c r="F342" i="2"/>
  <c r="J342" i="2"/>
  <c r="D342" i="2" s="1"/>
  <c r="K342" i="2"/>
  <c r="E342" i="2" s="1"/>
  <c r="F343" i="2"/>
  <c r="J343" i="2"/>
  <c r="D343" i="2" s="1"/>
  <c r="K343" i="2"/>
  <c r="E343" i="2" s="1"/>
  <c r="F344" i="2"/>
  <c r="J344" i="2"/>
  <c r="D344" i="2" s="1"/>
  <c r="K344" i="2"/>
  <c r="E344" i="2" s="1"/>
  <c r="F345" i="2"/>
  <c r="J345" i="2"/>
  <c r="D345" i="2" s="1"/>
  <c r="K345" i="2"/>
  <c r="E345" i="2" s="1"/>
  <c r="F346" i="2"/>
  <c r="J346" i="2"/>
  <c r="D346" i="2" s="1"/>
  <c r="K346" i="2"/>
  <c r="E346" i="2" s="1"/>
  <c r="F347" i="2"/>
  <c r="J347" i="2"/>
  <c r="D347" i="2" s="1"/>
  <c r="K347" i="2"/>
  <c r="E347" i="2" s="1"/>
  <c r="D348" i="2"/>
  <c r="F348" i="2"/>
  <c r="J348" i="2"/>
  <c r="K348" i="2"/>
  <c r="E348" i="2" s="1"/>
  <c r="F349" i="2"/>
  <c r="J349" i="2"/>
  <c r="D349" i="2" s="1"/>
  <c r="K349" i="2"/>
  <c r="E349" i="2" s="1"/>
  <c r="F350" i="2"/>
  <c r="J350" i="2"/>
  <c r="D350" i="2" s="1"/>
  <c r="K350" i="2"/>
  <c r="E350" i="2" s="1"/>
  <c r="D351" i="2"/>
  <c r="E351" i="2"/>
  <c r="F351" i="2"/>
  <c r="J351" i="2"/>
  <c r="K351" i="2"/>
  <c r="F352" i="2"/>
  <c r="J352" i="2"/>
  <c r="D352" i="2" s="1"/>
  <c r="K352" i="2"/>
  <c r="E352" i="2" s="1"/>
  <c r="F353" i="2"/>
  <c r="J353" i="2"/>
  <c r="D353" i="2" s="1"/>
  <c r="K353" i="2"/>
  <c r="E353" i="2" s="1"/>
  <c r="D354" i="2"/>
  <c r="E354" i="2"/>
  <c r="F354" i="2"/>
  <c r="J354" i="2"/>
  <c r="K354" i="2"/>
  <c r="F355" i="2"/>
  <c r="J355" i="2"/>
  <c r="D355" i="2" s="1"/>
  <c r="K355" i="2"/>
  <c r="E355" i="2" s="1"/>
  <c r="F356" i="2"/>
  <c r="J356" i="2"/>
  <c r="D356" i="2" s="1"/>
  <c r="K356" i="2"/>
  <c r="E356" i="2" s="1"/>
  <c r="E357" i="2"/>
  <c r="F357" i="2"/>
  <c r="J357" i="2"/>
  <c r="D357" i="2" s="1"/>
  <c r="K357" i="2"/>
  <c r="F358" i="2"/>
  <c r="J358" i="2"/>
  <c r="D358" i="2" s="1"/>
  <c r="K358" i="2"/>
  <c r="E358" i="2" s="1"/>
  <c r="F359" i="2"/>
  <c r="J359" i="2"/>
  <c r="D359" i="2" s="1"/>
  <c r="K359" i="2"/>
  <c r="E359" i="2" s="1"/>
  <c r="F360" i="2"/>
  <c r="J360" i="2"/>
  <c r="D360" i="2" s="1"/>
  <c r="K360" i="2"/>
  <c r="E360" i="2" s="1"/>
  <c r="F361" i="2"/>
  <c r="J361" i="2"/>
  <c r="D361" i="2" s="1"/>
  <c r="K361" i="2"/>
  <c r="E361" i="2" s="1"/>
  <c r="F362" i="2"/>
  <c r="J362" i="2"/>
  <c r="D362" i="2" s="1"/>
  <c r="K362" i="2"/>
  <c r="E362" i="2" s="1"/>
  <c r="F363" i="2"/>
  <c r="J363" i="2"/>
  <c r="D363" i="2" s="1"/>
  <c r="K363" i="2"/>
  <c r="E363" i="2" s="1"/>
  <c r="D364" i="2"/>
  <c r="F364" i="2"/>
  <c r="J364" i="2"/>
  <c r="K364" i="2"/>
  <c r="E364" i="2" s="1"/>
  <c r="F365" i="2"/>
  <c r="J365" i="2"/>
  <c r="D365" i="2" s="1"/>
  <c r="K365" i="2"/>
  <c r="E365" i="2" s="1"/>
  <c r="F366" i="2"/>
  <c r="J366" i="2"/>
  <c r="D366" i="2" s="1"/>
  <c r="K366" i="2"/>
  <c r="E366" i="2" s="1"/>
  <c r="D367" i="2"/>
  <c r="E367" i="2"/>
  <c r="F367" i="2"/>
  <c r="J367" i="2"/>
  <c r="K367" i="2"/>
  <c r="F368" i="2"/>
  <c r="J368" i="2"/>
  <c r="D368" i="2" s="1"/>
  <c r="K368" i="2"/>
  <c r="E368" i="2" s="1"/>
  <c r="F369" i="2"/>
  <c r="J369" i="2"/>
  <c r="D369" i="2" s="1"/>
  <c r="K369" i="2"/>
  <c r="E369" i="2" s="1"/>
  <c r="D370" i="2"/>
  <c r="E370" i="2"/>
  <c r="F370" i="2"/>
  <c r="J370" i="2"/>
  <c r="K370" i="2"/>
  <c r="F371" i="2"/>
  <c r="J371" i="2"/>
  <c r="D371" i="2" s="1"/>
  <c r="K371" i="2"/>
  <c r="E371" i="2" s="1"/>
  <c r="F372" i="2"/>
  <c r="J372" i="2"/>
  <c r="D372" i="2" s="1"/>
  <c r="K372" i="2"/>
  <c r="E372" i="2" s="1"/>
  <c r="E373" i="2"/>
  <c r="F373" i="2"/>
  <c r="J373" i="2"/>
  <c r="D373" i="2" s="1"/>
  <c r="K373" i="2"/>
  <c r="F374" i="2"/>
  <c r="J374" i="2"/>
  <c r="D374" i="2" s="1"/>
  <c r="K374" i="2"/>
  <c r="E374" i="2" s="1"/>
  <c r="F375" i="2"/>
  <c r="J375" i="2"/>
  <c r="D375" i="2" s="1"/>
  <c r="K375" i="2"/>
  <c r="E375" i="2" s="1"/>
  <c r="F376" i="2"/>
  <c r="J376" i="2"/>
  <c r="D376" i="2" s="1"/>
  <c r="K376" i="2"/>
  <c r="E376" i="2" s="1"/>
  <c r="F377" i="2"/>
  <c r="J377" i="2"/>
  <c r="D377" i="2" s="1"/>
  <c r="K377" i="2"/>
  <c r="E377" i="2" s="1"/>
  <c r="F378" i="2"/>
  <c r="J378" i="2"/>
  <c r="D378" i="2" s="1"/>
  <c r="K378" i="2"/>
  <c r="E378" i="2" s="1"/>
  <c r="F379" i="2"/>
  <c r="J379" i="2"/>
  <c r="D379" i="2" s="1"/>
  <c r="K379" i="2"/>
  <c r="E379" i="2" s="1"/>
  <c r="D380" i="2"/>
  <c r="F380" i="2"/>
  <c r="J380" i="2"/>
  <c r="K380" i="2"/>
  <c r="E380" i="2" s="1"/>
  <c r="F381" i="2"/>
  <c r="J381" i="2"/>
  <c r="D381" i="2" s="1"/>
  <c r="K381" i="2"/>
  <c r="E381" i="2" s="1"/>
  <c r="F382" i="2"/>
  <c r="J382" i="2"/>
  <c r="D382" i="2" s="1"/>
  <c r="K382" i="2"/>
  <c r="E382" i="2" s="1"/>
  <c r="D383" i="2"/>
  <c r="E383" i="2"/>
  <c r="F383" i="2"/>
  <c r="J383" i="2"/>
  <c r="K383" i="2"/>
  <c r="F384" i="2"/>
  <c r="J384" i="2"/>
  <c r="D384" i="2" s="1"/>
  <c r="K384" i="2"/>
  <c r="E384" i="2" s="1"/>
  <c r="F385" i="2"/>
  <c r="J385" i="2"/>
  <c r="D385" i="2" s="1"/>
  <c r="K385" i="2"/>
  <c r="E385" i="2" s="1"/>
  <c r="E11" i="3" l="1"/>
  <c r="E21" i="3"/>
  <c r="E32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<sst xmlns="http://schemas.openxmlformats.org/spreadsheetml/2006/main" count="1756" uniqueCount="695">
  <si>
    <t>The Power of Your Love</t>
  </si>
  <si>
    <t>Stone's Been Rolled Away</t>
  </si>
  <si>
    <t>People Just Like Us</t>
  </si>
  <si>
    <t>Friends in High Places</t>
  </si>
  <si>
    <t>God Is in the House</t>
  </si>
  <si>
    <t>All Things Are Possible</t>
  </si>
  <si>
    <t>Touching Heaven Changing Earth</t>
  </si>
  <si>
    <t>By Your Side</t>
  </si>
  <si>
    <t>For This Cause</t>
  </si>
  <si>
    <t>You Are My World</t>
  </si>
  <si>
    <t>Blessed</t>
  </si>
  <si>
    <t>Hope</t>
  </si>
  <si>
    <t>For All You've Done</t>
  </si>
  <si>
    <t>God He Reigns</t>
  </si>
  <si>
    <t>Mighty to Save</t>
  </si>
  <si>
    <t>Saviour King</t>
  </si>
  <si>
    <t>This Is Our God</t>
  </si>
  <si>
    <t>Faith + Hope + Love</t>
  </si>
  <si>
    <t>A Beautiful Exchange</t>
  </si>
  <si>
    <t>God Is Able</t>
  </si>
  <si>
    <t>Cornerstone</t>
  </si>
  <si>
    <t>Glorious Ruins</t>
  </si>
  <si>
    <t>No Other Name</t>
  </si>
  <si>
    <t>Open Heaven / River Wild</t>
  </si>
  <si>
    <t>Let There Be Light</t>
  </si>
  <si>
    <t>There Is More</t>
  </si>
  <si>
    <t>Album</t>
  </si>
  <si>
    <t>Publication Date</t>
  </si>
  <si>
    <t>Album #</t>
  </si>
  <si>
    <t>Awake</t>
  </si>
  <si>
    <t>Spirit and Truth</t>
  </si>
  <si>
    <t>Show Your Glory</t>
  </si>
  <si>
    <t>The Peace Project</t>
  </si>
  <si>
    <t>Take Heart (Again)</t>
  </si>
  <si>
    <t>Spotify?</t>
  </si>
  <si>
    <t>x</t>
  </si>
  <si>
    <t>We Have A Savior</t>
  </si>
  <si>
    <t>only</t>
  </si>
  <si>
    <t>Born Is The King</t>
  </si>
  <si>
    <t>Ultimate Worship 2</t>
  </si>
  <si>
    <t>Celebrating Christmas</t>
  </si>
  <si>
    <t>Songs For Communion</t>
  </si>
  <si>
    <t>Ultimate Worship: Hillsong</t>
  </si>
  <si>
    <t>Unified: Praise</t>
  </si>
  <si>
    <t>Faithful</t>
  </si>
  <si>
    <t>Forever</t>
  </si>
  <si>
    <t>Extravagant Worship: The Songs Of Reuben Morgan</t>
  </si>
  <si>
    <t>Extravagant Worship: The Songs Of Darlene Zschech</t>
  </si>
  <si>
    <t>Jesus Christmas</t>
  </si>
  <si>
    <t>Overwhelmed</t>
  </si>
  <si>
    <t>The Secret Place</t>
  </si>
  <si>
    <t>Simply Worship 3</t>
  </si>
  <si>
    <t>Shout to the Lord 2</t>
  </si>
  <si>
    <t>Simply Worship</t>
  </si>
  <si>
    <t>Simply Worship 2</t>
  </si>
  <si>
    <t>Shout To The Lord</t>
  </si>
  <si>
    <t>not</t>
  </si>
  <si>
    <t>Type</t>
  </si>
  <si>
    <t>Studio</t>
  </si>
  <si>
    <t>Category</t>
  </si>
  <si>
    <t>Live</t>
  </si>
  <si>
    <t>Song Count</t>
  </si>
  <si>
    <t>Brooke Ligertwood</t>
  </si>
  <si>
    <t>Michael Fatkin</t>
  </si>
  <si>
    <t>Benjamin Hastings</t>
  </si>
  <si>
    <t>Scott Ligertwood</t>
  </si>
  <si>
    <t>Ben Fielding</t>
  </si>
  <si>
    <t>Reuben Morgan</t>
  </si>
  <si>
    <t>David Ware</t>
  </si>
  <si>
    <t>Aodhan King</t>
  </si>
  <si>
    <t>Jason Ingram</t>
  </si>
  <si>
    <t>Joel Houston</t>
  </si>
  <si>
    <t>Dylan Thomas</t>
  </si>
  <si>
    <t>Matt Crocker</t>
  </si>
  <si>
    <t>Chris Davenport</t>
  </si>
  <si>
    <t>Jad Gillies</t>
  </si>
  <si>
    <t>Hannah Hobbs</t>
  </si>
  <si>
    <t>Ben Tan</t>
  </si>
  <si>
    <t>Taya Gaukrodger</t>
  </si>
  <si>
    <t>Title</t>
  </si>
  <si>
    <t>Writer(s)</t>
  </si>
  <si>
    <t>Worship leader(s)</t>
  </si>
  <si>
    <t>Length</t>
  </si>
  <si>
    <t>Karina Wykes</t>
  </si>
  <si>
    <t>S. Ligertwood</t>
  </si>
  <si>
    <t>Marty Sampson</t>
  </si>
  <si>
    <t>Morgan</t>
  </si>
  <si>
    <t>Fielding</t>
  </si>
  <si>
    <t>Davenport</t>
  </si>
  <si>
    <t>Michelle Cook</t>
  </si>
  <si>
    <t>B. Ligertwood</t>
  </si>
  <si>
    <t>Taya Smith</t>
  </si>
  <si>
    <t>King</t>
  </si>
  <si>
    <t>Nathan Hughes</t>
  </si>
  <si>
    <t>Laura Toggs</t>
  </si>
  <si>
    <t>Sampson</t>
  </si>
  <si>
    <t>Hastings</t>
  </si>
  <si>
    <t>Houston</t>
  </si>
  <si>
    <t>Fatkin</t>
  </si>
  <si>
    <t>Michael Guy Chislett[30]</t>
  </si>
  <si>
    <t>Isaac Watts</t>
  </si>
  <si>
    <t>Lowell Mason</t>
  </si>
  <si>
    <t>Felix Mendelssohn</t>
  </si>
  <si>
    <t>Charles Wesley</t>
  </si>
  <si>
    <t>George Whitefield</t>
  </si>
  <si>
    <t>William H. Cummings</t>
  </si>
  <si>
    <t>John Francis Wade</t>
  </si>
  <si>
    <t>Frederick Oakeley</t>
  </si>
  <si>
    <t>William Sandys</t>
  </si>
  <si>
    <t>Davies Gilbert</t>
  </si>
  <si>
    <t>John Stainer</t>
  </si>
  <si>
    <t>Tan</t>
  </si>
  <si>
    <t>Renee Sieff</t>
  </si>
  <si>
    <t>Franz Xaver Gruber</t>
  </si>
  <si>
    <t>Joseph Mohr</t>
  </si>
  <si>
    <t>Mia Fieldes</t>
  </si>
  <si>
    <t>Kris Hodge</t>
  </si>
  <si>
    <t>Gloria Mati-Leifi</t>
  </si>
  <si>
    <t>Michael Guy Chislett</t>
  </si>
  <si>
    <t>Jared Haschek</t>
  </si>
  <si>
    <t>Placide Cappeau</t>
  </si>
  <si>
    <t>Adolphe Adam</t>
  </si>
  <si>
    <t>John Sullivan Dwight</t>
  </si>
  <si>
    <t>Frédéric Chopin</t>
  </si>
  <si>
    <t>Joshua Grimmett</t>
  </si>
  <si>
    <t>Jamie Snell</t>
  </si>
  <si>
    <t>Jonathon Douglass</t>
  </si>
  <si>
    <t>Scott Groom</t>
  </si>
  <si>
    <t>Chris Davenport[15]</t>
  </si>
  <si>
    <t>Crocker</t>
  </si>
  <si>
    <t>Jonas Myrin</t>
  </si>
  <si>
    <t>Sampson[19]</t>
  </si>
  <si>
    <t>Marty Sampson[20]</t>
  </si>
  <si>
    <t>Annie Garratt</t>
  </si>
  <si>
    <t>Joel Houston[10]</t>
  </si>
  <si>
    <t>Dean Ussher</t>
  </si>
  <si>
    <t>Aryel Murphy</t>
  </si>
  <si>
    <t>Jarred Rogers</t>
  </si>
  <si>
    <t>Johannes Shore</t>
  </si>
  <si>
    <t>Tarryn Stokes</t>
  </si>
  <si>
    <t>Eric Liljero</t>
  </si>
  <si>
    <t>Matt Crocker, Ben Fielding</t>
  </si>
  <si>
    <t>Fielding, Sam Knock</t>
  </si>
  <si>
    <t>Houston, Myrin</t>
  </si>
  <si>
    <t>Reuben Morgan, Myrin, Mrs. Walter G. Taylor</t>
  </si>
  <si>
    <t>Crocker, Hannah Hobbs</t>
  </si>
  <si>
    <t>Fielding, Dean Ussher</t>
  </si>
  <si>
    <t>Morgan, Jarrad Rogers</t>
  </si>
  <si>
    <t>Fraser, Scott Ligertwood, Myrin</t>
  </si>
  <si>
    <t>Crocker, Houston</t>
  </si>
  <si>
    <t>Joel Houston, Jonas Myrin</t>
  </si>
  <si>
    <t>Brooke Fraser, Marty Sampson</t>
  </si>
  <si>
    <t>Jay Cook, Jarred Rogers, Jamie Snell</t>
  </si>
  <si>
    <t>Jay Cook</t>
  </si>
  <si>
    <t>Brandon Carter, Chris Davenport, Joel Houston</t>
  </si>
  <si>
    <t>Reuben Morgan, Jonas Myrin</t>
  </si>
  <si>
    <t>Matt Crocker, Houston</t>
  </si>
  <si>
    <t>Joel Davies, Jason Ingram, Braden Lang, Morgan</t>
  </si>
  <si>
    <t>Sam Knock</t>
  </si>
  <si>
    <t>Crocker, Brooke Fraser</t>
  </si>
  <si>
    <t>Crocker, Fraser</t>
  </si>
  <si>
    <t>Jad Gillies, Annie Garratt</t>
  </si>
  <si>
    <t>Reuben Morgan, Juliet Adekambi</t>
  </si>
  <si>
    <t>Fraser, Morgan</t>
  </si>
  <si>
    <t>Laura Toggs, Reuben Morgan</t>
  </si>
  <si>
    <t>Ed Cash, Ingram, Matt Maher, Morgan, Chris Tomlin</t>
  </si>
  <si>
    <t>Karl Cashwell, Dean Ussher</t>
  </si>
  <si>
    <t>Brooke Fraser, Scott Ligertwood</t>
  </si>
  <si>
    <t>Eric Liljero, Reuben Morgan, Edward Mote, Jonas Myrin</t>
  </si>
  <si>
    <t>Matthew Bronleewee, Jason Ingram, Morgan</t>
  </si>
  <si>
    <t>Ingram, Morgan</t>
  </si>
  <si>
    <t>Ben Fielding, Ussher</t>
  </si>
  <si>
    <t>Crocker, Ligertwood</t>
  </si>
  <si>
    <t>Fielding, Morgan</t>
  </si>
  <si>
    <t>Fielding, Morgan, Harrison Wood</t>
  </si>
  <si>
    <t>Autumn Hardman, Dave Hodgson</t>
  </si>
  <si>
    <t>Bronleewee, Ingram, Morgan</t>
  </si>
  <si>
    <t>Reuben Morgan &amp; Dylan Thomas</t>
  </si>
  <si>
    <t>Jill McCloghry &amp; Sam Knock</t>
  </si>
  <si>
    <t>Annie Garratt &amp; Jad Gillies</t>
  </si>
  <si>
    <t>Sam Knock &amp; Ben Fielding</t>
  </si>
  <si>
    <t>Reuben Morgan &amp; Ben Fielding</t>
  </si>
  <si>
    <t>Darlene Zschech</t>
  </si>
  <si>
    <t>4:40 / 5:13 (DVD)</t>
  </si>
  <si>
    <t>Joel Davies &amp; Ben Fielding</t>
  </si>
  <si>
    <t>Jonathan Douglass (JD)</t>
  </si>
  <si>
    <t>Reuben Morgan &amp; Jason Ingram</t>
  </si>
  <si>
    <t>Harrison J. Wood</t>
  </si>
  <si>
    <t>Chantel Norman</t>
  </si>
  <si>
    <t>Braden Lang</t>
  </si>
  <si>
    <t>Darlene Zschech (solo with piano, string &amp; acoustic accompaniment)</t>
  </si>
  <si>
    <t>Roman Kasevich, Jad Gillies, &amp; JD</t>
  </si>
  <si>
    <t>Reuben Morgan &amp; Chris Tomlin</t>
  </si>
  <si>
    <t>Reuben Morgan &amp; Jill McCloghry</t>
  </si>
  <si>
    <t>Joel Davies &amp; Braden Lang</t>
  </si>
  <si>
    <t>Our God Is Love</t>
  </si>
  <si>
    <t>Joel Houston, Scott Ligertwood</t>
  </si>
  <si>
    <t>Open My Eyes</t>
  </si>
  <si>
    <t>Reuben Morgan, Braden Lang</t>
  </si>
  <si>
    <t>Forever Reign</t>
  </si>
  <si>
    <t>Jason Ingram, Reuben Morgan</t>
  </si>
  <si>
    <t>The One Who Saves</t>
  </si>
  <si>
    <t>Like Incense / Sometimes by Step</t>
  </si>
  <si>
    <t>Brooke Fraser / David Strasser, Rich Mullins</t>
  </si>
  <si>
    <t>Brooke Fraser</t>
  </si>
  <si>
    <t>The Greatness Of Our God</t>
  </si>
  <si>
    <t>Jason Ingram, Stu Garrard, Reuben Morgan</t>
  </si>
  <si>
    <t>5:49 / 6:24 (DVD)</t>
  </si>
  <si>
    <t>The Father's Heart</t>
  </si>
  <si>
    <t>Jorim Kelly, Gio Galanti</t>
  </si>
  <si>
    <t>Jorim Kelly</t>
  </si>
  <si>
    <t>You</t>
  </si>
  <si>
    <t>Love Like Fire</t>
  </si>
  <si>
    <t>Believe</t>
  </si>
  <si>
    <t>Reuben Morgan, Darlene Zschech</t>
  </si>
  <si>
    <t>4:16 / 6:00 (DVD)</t>
  </si>
  <si>
    <t>Beautiful Exchange</t>
  </si>
  <si>
    <t>Joel Houston, Annie Garratt</t>
  </si>
  <si>
    <t>Thank You</t>
  </si>
  <si>
    <t>Ben Fielding, Reuben Morgan</t>
  </si>
  <si>
    <t>Forever Reign (Radio Version)</t>
  </si>
  <si>
    <t>The First and the Last</t>
  </si>
  <si>
    <t>For Your Name</t>
  </si>
  <si>
    <t>Jad Gillies, Joel Houston, &amp; Reuben Morgan</t>
  </si>
  <si>
    <t>Glow</t>
  </si>
  <si>
    <t>Joel Houston &amp; Matt Crocker</t>
  </si>
  <si>
    <t>It's Your Love</t>
  </si>
  <si>
    <t>I Will Exalt You</t>
  </si>
  <si>
    <t>Brooke Fraser-Ligertwood</t>
  </si>
  <si>
    <t>Yahweh</t>
  </si>
  <si>
    <t>Reuben Morgan and JD, Dave Ware</t>
  </si>
  <si>
    <t>No Reason To Hide</t>
  </si>
  <si>
    <t>Matt Crocker &amp; Joel Houston</t>
  </si>
  <si>
    <t>God One And Only</t>
  </si>
  <si>
    <t>Jonathon Douglass &amp; Sam Knock</t>
  </si>
  <si>
    <t>The Wonder Of Your Love</t>
  </si>
  <si>
    <t>His Glory Appears</t>
  </si>
  <si>
    <t>Darlene Zschech &amp; Marty Sampson</t>
  </si>
  <si>
    <t>We The Redeemed</t>
  </si>
  <si>
    <t>Jill McCloghry</t>
  </si>
  <si>
    <t>We Will See Him</t>
  </si>
  <si>
    <t>Robert Fergusson &amp; Reuben Morgan</t>
  </si>
  <si>
    <t>You Hold Me Now</t>
  </si>
  <si>
    <t>Matt Crocker &amp; Reuben Morgan</t>
  </si>
  <si>
    <t>Jad Gillies &amp; Joel Houston</t>
  </si>
  <si>
    <t>Joel Houston, Kevin Curiel, Jad Gillies and Reuben Morgan</t>
  </si>
  <si>
    <t>Jack Mooring, Leeland Dayton Mooring, &amp; Marty Sampson</t>
  </si>
  <si>
    <t>Brooke Fraser, Jill McCloghry</t>
  </si>
  <si>
    <t>Reuben Morgan, Jill McCloghry</t>
  </si>
  <si>
    <t>Darlene Zschech, Mike Guglielmucci</t>
  </si>
  <si>
    <t>Reuben Morgan, Ben Fielding</t>
  </si>
  <si>
    <t>Mike Guglielmucci</t>
  </si>
  <si>
    <t>Mike Guglielmucci, Darlene Zschech</t>
  </si>
  <si>
    <t>Dave George, Grant Pankratz</t>
  </si>
  <si>
    <t>Joel Houston, Darlene Zschech</t>
  </si>
  <si>
    <t>Matt Crocker, James Dunlop</t>
  </si>
  <si>
    <t>Reuben Morgan, Matt Crocker</t>
  </si>
  <si>
    <t>Reuben Morgan, Joel Davies</t>
  </si>
  <si>
    <t>Joel Davies</t>
  </si>
  <si>
    <t>Mike Guglielmucci, Matt Crocker</t>
  </si>
  <si>
    <t>Brooke Fraser, Darlene Zschech</t>
  </si>
  <si>
    <t>Helen Howarth Lemmel</t>
  </si>
  <si>
    <t>Paul Andrew, Dylan Thomas</t>
  </si>
  <si>
    <t>Joel Houston, Matt Crocker, Scott Ligertwood</t>
  </si>
  <si>
    <t>Marty Sampson, Raymond Badham</t>
  </si>
  <si>
    <t>Marty Sampson, Darlene Zschech</t>
  </si>
  <si>
    <t>Darlene Zschech, Reuben Morgan</t>
  </si>
  <si>
    <t>Reuben Morgan, Ben Fielding, Mia Fieldes</t>
  </si>
  <si>
    <t>Darlene Zschech &amp; Marcus Temu</t>
  </si>
  <si>
    <t>Miriam Webster</t>
  </si>
  <si>
    <t>Marty Sampson, Mia Fieldes</t>
  </si>
  <si>
    <t>Take It All</t>
  </si>
  <si>
    <t>Marty Sampson, Matt Crocker, &amp; Scott Ligertwood</t>
  </si>
  <si>
    <t>The Freedom We Know</t>
  </si>
  <si>
    <t>Marty Sampson, Joel Houston, Matt Tennikoff</t>
  </si>
  <si>
    <t>For Who You Are</t>
  </si>
  <si>
    <t>You Alone Are God</t>
  </si>
  <si>
    <t>Ben Fielding &amp; Reuben Morgan</t>
  </si>
  <si>
    <t>Reuben Morgan &amp; Darlene Zschech</t>
  </si>
  <si>
    <t>At the Cross</t>
  </si>
  <si>
    <t>Darlene Zschech &amp; Reuben Morgan</t>
  </si>
  <si>
    <t>From The Inside Out</t>
  </si>
  <si>
    <t>Found</t>
  </si>
  <si>
    <t>Dave George</t>
  </si>
  <si>
    <t>More To See</t>
  </si>
  <si>
    <t>Darlene Zschech, Mia Fieldes, Deborah Ezzy, Donia Makedonez, &amp; Nigel Hendroff</t>
  </si>
  <si>
    <t>Darlene Zschech, Debbie-Ann Bax, Miriam Webster, Deborah Ezzy, Donia Makedonez, &amp; Lucy Fisher</t>
  </si>
  <si>
    <t>Adonai</t>
  </si>
  <si>
    <t>Ray Badham &amp; Mia Fieldes</t>
  </si>
  <si>
    <t>Paul Andrew</t>
  </si>
  <si>
    <t>I Believe</t>
  </si>
  <si>
    <t>Follow the Son</t>
  </si>
  <si>
    <t>Jay Cook and Gio Galanti</t>
  </si>
  <si>
    <t>Oceans Will Part</t>
  </si>
  <si>
    <t>None But Jesus</t>
  </si>
  <si>
    <t>Higher/I Believe in You</t>
  </si>
  <si>
    <t>Mia Fieldes / Darlene Zschech</t>
  </si>
  <si>
    <t>Song #</t>
  </si>
  <si>
    <t>Dawn</t>
  </si>
  <si>
    <t>Awake My Soul</t>
  </si>
  <si>
    <t>Come Alive</t>
  </si>
  <si>
    <t>See the Light</t>
  </si>
  <si>
    <t>No One but You</t>
  </si>
  <si>
    <t>King of Kings</t>
  </si>
  <si>
    <t>I Will Praise You</t>
  </si>
  <si>
    <t>From Whom All Blessings Flow (Doxology)</t>
  </si>
  <si>
    <t>Every Breath</t>
  </si>
  <si>
    <t>Bright as the Sun</t>
  </si>
  <si>
    <t>Upper Room</t>
  </si>
  <si>
    <t>He Shall Reign</t>
  </si>
  <si>
    <t>See the Light (live)</t>
  </si>
  <si>
    <t>King of Kings (live)</t>
  </si>
  <si>
    <t>No One but You (live)</t>
  </si>
  <si>
    <t>Who You Say I Am</t>
  </si>
  <si>
    <t>You Are Life</t>
  </si>
  <si>
    <t>The Passion</t>
  </si>
  <si>
    <t>God So Loved</t>
  </si>
  <si>
    <t>Be Still</t>
  </si>
  <si>
    <t>Remembrance</t>
  </si>
  <si>
    <t>Valentine</t>
  </si>
  <si>
    <t>Touch of Heaven</t>
  </si>
  <si>
    <t>Lettered Love</t>
  </si>
  <si>
    <t>The Lord's Prayer</t>
  </si>
  <si>
    <t>New Wine</t>
  </si>
  <si>
    <t>So Will I (100 Billion X)</t>
  </si>
  <si>
    <t>Joy to the World</t>
  </si>
  <si>
    <t>Hark</t>
  </si>
  <si>
    <t>Seasons</t>
  </si>
  <si>
    <t>Prince of Heaven</t>
  </si>
  <si>
    <t>O Come All Ye Faithful</t>
  </si>
  <si>
    <t>Noel</t>
  </si>
  <si>
    <t>When I Think Upon Christmas</t>
  </si>
  <si>
    <t>Silent Night (with Saviour King)</t>
  </si>
  <si>
    <t>Arrival</t>
  </si>
  <si>
    <t>Theme of the Eastern Star</t>
  </si>
  <si>
    <t>O Holy Night</t>
  </si>
  <si>
    <t>Peace Upon the Earth</t>
  </si>
  <si>
    <t>Behold (Then Sings My Soul)</t>
  </si>
  <si>
    <t>Love So Great</t>
  </si>
  <si>
    <t>Look To the Son</t>
  </si>
  <si>
    <t>Crowns</t>
  </si>
  <si>
    <t>What a Beautiful Name</t>
  </si>
  <si>
    <t>Your Word</t>
  </si>
  <si>
    <t>In Control</t>
  </si>
  <si>
    <t>Grace To Grace</t>
  </si>
  <si>
    <t>Elohim</t>
  </si>
  <si>
    <t>I Will Boast in Christ</t>
  </si>
  <si>
    <t>As It Is (In Heaven)</t>
  </si>
  <si>
    <t>O Praise the Name (Anástasis)</t>
  </si>
  <si>
    <t>Love on the Line</t>
  </si>
  <si>
    <t>One Thing</t>
  </si>
  <si>
    <t>Open Heaven (River Wild)</t>
  </si>
  <si>
    <t>Transfiguration</t>
  </si>
  <si>
    <t>What a Saviour</t>
  </si>
  <si>
    <t>Heart Like Heaven</t>
  </si>
  <si>
    <t>Jesus I Need You</t>
  </si>
  <si>
    <t>Here with You</t>
  </si>
  <si>
    <t>In God We Trust</t>
  </si>
  <si>
    <t>Faithfulness</t>
  </si>
  <si>
    <t>Never Forsaken</t>
  </si>
  <si>
    <t>This I Believe (The Creed)</t>
  </si>
  <si>
    <t>Heaven and Earth</t>
  </si>
  <si>
    <t>Broken Vessels (Amazing Grace)</t>
  </si>
  <si>
    <t>Depths</t>
  </si>
  <si>
    <t>Calvary</t>
  </si>
  <si>
    <t>Thank You Jesus</t>
  </si>
  <si>
    <t>All Things New</t>
  </si>
  <si>
    <t>My Story</t>
  </si>
  <si>
    <t>Our Father</t>
  </si>
  <si>
    <t>Mountain</t>
  </si>
  <si>
    <t>Always Will</t>
  </si>
  <si>
    <t>You Never Fail</t>
  </si>
  <si>
    <t>Christ Is Enough</t>
  </si>
  <si>
    <t>Where the Spirit of the Lord Is</t>
  </si>
  <si>
    <t>Closer</t>
  </si>
  <si>
    <t>God Who Saves</t>
  </si>
  <si>
    <t>To Be Like You</t>
  </si>
  <si>
    <t>Man of Sorrows</t>
  </si>
  <si>
    <t>We Glorify Your Name</t>
  </si>
  <si>
    <t>You Crown the Year (Psalm 65:11)</t>
  </si>
  <si>
    <t>Anchor</t>
  </si>
  <si>
    <t>Endless Light</t>
  </si>
  <si>
    <t>Beneath the Waters (I Will Rise)</t>
  </si>
  <si>
    <t>I Surrender</t>
  </si>
  <si>
    <t>Hope of the World</t>
  </si>
  <si>
    <t>All My Hope</t>
  </si>
  <si>
    <t>Grace Abounds</t>
  </si>
  <si>
    <t>Running</t>
  </si>
  <si>
    <t>Children of the Light</t>
  </si>
  <si>
    <t>Stand in Awe</t>
  </si>
  <si>
    <t>Love Knows No End</t>
  </si>
  <si>
    <t>Greater Than All</t>
  </si>
  <si>
    <t>Hope of the World (studio version; bonus track)</t>
  </si>
  <si>
    <t>Rise</t>
  </si>
  <si>
    <t>With Us</t>
  </si>
  <si>
    <t>Unending Love</t>
  </si>
  <si>
    <t>The Lost Are Found</t>
  </si>
  <si>
    <t>The Difference</t>
  </si>
  <si>
    <t>Alive In Us</t>
  </si>
  <si>
    <t>You Are More</t>
  </si>
  <si>
    <t>Narrow Road</t>
  </si>
  <si>
    <t>My Heart Is Overwhelmed</t>
  </si>
  <si>
    <t>Cry of the Broken</t>
  </si>
  <si>
    <t>Yours Forever</t>
  </si>
  <si>
    <t>Your Name High</t>
  </si>
  <si>
    <t>Run</t>
  </si>
  <si>
    <t>Desert Song</t>
  </si>
  <si>
    <t>He Is Lord</t>
  </si>
  <si>
    <t>High and Lifted Up</t>
  </si>
  <si>
    <t>Stronger</t>
  </si>
  <si>
    <t>Healer</t>
  </si>
  <si>
    <t>You Are Here (The Same Power)</t>
  </si>
  <si>
    <t>You Deserve</t>
  </si>
  <si>
    <t>Across the Earth</t>
  </si>
  <si>
    <t>Where We Belong</t>
  </si>
  <si>
    <t>Sing to the Lord</t>
  </si>
  <si>
    <t>You'll Come</t>
  </si>
  <si>
    <t>Turn Your Eyes Upon Jesus</t>
  </si>
  <si>
    <t>With Everything</t>
  </si>
  <si>
    <t>I'm Not Ashamed</t>
  </si>
  <si>
    <t>Break Free</t>
  </si>
  <si>
    <t>In Your Freedom</t>
  </si>
  <si>
    <t>You Are My Strength</t>
  </si>
  <si>
    <t>Lord of Lords</t>
  </si>
  <si>
    <t>To Know Your Name</t>
  </si>
  <si>
    <t>God of Ages</t>
  </si>
  <si>
    <t>In the Mystery</t>
  </si>
  <si>
    <t>You Saw Me</t>
  </si>
  <si>
    <t>Hosanna</t>
  </si>
  <si>
    <t>Here In My Life</t>
  </si>
  <si>
    <t>You are Faithful</t>
  </si>
  <si>
    <t>1. Let Creation Sing (Reuben Morgan) – Worship Leaders: Darlene Zschech b. Reuben Morgan</t>
  </si>
  <si>
    <t>2. Salvation Is Here (Joel Houston) – Worship Leaders: Joel Houston, b. Darlene Zschech</t>
  </si>
  <si>
    <t>3. His Love (Raymond Badham) – Worship Leader: Darlene Zschech &amp; Paul Andrew</t>
  </si>
  <si>
    <t>4. Emmanuel (Reuben Morgan) – Worship Leaders: Darlene Zschech b. Reuben Morgan</t>
  </si>
  <si>
    <t>5. Saviour (Darlene Zschech) – Worship Leaders: Miriam Webster b Darlene Zschech</t>
  </si>
  <si>
    <t>6. Wonderful God (Ned Davies) – Worship Leader: Darlene Zschech, b. Joel Houston</t>
  </si>
  <si>
    <t>7. God He Reigns/All I Need Is You (chorus) (Marty Sampson) – Worship Leaders: Darlene Zschech</t>
  </si>
  <si>
    <t>8. Yours Is the Kingdom (Joel Houston) – Worship Leaders: Marty Sampson, b. Darlene Zschech</t>
  </si>
  <si>
    <t>9. Welcome in This Place (Miriam Webster) – Worship Leader: Darlene Zschech</t>
  </si>
  <si>
    <t>1. Let Us Adore (Reuben Morgan) – Worship Leaders: Darlene Zschech b. Reuben Morgan</t>
  </si>
  <si>
    <t>3. Know You More (Darlene Zschech) – Worship Leaders: Dee Uluirewa &amp; Darlene Zschech</t>
  </si>
  <si>
    <t>4. There Is Nothing Like (Marty Sampson &amp; Jonas Myrin) – Worship Leaders: Marty Sampson</t>
  </si>
  <si>
    <t>5. What the World Will Never Take (Matt Crocker, Scott Ligertwood &amp; Marty Sampson) – Worship Leaders: Marty Sampson &amp; Tulele Faletolu</t>
  </si>
  <si>
    <t>6. Tell the World (Jonathan Douglass, Joel Houston &amp; Marty Sampson) – Worship Leaders: Joel Houston &amp; Jonathan Douglass, b. Darlene Zschech</t>
  </si>
  <si>
    <t>3. Evermore (Joel Houston) - Worship Leaders: Marty Sampson, b. Darlene Zschech - 5:02</t>
  </si>
  <si>
    <t>4. With All I Am (Reuben Morgan) - Worship Leaders: Darlene Zschech &amp; Reuben Morgan - 7:23</t>
  </si>
  <si>
    <t>5. Sing (Your Love) (Reuben Morgan) - Worship Leader: Reuben Morgan, b. Darlene Zschech - 6:22</t>
  </si>
  <si>
    <t>6. Hallelujah (Marty Sampson &amp; Jonas Myrin) - Worship Leaders: Jonas Myrin b. Darlene Zschech - 9:05</t>
  </si>
  <si>
    <t>8. Home (Marty Sampson) - Worship Leader: Marty Sampson - 4:58</t>
  </si>
  <si>
    <t>1. Forever and a Day (Raymond Badham) - Worship Leader: Darlene Zschech, b. Marty Sampson - 4:55</t>
  </si>
  <si>
    <t>2. Jesus the Same (Raymond Badham) - Worship Leader: Steve McPherson - 5:30</t>
  </si>
  <si>
    <t>3. I Will Love (Miriam Webster) - Worship Leader: Miriam Webster - 4:41</t>
  </si>
  <si>
    <t>4. Take All of Me (Marty Sampson) - Worship Leader: Marty Sampson, b. Darlene Zschech - 8:15</t>
  </si>
  <si>
    <t>5. More Than Life (Reuben Morgan) - Worship Leaders: Tulele Faletolu &amp; Darlene Zschech - 8:52</t>
  </si>
  <si>
    <t>6. Glorify Your Name (Darlene Zschech &amp; David Holmes) - Worship Leader: Darlene Zschech - 7:02</t>
  </si>
  <si>
    <t>7. To You Alone (Reuben Morgan) - Worship Leaders: Holly Dawson &amp; Darlene Zschech - 7:39</t>
  </si>
  <si>
    <t>1. Blessed (Darlene Zschech, Reuben Morgan) - lead vocals: Darlene Zschech, Reuben Morgan</t>
  </si>
  <si>
    <t>2. Now That You're Near (Marty Sampson) - lead vocals: Marty Sampson, b. Darlene Zschech</t>
  </si>
  <si>
    <t>3. Shout of the King (Ned Davies) - lead vocals: Darlene Zschech</t>
  </si>
  <si>
    <t>4. Made Me Glad (Miriam Webster) - lead vocals: Darlene Zschech</t>
  </si>
  <si>
    <t>5. Through It All (Morgan) - lead vocals: Darlene Zschech, b. Reuben Morgan</t>
  </si>
  <si>
    <t>6. Son of God (Lincoln Brewster and Marty Sampson) - lead vocals: Marty Sampson, b. Darlene Zschech</t>
  </si>
  <si>
    <t>7. One Desire (Joel Houston) - lead vocals: Marty Sampson, Darlene Zschech</t>
  </si>
  <si>
    <t>8. Magnificent (Raymond Badham) - lead vocals: Tulele Faletolu</t>
  </si>
  <si>
    <t>9. I Adore (Reuben Morgan) - lead vocals: Darlene Zschech, b. Reuben Morgan</t>
  </si>
  <si>
    <t>10. All I Do (Gio Galanti, Natasha Bedingfield) - lead vocals: Darlene Zschech</t>
  </si>
  <si>
    <t>11. With You (Reuben Morgan) - lead vocals: Darlene Zschech, b. Reuben Morgan</t>
  </si>
  <si>
    <t>12. Most High (Reuben Morgan) - lead vocals: Reuben Morgan, b. Darlene Zschech</t>
  </si>
  <si>
    <t>13. King of Majesty (Marty Sampson) - lead vocals: Tulele Faletolu, b. Darlene Zschech</t>
  </si>
  <si>
    <t>14. All the Heavens (Reuben Morgan) - lead vocals: Darlene Zschech</t>
  </si>
  <si>
    <t>3. All of My Days (Mark Stevens) - worship leader: Mark Stevens - 5:02</t>
  </si>
  <si>
    <t>4. Emmanuel (Badham) - worship leader: Darlene Zschech - 6:48</t>
  </si>
  <si>
    <t>5. You Stand Alone (Stevens, McPherson) - worship leaders: Steve McPherson, Mark Stevens - 4:48</t>
  </si>
  <si>
    <t>6. Irresistible (Darlene Zschech) - worship leader: Darlene Zschech - 6:05</t>
  </si>
  <si>
    <t>7. You Are My World (Sampson) - worship leader: Marty Sampson, b. Darlene Zschech - 6:31</t>
  </si>
  <si>
    <t>8. Everything That Has Breath (Morgan) - worship leader: Darlene Zschech - 4:22</t>
  </si>
  <si>
    <t>9. God So Loved (Morgan) - worship leader: Darlene Zschech - 5:54</t>
  </si>
  <si>
    <t>10. To You (Zschech) - worship leader: Darlene Zschech - 7:00</t>
  </si>
  <si>
    <t>12. Forever (Sampson) - worship leader: Mark Stevens - 4:45</t>
  </si>
  <si>
    <t>13. My Best Friend (Joel Houston, Sampson) - worship leader: Marty Sampson, b. Darlene Zschech - 5:19</t>
  </si>
  <si>
    <t>Go</t>
  </si>
  <si>
    <t>Awakening</t>
  </si>
  <si>
    <t>Joel Houston, Brooke Ligertwood</t>
  </si>
  <si>
    <t>For Those Who Are To Come</t>
  </si>
  <si>
    <t>Heart of God</t>
  </si>
  <si>
    <t>Selah / All My Life</t>
  </si>
  <si>
    <t>Take Heart (MMXX)</t>
  </si>
  <si>
    <t>Broken Vessels (Amazing Grace) / Life</t>
  </si>
  <si>
    <t>Highs &amp; Lows</t>
  </si>
  <si>
    <t>Eagle's Wings</t>
  </si>
  <si>
    <t>Still / P E A C E</t>
  </si>
  <si>
    <t>In List?</t>
  </si>
  <si>
    <t>Exclude</t>
  </si>
  <si>
    <t>Compilation</t>
  </si>
  <si>
    <t>Christmas</t>
  </si>
  <si>
    <t>CCLI#</t>
  </si>
  <si>
    <t>D</t>
  </si>
  <si>
    <t>G</t>
  </si>
  <si>
    <t>F</t>
  </si>
  <si>
    <t>C</t>
  </si>
  <si>
    <t>A</t>
  </si>
  <si>
    <t>E</t>
  </si>
  <si>
    <t>N/A</t>
  </si>
  <si>
    <t>B</t>
  </si>
  <si>
    <t>Bb</t>
  </si>
  <si>
    <t>Section</t>
  </si>
  <si>
    <t>2010-2020</t>
  </si>
  <si>
    <t>2000-2009</t>
  </si>
  <si>
    <t>1990-1999</t>
  </si>
  <si>
    <t>Eb</t>
  </si>
  <si>
    <t>Db</t>
  </si>
  <si>
    <t>14. Everyday (Joel Houston) Worship leader: Mark Stevens b. Darlene Zschech</t>
  </si>
  <si>
    <t>13. Believe (Donna Lasit) Worship leader: Darlene Zschech &amp; Katrina Peoples</t>
  </si>
  <si>
    <t>12. It Is You (Darlene Zschech) Worship leader: Darlene Zschech</t>
  </si>
  <si>
    <t>11. Reaching for You (Raymond Badham) Worship leader: Rob Eastwood</t>
  </si>
  <si>
    <t>10. For This Cause (Joel Houston) Worship leaders: Darlene Zschech &amp; Reuben Morgan</t>
  </si>
  <si>
    <t>9. Here to Eternity (Darlene Zschech, David Moyse) Worship leader: Darlene Zschech</t>
  </si>
  <si>
    <t>8. Lifted Me High Again (Reuben Morgan) Worship leader: Darlene Zschech</t>
  </si>
  <si>
    <t>7. Carry Me (Marty Sampson) Worship leader: Marty Sampson</t>
  </si>
  <si>
    <t>6. I Simply Live for You (Russell Fragar) Worship leader: Miriam Webster</t>
  </si>
  <si>
    <t>5. You Are Near (Reuben Morgan) Worship leader: Darlene Zschech</t>
  </si>
  <si>
    <t>4. Dwell in Your House (Paul Ewing) Worship leaders: Darlene Zschech &amp; Mark Stevens</t>
  </si>
  <si>
    <t>3. Awesome in This Place (Ned Davies) Worship leader: Darlene Zschech b. Steve McPherson</t>
  </si>
  <si>
    <t>2. Faith (Reuben Morgan) Worship leader: Darlene Zschech</t>
  </si>
  <si>
    <t>1. One Day (Reuben Morgan) Worship leaders: Darlene Zschech &amp; Reuben Morgan</t>
  </si>
  <si>
    <t>11. Worthy Is the Lamb (Zschech) - worship leader: Miriam Webster - 7:16</t>
  </si>
  <si>
    <t>2. God Is Great (Marty Sampson) - worship leader: Marty Sampson, b. Darlene Zschech - 4:56</t>
  </si>
  <si>
    <t>1. Your Love Is Beautiful (Reuben Morgan, Raymond Badham, Steve McPherson, Nigel Hendroff) - worship leader: Darlene Zschech - 4:38</t>
  </si>
  <si>
    <t>7. Highest (reprise) – worship leader: Darlene Zschech</t>
  </si>
  <si>
    <t>6. Free (Sampson) – worship leaders: Tulele Faletolu, Joel Houston</t>
  </si>
  <si>
    <t>5. To the Ends of the Earth (Joel Houston &amp; Marty Sampson) – worship leader: Marty Sampson</t>
  </si>
  <si>
    <t>4. King of Love (Tanya Riches) – worship leaders: Steve McPherson &amp; Darlene Zschech</t>
  </si>
  <si>
    <t>3. Exceeding Joy (Miriam Webster) – worship leaders: Miriam Webster &amp; Darlene Zschech</t>
  </si>
  <si>
    <t>2. Shout Your Fame (Jonas Myrin, Natasha Bedingfield, Gio Galanti &amp; Paul Nevison) – worship leader: Steve McPherson</t>
  </si>
  <si>
    <t>1. Song of Freedom (Marty Sampson) – worship leader: Darlene Zschech</t>
  </si>
  <si>
    <t>11. Highest (Morgan) – worship leader: Darlene Zschech</t>
  </si>
  <si>
    <t>10. Here I Am to Worship/Call (Tim Hughes, Darlene Zschech) – worship leaders: Reuben Morgan &amp; Darlene Zschech</t>
  </si>
  <si>
    <t>9. You Are/You Are Lord (Darlene Zschech, Jennifer Va'a) – worship leader: Darlene Zschech</t>
  </si>
  <si>
    <t>8. Can't Stop Praising (Tulele Faletolu &amp; Sampson) – worship leader: Tulele Faletolu</t>
  </si>
  <si>
    <t>7. Angels (Sampson) – worship leaders: Marty Sampson &amp; Darlene Zschech</t>
  </si>
  <si>
    <t>6. Still (Morgan) – worship leader: Tulele Faletolu</t>
  </si>
  <si>
    <t>5. My Hope (Darlene Zschech) – worship leader: Darlene Zschech</t>
  </si>
  <si>
    <t>4. Need You Here (Morgan) – worship leader: Darlene Zschech</t>
  </si>
  <si>
    <t>3. Ever Living God (Raymond Badham) – worship leader: Darlene Zschech</t>
  </si>
  <si>
    <t>2. Glory (Reuben Morgan) – worship leader: Darlene Zschech &amp; Reuben Morgan</t>
  </si>
  <si>
    <t>1. Better Than Life (Marty Sampson) – worship leader: Marty Sampson</t>
  </si>
  <si>
    <t>7. You Are Worthy (Darlene Zschech) Worship Leader: Darlene Zschech - 6:15</t>
  </si>
  <si>
    <t>2. One Way (Jonathon Douglass &amp; Joel Houston) Worship Leaders: Jonathon Douglass &amp; Marty Sampson, b. Darlene Zschech - 3:43</t>
  </si>
  <si>
    <t>1. For All You've Done (Reuben Morgan) - Worship Leaders: Darlene Zschech &amp; Reuben Morgan - 5:26</t>
  </si>
  <si>
    <t>2. All for Love (Mia Fieldes) – Worship Leaders: Marcus Temu, Tulele Faletolu, Barry Southgate</t>
  </si>
  <si>
    <t>1. "My Redeemer Lives" (Reuben Morgan) - 4:08</t>
  </si>
  <si>
    <t>2. "Great in Power" (Russell Fragar) - 3:24</t>
  </si>
  <si>
    <t>3. "I Feel Like I'm Falling" (Raymond Badham) - 5:28</t>
  </si>
  <si>
    <t>4. "Your Unfailing Love" (Reuben Morgan) - 6:27</t>
  </si>
  <si>
    <t>5. "Dwelling Places" (Miriam Webster) - 5:05</t>
  </si>
  <si>
    <t>6. "What the Lord Has Done in Me" (Reuben Morgan) - 4:59</t>
  </si>
  <si>
    <t>7. "Sing of Your Great Love" (Darlene Zschech) - 8:25</t>
  </si>
  <si>
    <t>8. "By Your Side" (Marty Sampson) - 4:47</t>
  </si>
  <si>
    <t>9. "In Freedom" (Aran Puddle) - 3:26</t>
  </si>
  <si>
    <t>10. "You Said" (Reuben Morgan) - 4:33</t>
  </si>
  <si>
    <t>11. "Stay" (Luke Munns) - 8:27</t>
  </si>
  <si>
    <t>12. "Eagle's Wings" (Reuben Morgan) - 6:29</t>
  </si>
  <si>
    <t>13. "Free to Dance" (Darlene Zschech) - 4:15</t>
  </si>
  <si>
    <t>14. "This Is How We Overcome" (Reuben Morgan) - 3:48</t>
  </si>
  <si>
    <t>1. "That's What We Came Here For" (Russell Fragar and Darlene Zschech) - Lead vocals: Darlene Zschech - 3:49</t>
  </si>
  <si>
    <t>2. "Touching Heaven, Changing Earth" (Darlene Zschech) - Lead vocals: Darlene Zschech - 3:51</t>
  </si>
  <si>
    <t>3. "Church on Fire" (Fragar) - Lead vocals: Gilbert Clark and Lucy Fisher - 3:23</t>
  </si>
  <si>
    <t>4. "Lord Your Goodness" (Morgan) - Lead vocals: Darlene Zschech - 3:47</t>
  </si>
  <si>
    <t>5. "Holy Spirit Rain Down" (Fragar) - Lead vocals: Darlene Zschech - 6:43</t>
  </si>
  <si>
    <t>6. "You Are Holy" (Morgan) - Lead vocals: Darlene Zschech - 5:27</t>
  </si>
  <si>
    <t>7. "Jesus You Gave it All" (Craig Gower) - Lead vocals: Darlene Zschech - 6:05</t>
  </si>
  <si>
    <t>8. "Yes and Amen" (Fragar) - Lead vocals: Darlene Zschech and Jayne Denham - 3:59</t>
  </si>
  <si>
    <t>9. "You Gave Me Love" (Morgan) - Lead vocals: Darlene Zschech - 3:59</t>
  </si>
  <si>
    <t>10. "Glorified" (Steve McPherson) - Lead vocals: Darlene Zschech and Steve McPherson - 4:05</t>
  </si>
  <si>
    <t>11. "I Will Bless You Lord" (Zschech) - Lead vocals: Miriam Webster and Rob Eastwood - 5:15</t>
  </si>
  <si>
    <t>12. "My Greatest Love is You" (Fragar) - Lead vocals: Steve McPherson, Mark Stevens, Rob Eastwood, Scott Haslem, and Gilbert Clark - 4:30</t>
  </si>
  <si>
    <t>13. "Jesus You're All I Need" (Zschech) - Lead vocals: Darlene Zschech - 6:00</t>
  </si>
  <si>
    <t>14. "The Potter's Hand" (Zschech) - Lead vocals: Darlene Zschech - 7:37</t>
  </si>
  <si>
    <t>15. "Touching Heaven, Changing Earth (Reprise)" - 2:50</t>
  </si>
  <si>
    <t>Shelter House</t>
  </si>
  <si>
    <t>People Get Free</t>
  </si>
  <si>
    <t>Love You So Much</t>
  </si>
  <si>
    <t>I Live To Know You</t>
  </si>
  <si>
    <t>In Your Hands</t>
  </si>
  <si>
    <t>Lord Of All</t>
  </si>
  <si>
    <t>Before The Throne</t>
  </si>
  <si>
    <t>Can't Stop Talking</t>
  </si>
  <si>
    <t>The Love Of God Can Do</t>
  </si>
  <si>
    <t>I Know It</t>
  </si>
  <si>
    <t>Glory To The King</t>
  </si>
  <si>
    <t>Your Love</t>
  </si>
  <si>
    <t>So You Would Come</t>
  </si>
  <si>
    <t>All Things Are Possible (Reprise)</t>
  </si>
  <si>
    <t>1. "God Is in the House" (Russell Fragar &amp; Darlene Zschech) Lead Vocalist: Darlene Zschech</t>
  </si>
  <si>
    <t>2. "Joy in the Holy Ghost" (Fragar) Lead Vocalist: Lucy Fisher</t>
  </si>
  <si>
    <t>3. "Steppin' Out" (Steve McPherson) Lead Vocalist: Steve McPherson</t>
  </si>
  <si>
    <t>4. "My Heart Sings Praises" (Fragar) Lead Vocalist: Darlene Zschech</t>
  </si>
  <si>
    <t>5. "And That My Soul Knows Very Well" (Zschech &amp; Fragar) Lead Vocalist: Darlene Zschech</t>
  </si>
  <si>
    <t>6. "Jesus, What a Beautiful Name" (Tanya Riches) Lead Vocalist: Lisa Young</t>
  </si>
  <si>
    <t>7. "Let the Peace of God Reign" (Zschech) Lead Vocalists: Rob Eastwood &amp; Darlene Zschech</t>
  </si>
  <si>
    <t>8. "I Give You My Heart" (Reuben Morgan) Lead Vocalist: Steve McPherson</t>
  </si>
  <si>
    <t>9. "Walking in the Light" (Zschech) Lead Vocalist: Darlene Zschech</t>
  </si>
  <si>
    <t>10. "Your People Sing Praises" (Fragar) Lead Vocalist: Darlene Zschech</t>
  </si>
  <si>
    <t>11. "I Believe the Promise" (Fragar) Lead Vocalists: Erica Crocker &amp; Darlene Zschech</t>
  </si>
  <si>
    <t>12. "Thank You, Lord" (Dennis Jernigan) Lead Vocalists: Darlene Zschech &amp; Donia Gandjou</t>
  </si>
  <si>
    <t>13. "Lord of the Heavens" (Lucy Fisher) Lead Vocalist: Darlene Zschech</t>
  </si>
  <si>
    <t>14. "I Will Run to You" (Zschech) Lead Vocalist: Darlene Zschech</t>
  </si>
  <si>
    <t>15. "God Is in the House" (reprise) Lead Vocalist: Darlene Zschech</t>
  </si>
  <si>
    <t>1. "Friends in High Places" (Russell Fragar) - 3:50 - lead vocals: Darlene Zschech</t>
  </si>
  <si>
    <t>2. "He Shall Be Called" (Fragar) - 2:59 - lead vocals: Lucy Fisher</t>
  </si>
  <si>
    <t>3. "Praise His Holy Name" (Darlene Zschech) - 3:24 - lead vocals: Darlene Zschech</t>
  </si>
  <si>
    <t>4. "Rock of the Ages" (Geoff Bullock, Zschech) - 3:22 - lead vocals: Donia Makedonez</t>
  </si>
  <si>
    <t>5. "Whenever I See" (Bullock) - 3:47 - lead vocals: Steve McPherson</t>
  </si>
  <si>
    <t>6. "Now Is the Time" (Bullock) - 5:16 - lead vocals: Rob Eastwood</t>
  </si>
  <si>
    <t>7. "You're All I Need" (Bullock) - 5:12 - lead vocals: Geoff Bullock, Darlene Zschech</t>
  </si>
  <si>
    <t>8. "Salvation" (Bullock) - 3:34 - lead vocalss: Darlene Zschech</t>
  </si>
  <si>
    <t>9. "Holding On" (Bullock) - 3:31 - lead vocals: Darlene Zschech, Geoff Bullock</t>
  </si>
  <si>
    <t>10. "Because of Your Love" (Fragar) - 2:51 - lead vocals: Darlene Zschech; Craig Gower</t>
  </si>
  <si>
    <t>11. "King of Kings" (Bullock) - 3:13 - lead vocals: Darlene Zschech</t>
  </si>
  <si>
    <t>12. "Lord I Give Myself" (Zschech) - 2:29 - lead vocals: Darlene Zschech</t>
  </si>
  <si>
    <t>13. "I'll Worship You" (Bullock) - 4:31 - lead vocals: Darlene Zschech; Geoff Bullock</t>
  </si>
  <si>
    <t>14. "This Kingdom" (Bullock) - 6:00 - lead vocals: Darlene Zschech; Rob Eastwood</t>
  </si>
  <si>
    <t>15. "I Can't Wait" (Fragar) - 5:11 - lead vocals: Donia Makedonez; Lucy Fisher; Russell Fragar</t>
  </si>
  <si>
    <t>1. "Introduction"</t>
  </si>
  <si>
    <t>2. "People Just Like Us" (Russell Fragar) - Lead Vocals: Debbie Steinhardt, Geoff Bullock &amp; Darlene Zschech</t>
  </si>
  <si>
    <t>3. "Father of Lights" (Geoff Bullock) - Lead Vocals: Darlene Zschech &amp; David Evans</t>
  </si>
  <si>
    <t>4. "In the Name of the Lord" (Bullock) - Lead Vocals: Darlene Zschech, David Evans &amp; Geoff Bullock</t>
  </si>
  <si>
    <t>5. "You Rescued Me" (Bullock) - Lead Vocal: Rob Eastwood</t>
  </si>
  <si>
    <t>6. "The Power and the Glory" (Bullock) - Lead Vocals: David Evans &amp; Darlene Zschech</t>
  </si>
  <si>
    <t>7. "Have Faith in God" (Bullock) - Lead Vocals: David Evans, Geoff Bullock &amp; Darlene Zschech</t>
  </si>
  <si>
    <t>8. "Your Love Keeps Following Me" (Fragar) - Lead Vocals: Lucy Fisher</t>
  </si>
  <si>
    <t>9. "I Just Want to Praise the Lord" (Bullock) - Lead Vocals: Darlene Zschech, David Evans &amp; Geoff Bullock</t>
  </si>
  <si>
    <t>10. "Longin' for Your Touch" (Paul Iannuzzelli &amp; Tim Uluirewa) - Lead Vocal: David Evans</t>
  </si>
  <si>
    <t>11. "In the Silence" (Iannuzzelli) - Lead Vocals: Darlene Zschech &amp; David Evans</t>
  </si>
  <si>
    <t>12. "Just Let Me Say" (Bullock) - Lead Vocals: Debbie Steinhardt &amp; Geoff Bullock</t>
  </si>
  <si>
    <t>13. "Shout to the Lord" (Darlene Zschech) - Lead Vocals: Darlene Zschech</t>
  </si>
  <si>
    <t>14. "Faith" (Bullock) - Lead Vocals: Darlene Zschech, David Evans &amp; Geoff Bullock</t>
  </si>
  <si>
    <t>1. "The Stone's Been Rolled Away" (Geoff Bullock) - Lead Vocal: Darlene Zschech, b. Geoff Bullock</t>
  </si>
  <si>
    <t>2. "You Give Me Shelter" (Geoff Bullock) - Lead Vocal: Sylvia Pettit &amp; Steve McPherson</t>
  </si>
  <si>
    <t>3. "Your Name" (Darlene Zschech) - Lead Vocals: David Evans, Sylvia Pettit &amp; Darlene Zschech</t>
  </si>
  <si>
    <t>4. "I'll Love You More" (Robert &amp; Debbie Eastwood) - Lead Vocals: Sylvia Pettit &amp; David Evans</t>
  </si>
  <si>
    <t>5. "Let Your Presence Fall" (David Willersdorf) - Lead Vocal: Darlene Zschech, b. David Evans</t>
  </si>
  <si>
    <t>6. "Holy Spirit Come" (Bullock) - Lead Vocals: Geoff Bullock, Darlene Zschech, David Evans, Steve McPherson &amp; Sylvia Pettit</t>
  </si>
  <si>
    <t>7. "Holy One of God" (Bullock) - Lead Vocals: Darlene Zschech, b. David Evans</t>
  </si>
  <si>
    <t>8. "I Believe" (Bullock) - Lead Vocals: Darlene Zschech &amp; Steve McPherson</t>
  </si>
  <si>
    <t>9. "Make Me Your Servant" (Russell Fragar) - Lead Vocals: Darlene Zschech, David Evans &amp; Steve McPherson</t>
  </si>
  <si>
    <t>10. "Jesus Lover of My Soul" (Daniel Grul, John Ezzy &amp; Steve McPherson) - Lead Vocal: Darlene Zschech, b. David Evans</t>
  </si>
  <si>
    <t>11. "Oh Holy Spirit" (Bullock) - Lead Vocals: Darlene Zschech &amp; Geoff Bullock</t>
  </si>
  <si>
    <t>12. "Within Your Love" (Bullock) - Lead Vocals: Sylvia Pettit, b. Geoff Bullock</t>
  </si>
  <si>
    <t>13. "I Surrender" (Bullock) - Lead Vocals: Sylvia Pettit, b. Steve McPherson</t>
  </si>
  <si>
    <t>14. "You Are the One" (Bullock) - Lead Vocals: Darlene Zschech</t>
  </si>
  <si>
    <t>1. "The Time Has Come" (Geoff Bullock)</t>
  </si>
  <si>
    <t>2. "We Will Rise" (Bullock)</t>
  </si>
  <si>
    <t>3. "You Placed Your Love" (Bullock)</t>
  </si>
  <si>
    <t>4. "Your Love" (Bullock)</t>
  </si>
  <si>
    <t>5. "Blessed Be" (Bullock)</t>
  </si>
  <si>
    <t>6. "You Are My Rock" (Bullock)</t>
  </si>
  <si>
    <t>7. "Hear Me Calling" (Bullock)</t>
  </si>
  <si>
    <t>8. "Refresh My Heart" (Bullock)</t>
  </si>
  <si>
    <t>9. "The Power of Your Love" (Bullock)</t>
  </si>
  <si>
    <t>10. "Lord We Come" (Bullock)</t>
  </si>
  <si>
    <t>11. "I Will Worship You" (Bullock)</t>
  </si>
  <si>
    <t>12. "You Are My God" (Bullock &amp; Gail Dunshea)</t>
  </si>
  <si>
    <t>13. "Holy Spirit Rise" (Bullock)</t>
  </si>
  <si>
    <t>14. "Glory" (Bullock)</t>
  </si>
  <si>
    <t>15. "Latter Rain" (Bullock)</t>
  </si>
  <si>
    <t>16. "The Great Southland" (Bullock)</t>
  </si>
  <si>
    <t>Without Him</t>
  </si>
  <si>
    <t>The Enemy's Defeated</t>
  </si>
  <si>
    <t>Revival</t>
  </si>
  <si>
    <t>Sanctify</t>
  </si>
  <si>
    <t>Armed And Dangerous</t>
  </si>
  <si>
    <t>Fire</t>
  </si>
  <si>
    <t>Praise Him</t>
  </si>
  <si>
    <t>I Am Not Ashamed</t>
  </si>
  <si>
    <t>Lord Take My Eyes</t>
  </si>
  <si>
    <t>Blessing</t>
  </si>
  <si>
    <t>Holy</t>
  </si>
  <si>
    <t>I'm Your Child/I'll Take This Time</t>
  </si>
  <si>
    <t>Show Your Glory (Alternate Mix)</t>
  </si>
  <si>
    <t>Heaven Suffers Violence</t>
  </si>
  <si>
    <t>Brian Houston</t>
  </si>
  <si>
    <t>With Your Love</t>
  </si>
  <si>
    <t>Geoff Bullock</t>
  </si>
  <si>
    <t>We're Not Looking Back</t>
  </si>
  <si>
    <t>I Will Lift My Voice</t>
  </si>
  <si>
    <t>We've Come To Worship The Lord</t>
  </si>
  <si>
    <t>Lift High His Name</t>
  </si>
  <si>
    <t>The Power Of God</t>
  </si>
  <si>
    <t>Brian Houston, Geoff Bullock</t>
  </si>
  <si>
    <t>He Is The King</t>
  </si>
  <si>
    <t>We Will Not Bow To The World</t>
  </si>
  <si>
    <t>The Heavens Shall Declare</t>
  </si>
  <si>
    <t>Rob Eastwood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</si>
</sst>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618D-12DE-4EF7-9EFF-A59D819DCEB6}">
  <dimension ref="A1:E32"/>
  <sheetViews>
    <sheetView workbookViewId="0"/>
  </sheetViews>
  <sheetFormatPr defaultRowHeight="15" x14ac:dyDescent="0.25"/>
  <cols>
    <col min="1" max="1" width="9.85546875" style="3" bestFit="1" customWidth="1"/>
    <col min="3" max="3" width="30.42578125" bestFit="1" customWidth="1"/>
  </cols>
  <sheetData>
    <row r="1" spans="1:5" x14ac:dyDescent="0.25">
      <c r="A1" s="3" t="s">
        <v>506</v>
      </c>
      <c r="B1" s="3" t="s">
        <v>27</v>
      </c>
      <c r="C1" s="3" t="s">
        <v>26</v>
      </c>
      <c r="D1" s="3" t="s">
        <v>61</v>
      </c>
    </row>
    <row r="2" spans="1:5" x14ac:dyDescent="0.25">
      <c r="A2" s="3" t="s">
        <v>509</v>
      </c>
      <c r="B2" s="1">
        <v>1988</v>
      </c>
      <c r="C2" t="s">
        <v>30</v>
      </c>
      <c r="D2">
        <v>11</v>
      </c>
    </row>
    <row r="3" spans="1:5" x14ac:dyDescent="0.25">
      <c r="B3" s="1">
        <v>1990</v>
      </c>
      <c r="C3" t="s">
        <v>31</v>
      </c>
      <c r="D3">
        <v>14</v>
      </c>
    </row>
    <row r="4" spans="1:5" x14ac:dyDescent="0.25">
      <c r="B4" s="1">
        <v>1992</v>
      </c>
      <c r="C4" t="s">
        <v>0</v>
      </c>
      <c r="D4">
        <v>16</v>
      </c>
    </row>
    <row r="5" spans="1:5" x14ac:dyDescent="0.25">
      <c r="B5" s="1">
        <v>1993</v>
      </c>
      <c r="C5" t="s">
        <v>1</v>
      </c>
      <c r="D5">
        <v>14</v>
      </c>
    </row>
    <row r="6" spans="1:5" x14ac:dyDescent="0.25">
      <c r="B6" s="1">
        <v>1994</v>
      </c>
      <c r="C6" t="s">
        <v>2</v>
      </c>
      <c r="D6">
        <v>14</v>
      </c>
    </row>
    <row r="7" spans="1:5" x14ac:dyDescent="0.25">
      <c r="B7" s="1">
        <v>1995</v>
      </c>
      <c r="C7" t="s">
        <v>3</v>
      </c>
      <c r="D7">
        <v>15</v>
      </c>
    </row>
    <row r="8" spans="1:5" x14ac:dyDescent="0.25">
      <c r="B8" s="1">
        <v>1996</v>
      </c>
      <c r="C8" t="s">
        <v>4</v>
      </c>
      <c r="D8">
        <v>15</v>
      </c>
    </row>
    <row r="9" spans="1:5" x14ac:dyDescent="0.25">
      <c r="B9" s="1">
        <v>1997</v>
      </c>
      <c r="C9" t="s">
        <v>5</v>
      </c>
      <c r="D9">
        <v>15</v>
      </c>
    </row>
    <row r="10" spans="1:5" x14ac:dyDescent="0.25">
      <c r="B10" s="1">
        <v>1998</v>
      </c>
      <c r="C10" t="s">
        <v>6</v>
      </c>
      <c r="D10">
        <v>15</v>
      </c>
    </row>
    <row r="11" spans="1:5" x14ac:dyDescent="0.25">
      <c r="B11" s="1">
        <v>1999</v>
      </c>
      <c r="C11" t="s">
        <v>7</v>
      </c>
      <c r="D11">
        <v>14</v>
      </c>
      <c r="E11">
        <f>SUM(D2:D11)</f>
        <v>143</v>
      </c>
    </row>
    <row r="12" spans="1:5" x14ac:dyDescent="0.25">
      <c r="A12" s="3" t="s">
        <v>508</v>
      </c>
      <c r="B12" s="1">
        <v>2000</v>
      </c>
      <c r="C12" t="s">
        <v>8</v>
      </c>
      <c r="D12">
        <v>14</v>
      </c>
    </row>
    <row r="13" spans="1:5" x14ac:dyDescent="0.25">
      <c r="B13" s="1">
        <v>2001</v>
      </c>
      <c r="C13" t="s">
        <v>9</v>
      </c>
      <c r="D13">
        <v>13</v>
      </c>
    </row>
    <row r="14" spans="1:5" x14ac:dyDescent="0.25">
      <c r="B14" s="1">
        <v>2002</v>
      </c>
      <c r="C14" t="s">
        <v>10</v>
      </c>
      <c r="D14">
        <v>14</v>
      </c>
    </row>
    <row r="15" spans="1:5" x14ac:dyDescent="0.25">
      <c r="B15" s="1">
        <v>2003</v>
      </c>
      <c r="C15" t="s">
        <v>11</v>
      </c>
      <c r="D15">
        <v>18</v>
      </c>
    </row>
    <row r="16" spans="1:5" x14ac:dyDescent="0.25">
      <c r="B16" s="1">
        <v>2004</v>
      </c>
      <c r="C16" t="s">
        <v>12</v>
      </c>
      <c r="D16">
        <v>15</v>
      </c>
    </row>
    <row r="17" spans="1:5" x14ac:dyDescent="0.25">
      <c r="B17" s="1">
        <v>2005</v>
      </c>
      <c r="C17" t="s">
        <v>13</v>
      </c>
      <c r="D17">
        <v>15</v>
      </c>
    </row>
    <row r="18" spans="1:5" x14ac:dyDescent="0.25">
      <c r="B18" s="1">
        <v>2006</v>
      </c>
      <c r="C18" t="s">
        <v>14</v>
      </c>
      <c r="D18">
        <v>14</v>
      </c>
    </row>
    <row r="19" spans="1:5" x14ac:dyDescent="0.25">
      <c r="B19" s="1">
        <v>2007</v>
      </c>
      <c r="C19" t="s">
        <v>15</v>
      </c>
      <c r="D19">
        <v>14</v>
      </c>
    </row>
    <row r="20" spans="1:5" x14ac:dyDescent="0.25">
      <c r="B20" s="1">
        <v>2008</v>
      </c>
      <c r="C20" t="s">
        <v>16</v>
      </c>
      <c r="D20">
        <v>16</v>
      </c>
    </row>
    <row r="21" spans="1:5" x14ac:dyDescent="0.25">
      <c r="B21" s="1">
        <v>2009</v>
      </c>
      <c r="C21" t="s">
        <v>17</v>
      </c>
      <c r="D21">
        <v>13</v>
      </c>
      <c r="E21">
        <f>SUM(D12:D21)</f>
        <v>146</v>
      </c>
    </row>
    <row r="22" spans="1:5" x14ac:dyDescent="0.25">
      <c r="A22" s="3" t="s">
        <v>507</v>
      </c>
      <c r="B22" s="1">
        <v>2010</v>
      </c>
      <c r="C22" t="s">
        <v>18</v>
      </c>
      <c r="D22">
        <v>13</v>
      </c>
    </row>
    <row r="23" spans="1:5" x14ac:dyDescent="0.25">
      <c r="B23" s="1">
        <v>2011</v>
      </c>
      <c r="C23" t="s">
        <v>19</v>
      </c>
      <c r="D23">
        <v>13</v>
      </c>
    </row>
    <row r="24" spans="1:5" x14ac:dyDescent="0.25">
      <c r="B24" s="1">
        <v>2012</v>
      </c>
      <c r="C24" t="s">
        <v>20</v>
      </c>
      <c r="D24">
        <v>13</v>
      </c>
    </row>
    <row r="25" spans="1:5" x14ac:dyDescent="0.25">
      <c r="B25" s="1">
        <v>2013</v>
      </c>
      <c r="C25" t="s">
        <v>21</v>
      </c>
      <c r="D25">
        <v>11</v>
      </c>
    </row>
    <row r="26" spans="1:5" x14ac:dyDescent="0.25">
      <c r="B26" s="1">
        <v>2014</v>
      </c>
      <c r="C26" t="s">
        <v>22</v>
      </c>
      <c r="D26">
        <v>11</v>
      </c>
    </row>
    <row r="27" spans="1:5" x14ac:dyDescent="0.25">
      <c r="B27" s="1">
        <v>2015</v>
      </c>
      <c r="C27" t="s">
        <v>23</v>
      </c>
      <c r="D27">
        <v>12</v>
      </c>
    </row>
    <row r="28" spans="1:5" x14ac:dyDescent="0.25">
      <c r="B28" s="1">
        <v>2016</v>
      </c>
      <c r="C28" t="s">
        <v>24</v>
      </c>
      <c r="D28">
        <v>12</v>
      </c>
    </row>
    <row r="29" spans="1:5" x14ac:dyDescent="0.25">
      <c r="B29" s="1">
        <v>2017</v>
      </c>
      <c r="C29" t="s">
        <v>32</v>
      </c>
      <c r="D29">
        <v>12</v>
      </c>
    </row>
    <row r="30" spans="1:5" x14ac:dyDescent="0.25">
      <c r="B30" s="1">
        <v>2018</v>
      </c>
      <c r="C30" t="s">
        <v>25</v>
      </c>
      <c r="D30">
        <v>12</v>
      </c>
    </row>
    <row r="31" spans="1:5" x14ac:dyDescent="0.25">
      <c r="B31" s="1">
        <v>2019</v>
      </c>
      <c r="C31" t="s">
        <v>29</v>
      </c>
      <c r="D31">
        <v>15</v>
      </c>
    </row>
    <row r="32" spans="1:5" x14ac:dyDescent="0.25">
      <c r="B32" s="1">
        <v>2020</v>
      </c>
      <c r="C32" t="s">
        <v>33</v>
      </c>
      <c r="D32">
        <v>12</v>
      </c>
      <c r="E32">
        <f>SUM(D22:D32)</f>
        <v>136</v>
      </c>
    </row>
  </sheetData>
  <autoFilter ref="A1:D1" xr:uid="{BC68CCF6-CEB4-4420-891B-FC57706B10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E50E-6BC8-441C-90CC-9163DBBBBFAC}">
  <dimension ref="A1:I5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2" max="2" width="30.42578125" bestFit="1" customWidth="1"/>
    <col min="3" max="4" width="9.140625" customWidth="1"/>
    <col min="7" max="7" width="9.140625" customWidth="1"/>
  </cols>
  <sheetData>
    <row r="1" spans="1:9" x14ac:dyDescent="0.25">
      <c r="A1" s="3" t="s">
        <v>28</v>
      </c>
      <c r="B1" s="3" t="s">
        <v>26</v>
      </c>
      <c r="C1" s="3" t="s">
        <v>27</v>
      </c>
      <c r="D1" s="3" t="s">
        <v>57</v>
      </c>
      <c r="E1" s="3" t="s">
        <v>59</v>
      </c>
      <c r="F1" s="3" t="s">
        <v>61</v>
      </c>
      <c r="G1" s="3" t="s">
        <v>34</v>
      </c>
      <c r="H1" s="3" t="s">
        <v>492</v>
      </c>
      <c r="I1" s="3" t="s">
        <v>493</v>
      </c>
    </row>
    <row r="2" spans="1:9" x14ac:dyDescent="0.25">
      <c r="A2">
        <v>1</v>
      </c>
      <c r="B2" t="s">
        <v>30</v>
      </c>
      <c r="C2" s="1">
        <v>1988</v>
      </c>
      <c r="D2" t="s">
        <v>58</v>
      </c>
      <c r="F2">
        <v>11</v>
      </c>
      <c r="G2" t="s">
        <v>56</v>
      </c>
      <c r="H2" t="str">
        <f>IF(COUNTIF(Songs!$B$2:$B$385,B2)&gt;0,"","NO")</f>
        <v>NO</v>
      </c>
      <c r="I2" t="s">
        <v>493</v>
      </c>
    </row>
    <row r="3" spans="1:9" x14ac:dyDescent="0.25">
      <c r="A3">
        <v>2</v>
      </c>
      <c r="B3" t="s">
        <v>31</v>
      </c>
      <c r="C3" s="1">
        <v>1990</v>
      </c>
      <c r="D3" t="s">
        <v>58</v>
      </c>
      <c r="F3">
        <v>14</v>
      </c>
      <c r="G3" t="s">
        <v>56</v>
      </c>
      <c r="H3" t="str">
        <f>IF(COUNTIF(Songs!$B$2:$B$385,B3)&gt;0,"","NO")</f>
        <v>NO</v>
      </c>
      <c r="I3" t="s">
        <v>493</v>
      </c>
    </row>
    <row r="4" spans="1:9" x14ac:dyDescent="0.25">
      <c r="A4">
        <v>3</v>
      </c>
      <c r="B4" t="s">
        <v>0</v>
      </c>
      <c r="C4" s="1">
        <v>1992</v>
      </c>
      <c r="D4" t="s">
        <v>60</v>
      </c>
      <c r="F4">
        <v>16</v>
      </c>
      <c r="G4" t="s">
        <v>56</v>
      </c>
      <c r="H4" t="str">
        <f>IF(COUNTIF(Songs!$B$2:$B$385,B4)&gt;0,"","NO")</f>
        <v>NO</v>
      </c>
      <c r="I4" t="s">
        <v>493</v>
      </c>
    </row>
    <row r="5" spans="1:9" x14ac:dyDescent="0.25">
      <c r="A5">
        <v>4</v>
      </c>
      <c r="B5" t="s">
        <v>1</v>
      </c>
      <c r="C5" s="1">
        <v>1993</v>
      </c>
      <c r="D5" t="s">
        <v>60</v>
      </c>
      <c r="F5">
        <v>14</v>
      </c>
      <c r="G5" t="s">
        <v>56</v>
      </c>
      <c r="H5" t="str">
        <f>IF(COUNTIF(Songs!$B$2:$B$385,B5)&gt;0,"","NO")</f>
        <v>NO</v>
      </c>
      <c r="I5" t="s">
        <v>493</v>
      </c>
    </row>
    <row r="6" spans="1:9" x14ac:dyDescent="0.25">
      <c r="A6">
        <v>5</v>
      </c>
      <c r="B6" t="s">
        <v>2</v>
      </c>
      <c r="C6" s="1">
        <v>1994</v>
      </c>
      <c r="D6" t="s">
        <v>60</v>
      </c>
      <c r="F6">
        <v>14</v>
      </c>
      <c r="G6" t="s">
        <v>35</v>
      </c>
      <c r="H6" t="str">
        <f>IF(COUNTIF(Songs!$B$2:$B$385,B6)&gt;0,"","NO")</f>
        <v>NO</v>
      </c>
    </row>
    <row r="7" spans="1:9" x14ac:dyDescent="0.25">
      <c r="A7">
        <v>6</v>
      </c>
      <c r="B7" t="s">
        <v>3</v>
      </c>
      <c r="C7" s="1">
        <v>1995</v>
      </c>
      <c r="D7" t="s">
        <v>60</v>
      </c>
      <c r="F7">
        <v>15</v>
      </c>
      <c r="G7" t="s">
        <v>35</v>
      </c>
      <c r="H7" t="str">
        <f>IF(COUNTIF(Songs!$B$2:$B$385,B7)&gt;0,"","NO")</f>
        <v>NO</v>
      </c>
    </row>
    <row r="8" spans="1:9" x14ac:dyDescent="0.25">
      <c r="B8" t="s">
        <v>55</v>
      </c>
      <c r="C8" s="1">
        <v>1996</v>
      </c>
      <c r="D8" t="s">
        <v>60</v>
      </c>
      <c r="F8">
        <v>16</v>
      </c>
      <c r="G8" t="s">
        <v>37</v>
      </c>
      <c r="H8" t="str">
        <f>IF(COUNTIF(Songs!$B$2:$B$385,B8)&gt;0,"","NO")</f>
        <v>NO</v>
      </c>
    </row>
    <row r="9" spans="1:9" x14ac:dyDescent="0.25">
      <c r="A9">
        <v>7</v>
      </c>
      <c r="B9" t="s">
        <v>4</v>
      </c>
      <c r="C9" s="1">
        <v>1996</v>
      </c>
      <c r="D9" t="s">
        <v>60</v>
      </c>
      <c r="F9">
        <v>15</v>
      </c>
      <c r="G9" t="s">
        <v>35</v>
      </c>
      <c r="H9" t="str">
        <f>IF(COUNTIF(Songs!$B$2:$B$385,B9)&gt;0,"","NO")</f>
        <v>NO</v>
      </c>
    </row>
    <row r="10" spans="1:9" x14ac:dyDescent="0.25">
      <c r="B10" t="s">
        <v>54</v>
      </c>
      <c r="C10" s="1">
        <v>1996</v>
      </c>
      <c r="D10" t="s">
        <v>60</v>
      </c>
      <c r="E10" t="s">
        <v>494</v>
      </c>
      <c r="F10">
        <v>12</v>
      </c>
      <c r="G10" t="s">
        <v>37</v>
      </c>
      <c r="H10" t="str">
        <f>IF(COUNTIF(Songs!$B$2:$B$385,B10)&gt;0,"","NO")</f>
        <v>NO</v>
      </c>
      <c r="I10" t="s">
        <v>493</v>
      </c>
    </row>
    <row r="11" spans="1:9" x14ac:dyDescent="0.25">
      <c r="B11" t="s">
        <v>53</v>
      </c>
      <c r="C11" s="1">
        <v>1996</v>
      </c>
      <c r="D11" t="s">
        <v>60</v>
      </c>
      <c r="E11" t="s">
        <v>494</v>
      </c>
      <c r="F11">
        <v>12</v>
      </c>
      <c r="G11" t="s">
        <v>37</v>
      </c>
      <c r="H11" t="str">
        <f>IF(COUNTIF(Songs!$B$2:$B$385,B11)&gt;0,"","NO")</f>
        <v>NO</v>
      </c>
      <c r="I11" t="s">
        <v>493</v>
      </c>
    </row>
    <row r="12" spans="1:9" x14ac:dyDescent="0.25">
      <c r="A12">
        <v>8</v>
      </c>
      <c r="B12" t="s">
        <v>5</v>
      </c>
      <c r="C12" s="1">
        <v>1997</v>
      </c>
      <c r="D12" t="s">
        <v>60</v>
      </c>
      <c r="F12">
        <v>15</v>
      </c>
      <c r="G12" t="s">
        <v>35</v>
      </c>
      <c r="H12" t="str">
        <f>IF(COUNTIF(Songs!$B$2:$B$385,B12)&gt;0,"","NO")</f>
        <v>NO</v>
      </c>
    </row>
    <row r="13" spans="1:9" x14ac:dyDescent="0.25">
      <c r="A13">
        <v>9</v>
      </c>
      <c r="B13" t="s">
        <v>6</v>
      </c>
      <c r="C13" s="1">
        <v>1998</v>
      </c>
      <c r="D13" t="s">
        <v>60</v>
      </c>
      <c r="F13">
        <v>15</v>
      </c>
      <c r="G13" t="s">
        <v>35</v>
      </c>
      <c r="H13" t="str">
        <f>IF(COUNTIF(Songs!$B$2:$B$385,B13)&gt;0,"","NO")</f>
        <v>NO</v>
      </c>
    </row>
    <row r="14" spans="1:9" x14ac:dyDescent="0.25">
      <c r="B14" t="s">
        <v>52</v>
      </c>
      <c r="C14" s="1">
        <v>1997</v>
      </c>
      <c r="D14" t="s">
        <v>60</v>
      </c>
      <c r="F14">
        <v>16</v>
      </c>
      <c r="G14" t="s">
        <v>37</v>
      </c>
      <c r="H14" t="str">
        <f>IF(COUNTIF(Songs!$B$2:$B$385,B14)&gt;0,"","NO")</f>
        <v>NO</v>
      </c>
    </row>
    <row r="15" spans="1:9" x14ac:dyDescent="0.25">
      <c r="B15" t="s">
        <v>51</v>
      </c>
      <c r="C15" s="1">
        <v>1997</v>
      </c>
      <c r="D15" t="s">
        <v>60</v>
      </c>
      <c r="E15" t="s">
        <v>494</v>
      </c>
      <c r="F15">
        <v>12</v>
      </c>
      <c r="G15" t="s">
        <v>37</v>
      </c>
      <c r="H15" t="str">
        <f>IF(COUNTIF(Songs!$B$2:$B$385,B15)&gt;0,"","NO")</f>
        <v>NO</v>
      </c>
      <c r="I15" t="s">
        <v>493</v>
      </c>
    </row>
    <row r="16" spans="1:9" x14ac:dyDescent="0.25">
      <c r="A16">
        <v>10</v>
      </c>
      <c r="B16" t="s">
        <v>7</v>
      </c>
      <c r="C16" s="1">
        <v>1999</v>
      </c>
      <c r="D16" t="s">
        <v>60</v>
      </c>
      <c r="F16">
        <v>14</v>
      </c>
      <c r="G16" t="s">
        <v>35</v>
      </c>
      <c r="H16" t="str">
        <f>IF(COUNTIF(Songs!$B$2:$B$385,B16)&gt;0,"","NO")</f>
        <v>NO</v>
      </c>
    </row>
    <row r="17" spans="1:9" x14ac:dyDescent="0.25">
      <c r="B17" t="s">
        <v>50</v>
      </c>
      <c r="C17" s="1">
        <v>1999</v>
      </c>
      <c r="D17" t="s">
        <v>60</v>
      </c>
      <c r="F17">
        <v>10</v>
      </c>
      <c r="G17" t="s">
        <v>37</v>
      </c>
      <c r="H17" t="str">
        <f>IF(COUNTIF(Songs!$B$2:$B$385,B17)&gt;0,"","NO")</f>
        <v>NO</v>
      </c>
    </row>
    <row r="18" spans="1:9" x14ac:dyDescent="0.25">
      <c r="B18" t="s">
        <v>49</v>
      </c>
      <c r="C18" s="1">
        <v>2000</v>
      </c>
      <c r="D18" t="s">
        <v>60</v>
      </c>
      <c r="F18">
        <v>12</v>
      </c>
      <c r="G18" t="s">
        <v>37</v>
      </c>
      <c r="H18" t="str">
        <f>IF(COUNTIF(Songs!$B$2:$B$385,B18)&gt;0,"","NO")</f>
        <v>NO</v>
      </c>
    </row>
    <row r="19" spans="1:9" x14ac:dyDescent="0.25">
      <c r="A19">
        <v>11</v>
      </c>
      <c r="B19" t="s">
        <v>8</v>
      </c>
      <c r="C19" s="1">
        <v>2000</v>
      </c>
      <c r="D19" t="s">
        <v>60</v>
      </c>
      <c r="F19">
        <v>14</v>
      </c>
      <c r="G19" t="s">
        <v>35</v>
      </c>
      <c r="H19" t="str">
        <f>IF(COUNTIF(Songs!$B$2:$B$385,B19)&gt;0,"","NO")</f>
        <v/>
      </c>
    </row>
    <row r="20" spans="1:9" x14ac:dyDescent="0.25">
      <c r="B20" t="s">
        <v>48</v>
      </c>
      <c r="C20" s="1">
        <v>2001</v>
      </c>
      <c r="D20" t="s">
        <v>60</v>
      </c>
      <c r="E20" t="s">
        <v>495</v>
      </c>
      <c r="F20">
        <v>14</v>
      </c>
      <c r="G20" t="s">
        <v>37</v>
      </c>
      <c r="H20" t="str">
        <f>IF(COUNTIF(Songs!$B$2:$B$385,B20)&gt;0,"","NO")</f>
        <v>NO</v>
      </c>
    </row>
    <row r="21" spans="1:9" x14ac:dyDescent="0.25">
      <c r="A21">
        <v>12</v>
      </c>
      <c r="B21" t="s">
        <v>9</v>
      </c>
      <c r="C21" s="1">
        <v>2001</v>
      </c>
      <c r="D21" t="s">
        <v>60</v>
      </c>
      <c r="F21">
        <v>13</v>
      </c>
      <c r="G21" t="s">
        <v>35</v>
      </c>
      <c r="H21" t="str">
        <f>IF(COUNTIF(Songs!$B$2:$B$385,B21)&gt;0,"","NO")</f>
        <v/>
      </c>
    </row>
    <row r="22" spans="1:9" x14ac:dyDescent="0.25">
      <c r="B22" t="s">
        <v>46</v>
      </c>
      <c r="C22" s="1">
        <v>2002</v>
      </c>
      <c r="D22" t="s">
        <v>60</v>
      </c>
      <c r="E22" t="s">
        <v>494</v>
      </c>
      <c r="F22">
        <v>22</v>
      </c>
      <c r="G22" t="s">
        <v>37</v>
      </c>
      <c r="H22" t="str">
        <f>IF(COUNTIF(Songs!$B$2:$B$385,B22)&gt;0,"","NO")</f>
        <v>NO</v>
      </c>
      <c r="I22" t="s">
        <v>493</v>
      </c>
    </row>
    <row r="23" spans="1:9" x14ac:dyDescent="0.25">
      <c r="B23" t="s">
        <v>47</v>
      </c>
      <c r="C23" s="1">
        <v>2002</v>
      </c>
      <c r="D23" t="s">
        <v>60</v>
      </c>
      <c r="E23" t="s">
        <v>494</v>
      </c>
      <c r="F23">
        <v>23</v>
      </c>
      <c r="G23" t="s">
        <v>37</v>
      </c>
      <c r="H23" t="str">
        <f>IF(COUNTIF(Songs!$B$2:$B$385,B23)&gt;0,"","NO")</f>
        <v>NO</v>
      </c>
      <c r="I23" t="s">
        <v>493</v>
      </c>
    </row>
    <row r="24" spans="1:9" x14ac:dyDescent="0.25">
      <c r="A24">
        <v>13</v>
      </c>
      <c r="B24" t="s">
        <v>10</v>
      </c>
      <c r="C24" s="1">
        <v>2002</v>
      </c>
      <c r="D24" t="s">
        <v>60</v>
      </c>
      <c r="F24">
        <v>14</v>
      </c>
      <c r="G24" t="s">
        <v>35</v>
      </c>
      <c r="H24" t="str">
        <f>IF(COUNTIF(Songs!$B$2:$B$385,B24)&gt;0,"","NO")</f>
        <v/>
      </c>
    </row>
    <row r="25" spans="1:9" x14ac:dyDescent="0.25">
      <c r="B25" t="s">
        <v>45</v>
      </c>
      <c r="C25" s="1">
        <v>2003</v>
      </c>
      <c r="D25" t="s">
        <v>60</v>
      </c>
      <c r="F25">
        <v>10</v>
      </c>
      <c r="G25" t="s">
        <v>37</v>
      </c>
      <c r="H25" t="str">
        <f>IF(COUNTIF(Songs!$B$2:$B$385,B25)&gt;0,"","NO")</f>
        <v>NO</v>
      </c>
    </row>
    <row r="26" spans="1:9" x14ac:dyDescent="0.25">
      <c r="A26">
        <v>14</v>
      </c>
      <c r="B26" t="s">
        <v>11</v>
      </c>
      <c r="C26" s="1">
        <v>2003</v>
      </c>
      <c r="D26" t="s">
        <v>60</v>
      </c>
      <c r="F26">
        <v>18</v>
      </c>
      <c r="G26" t="s">
        <v>35</v>
      </c>
      <c r="H26" t="str">
        <f>IF(COUNTIF(Songs!$B$2:$B$385,B26)&gt;0,"","NO")</f>
        <v/>
      </c>
    </row>
    <row r="27" spans="1:9" x14ac:dyDescent="0.25">
      <c r="B27" t="s">
        <v>44</v>
      </c>
      <c r="C27" s="1">
        <v>2004</v>
      </c>
      <c r="D27" t="s">
        <v>60</v>
      </c>
      <c r="F27">
        <v>12</v>
      </c>
      <c r="G27" t="s">
        <v>37</v>
      </c>
      <c r="H27" t="str">
        <f>IF(COUNTIF(Songs!$B$2:$B$385,B27)&gt;0,"","NO")</f>
        <v>NO</v>
      </c>
    </row>
    <row r="28" spans="1:9" x14ac:dyDescent="0.25">
      <c r="A28">
        <v>15</v>
      </c>
      <c r="B28" t="s">
        <v>12</v>
      </c>
      <c r="C28" s="1">
        <v>2004</v>
      </c>
      <c r="D28" t="s">
        <v>60</v>
      </c>
      <c r="F28">
        <v>15</v>
      </c>
      <c r="G28" t="s">
        <v>35</v>
      </c>
      <c r="H28" t="str">
        <f>IF(COUNTIF(Songs!$B$2:$B$385,B28)&gt;0,"","NO")</f>
        <v/>
      </c>
    </row>
    <row r="29" spans="1:9" x14ac:dyDescent="0.25">
      <c r="B29" t="s">
        <v>43</v>
      </c>
      <c r="C29" s="1">
        <v>2004</v>
      </c>
      <c r="D29" t="s">
        <v>60</v>
      </c>
      <c r="E29" t="s">
        <v>494</v>
      </c>
      <c r="F29">
        <v>11</v>
      </c>
      <c r="G29" t="s">
        <v>37</v>
      </c>
      <c r="H29" t="str">
        <f>IF(COUNTIF(Songs!$B$2:$B$385,B29)&gt;0,"","NO")</f>
        <v>NO</v>
      </c>
      <c r="I29" t="s">
        <v>493</v>
      </c>
    </row>
    <row r="30" spans="1:9" x14ac:dyDescent="0.25">
      <c r="A30">
        <v>16</v>
      </c>
      <c r="B30" t="s">
        <v>13</v>
      </c>
      <c r="C30" s="1">
        <v>2005</v>
      </c>
      <c r="D30" t="s">
        <v>60</v>
      </c>
      <c r="F30">
        <v>15</v>
      </c>
      <c r="G30" t="s">
        <v>35</v>
      </c>
      <c r="H30" t="str">
        <f>IF(COUNTIF(Songs!$B$2:$B$385,B30)&gt;0,"","NO")</f>
        <v/>
      </c>
    </row>
    <row r="31" spans="1:9" x14ac:dyDescent="0.25">
      <c r="B31" t="s">
        <v>42</v>
      </c>
      <c r="C31" s="1">
        <v>2005</v>
      </c>
      <c r="D31" t="s">
        <v>60</v>
      </c>
      <c r="E31" t="s">
        <v>494</v>
      </c>
      <c r="F31">
        <v>17</v>
      </c>
      <c r="G31" t="s">
        <v>37</v>
      </c>
      <c r="H31" t="str">
        <f>IF(COUNTIF(Songs!$B$2:$B$385,B31)&gt;0,"","NO")</f>
        <v>NO</v>
      </c>
      <c r="I31" t="s">
        <v>493</v>
      </c>
    </row>
    <row r="32" spans="1:9" x14ac:dyDescent="0.25">
      <c r="B32" t="s">
        <v>41</v>
      </c>
      <c r="C32" s="1">
        <v>2006</v>
      </c>
      <c r="D32" t="s">
        <v>60</v>
      </c>
      <c r="E32" t="s">
        <v>494</v>
      </c>
      <c r="F32">
        <v>14</v>
      </c>
      <c r="G32" t="s">
        <v>37</v>
      </c>
      <c r="H32" t="str">
        <f>IF(COUNTIF(Songs!$B$2:$B$385,B32)&gt;0,"","NO")</f>
        <v>NO</v>
      </c>
      <c r="I32" t="s">
        <v>493</v>
      </c>
    </row>
    <row r="33" spans="1:9" x14ac:dyDescent="0.25">
      <c r="A33">
        <v>17</v>
      </c>
      <c r="B33" t="s">
        <v>14</v>
      </c>
      <c r="C33" s="1">
        <v>2006</v>
      </c>
      <c r="D33" t="s">
        <v>60</v>
      </c>
      <c r="F33">
        <v>14</v>
      </c>
      <c r="G33" t="s">
        <v>35</v>
      </c>
      <c r="H33" t="str">
        <f>IF(COUNTIF(Songs!$B$2:$B$385,B33)&gt;0,"","NO")</f>
        <v/>
      </c>
    </row>
    <row r="34" spans="1:9" x14ac:dyDescent="0.25">
      <c r="B34" t="s">
        <v>40</v>
      </c>
      <c r="C34" s="1">
        <v>2006</v>
      </c>
      <c r="D34" t="s">
        <v>60</v>
      </c>
      <c r="E34" t="s">
        <v>495</v>
      </c>
      <c r="F34">
        <v>12</v>
      </c>
      <c r="G34" t="s">
        <v>37</v>
      </c>
      <c r="H34" t="str">
        <f>IF(COUNTIF(Songs!$B$2:$B$385,B34)&gt;0,"","NO")</f>
        <v>NO</v>
      </c>
    </row>
    <row r="35" spans="1:9" x14ac:dyDescent="0.25">
      <c r="A35">
        <v>18</v>
      </c>
      <c r="B35" t="s">
        <v>15</v>
      </c>
      <c r="C35" s="1">
        <v>2007</v>
      </c>
      <c r="D35" t="s">
        <v>60</v>
      </c>
      <c r="F35">
        <v>14</v>
      </c>
      <c r="G35" t="s">
        <v>35</v>
      </c>
      <c r="H35" t="str">
        <f>IF(COUNTIF(Songs!$B$2:$B$385,B35)&gt;0,"","NO")</f>
        <v/>
      </c>
    </row>
    <row r="36" spans="1:9" x14ac:dyDescent="0.25">
      <c r="A36">
        <v>19</v>
      </c>
      <c r="B36" t="s">
        <v>16</v>
      </c>
      <c r="C36" s="1">
        <v>2008</v>
      </c>
      <c r="D36" t="s">
        <v>60</v>
      </c>
      <c r="F36">
        <v>16</v>
      </c>
      <c r="G36" t="s">
        <v>35</v>
      </c>
      <c r="H36" t="str">
        <f>IF(COUNTIF(Songs!$B$2:$B$385,B36)&gt;0,"","NO")</f>
        <v/>
      </c>
    </row>
    <row r="37" spans="1:9" x14ac:dyDescent="0.25">
      <c r="B37" t="s">
        <v>39</v>
      </c>
      <c r="C37" s="1">
        <v>2008</v>
      </c>
      <c r="D37" t="s">
        <v>60</v>
      </c>
      <c r="E37" t="s">
        <v>494</v>
      </c>
      <c r="F37">
        <v>17</v>
      </c>
      <c r="G37" t="s">
        <v>37</v>
      </c>
      <c r="H37" t="str">
        <f>IF(COUNTIF(Songs!$B$2:$B$385,B37)&gt;0,"","NO")</f>
        <v>NO</v>
      </c>
      <c r="I37" t="s">
        <v>493</v>
      </c>
    </row>
    <row r="38" spans="1:9" x14ac:dyDescent="0.25">
      <c r="A38">
        <v>20</v>
      </c>
      <c r="B38" t="s">
        <v>17</v>
      </c>
      <c r="C38" s="1">
        <v>2009</v>
      </c>
      <c r="D38" t="s">
        <v>60</v>
      </c>
      <c r="F38">
        <v>13</v>
      </c>
      <c r="G38" t="s">
        <v>35</v>
      </c>
      <c r="H38" t="str">
        <f>IF(COUNTIF(Songs!$B$2:$B$385,B38)&gt;0,"","NO")</f>
        <v/>
      </c>
    </row>
    <row r="39" spans="1:9" x14ac:dyDescent="0.25">
      <c r="A39">
        <v>21</v>
      </c>
      <c r="B39" t="s">
        <v>18</v>
      </c>
      <c r="C39" s="1">
        <v>2010</v>
      </c>
      <c r="D39" t="s">
        <v>60</v>
      </c>
      <c r="F39">
        <v>13</v>
      </c>
      <c r="G39" t="s">
        <v>35</v>
      </c>
      <c r="H39" t="str">
        <f>IF(COUNTIF(Songs!$B$2:$B$385,B39)&gt;0,"","NO")</f>
        <v/>
      </c>
    </row>
    <row r="40" spans="1:9" x14ac:dyDescent="0.25">
      <c r="A40">
        <v>22</v>
      </c>
      <c r="B40" t="s">
        <v>19</v>
      </c>
      <c r="C40" s="1">
        <v>2011</v>
      </c>
      <c r="D40" t="s">
        <v>60</v>
      </c>
      <c r="F40">
        <v>13</v>
      </c>
      <c r="G40" t="s">
        <v>35</v>
      </c>
      <c r="H40" t="str">
        <f>IF(COUNTIF(Songs!$B$2:$B$385,B40)&gt;0,"","NO")</f>
        <v/>
      </c>
    </row>
    <row r="41" spans="1:9" x14ac:dyDescent="0.25">
      <c r="B41" t="s">
        <v>38</v>
      </c>
      <c r="C41" s="1">
        <v>2011</v>
      </c>
      <c r="D41" t="s">
        <v>58</v>
      </c>
      <c r="E41" t="s">
        <v>495</v>
      </c>
      <c r="F41">
        <v>8</v>
      </c>
      <c r="G41" t="s">
        <v>37</v>
      </c>
      <c r="H41" t="str">
        <f>IF(COUNTIF(Songs!$B$2:$B$385,B41)&gt;0,"","NO")</f>
        <v>NO</v>
      </c>
    </row>
    <row r="42" spans="1:9" x14ac:dyDescent="0.25">
      <c r="A42">
        <v>23</v>
      </c>
      <c r="B42" t="s">
        <v>20</v>
      </c>
      <c r="C42" s="1">
        <v>2012</v>
      </c>
      <c r="D42" t="s">
        <v>60</v>
      </c>
      <c r="F42">
        <v>13</v>
      </c>
      <c r="G42" t="s">
        <v>35</v>
      </c>
      <c r="H42" t="str">
        <f>IF(COUNTIF(Songs!$B$2:$B$385,B42)&gt;0,"","NO")</f>
        <v/>
      </c>
    </row>
    <row r="43" spans="1:9" x14ac:dyDescent="0.25">
      <c r="B43" t="s">
        <v>36</v>
      </c>
      <c r="C43" s="1">
        <v>2012</v>
      </c>
      <c r="D43" t="s">
        <v>58</v>
      </c>
      <c r="E43" t="s">
        <v>495</v>
      </c>
      <c r="F43">
        <v>12</v>
      </c>
      <c r="G43" t="s">
        <v>37</v>
      </c>
      <c r="H43" t="str">
        <f>IF(COUNTIF(Songs!$B$2:$B$385,B43)&gt;0,"","NO")</f>
        <v>NO</v>
      </c>
    </row>
    <row r="44" spans="1:9" x14ac:dyDescent="0.25">
      <c r="A44">
        <v>24</v>
      </c>
      <c r="B44" t="s">
        <v>21</v>
      </c>
      <c r="C44" s="1">
        <v>2013</v>
      </c>
      <c r="D44" t="s">
        <v>60</v>
      </c>
      <c r="F44">
        <v>11</v>
      </c>
      <c r="G44" t="s">
        <v>35</v>
      </c>
      <c r="H44" t="str">
        <f>IF(COUNTIF(Songs!$B$2:$B$385,B44)&gt;0,"","NO")</f>
        <v/>
      </c>
    </row>
    <row r="45" spans="1:9" x14ac:dyDescent="0.25">
      <c r="A45">
        <v>25</v>
      </c>
      <c r="B45" t="s">
        <v>22</v>
      </c>
      <c r="C45" s="1">
        <v>2014</v>
      </c>
      <c r="D45" t="s">
        <v>60</v>
      </c>
      <c r="F45">
        <v>11</v>
      </c>
      <c r="G45" t="s">
        <v>35</v>
      </c>
      <c r="H45" t="str">
        <f>IF(COUNTIF(Songs!$B$2:$B$385,B45)&gt;0,"","NO")</f>
        <v/>
      </c>
    </row>
    <row r="46" spans="1:9" x14ac:dyDescent="0.25">
      <c r="A46">
        <v>26</v>
      </c>
      <c r="B46" t="s">
        <v>23</v>
      </c>
      <c r="C46" s="1">
        <v>2015</v>
      </c>
      <c r="D46" t="s">
        <v>60</v>
      </c>
      <c r="F46">
        <v>12</v>
      </c>
      <c r="G46" t="s">
        <v>35</v>
      </c>
      <c r="H46" t="str">
        <f>IF(COUNTIF(Songs!$B$2:$B$385,B46)&gt;0,"","NO")</f>
        <v/>
      </c>
    </row>
    <row r="47" spans="1:9" x14ac:dyDescent="0.25">
      <c r="A47">
        <v>27</v>
      </c>
      <c r="B47" t="s">
        <v>24</v>
      </c>
      <c r="C47" s="1">
        <v>2016</v>
      </c>
      <c r="D47" t="s">
        <v>60</v>
      </c>
      <c r="F47">
        <v>12</v>
      </c>
      <c r="G47" t="s">
        <v>35</v>
      </c>
      <c r="H47" t="str">
        <f>IF(COUNTIF(Songs!$B$2:$B$385,B47)&gt;0,"","NO")</f>
        <v/>
      </c>
    </row>
    <row r="48" spans="1:9" x14ac:dyDescent="0.25">
      <c r="A48">
        <v>28</v>
      </c>
      <c r="B48" t="s">
        <v>32</v>
      </c>
      <c r="C48" s="1">
        <v>2017</v>
      </c>
      <c r="D48" t="s">
        <v>58</v>
      </c>
      <c r="E48" t="s">
        <v>495</v>
      </c>
      <c r="F48">
        <v>12</v>
      </c>
      <c r="G48" t="s">
        <v>35</v>
      </c>
      <c r="H48" t="str">
        <f>IF(COUNTIF(Songs!$B$2:$B$385,B48)&gt;0,"","NO")</f>
        <v/>
      </c>
    </row>
    <row r="49" spans="1:8" x14ac:dyDescent="0.25">
      <c r="A49">
        <v>29</v>
      </c>
      <c r="B49" t="s">
        <v>25</v>
      </c>
      <c r="C49" s="1">
        <v>2018</v>
      </c>
      <c r="D49" t="s">
        <v>60</v>
      </c>
      <c r="F49">
        <v>12</v>
      </c>
      <c r="G49" t="s">
        <v>35</v>
      </c>
      <c r="H49" t="str">
        <f>IF(COUNTIF(Songs!$B$2:$B$385,B49)&gt;0,"","NO")</f>
        <v/>
      </c>
    </row>
    <row r="50" spans="1:8" x14ac:dyDescent="0.25">
      <c r="A50">
        <v>30</v>
      </c>
      <c r="B50" t="s">
        <v>29</v>
      </c>
      <c r="C50" s="1">
        <v>2019</v>
      </c>
      <c r="D50" t="s">
        <v>58</v>
      </c>
      <c r="F50">
        <v>15</v>
      </c>
      <c r="G50" t="s">
        <v>35</v>
      </c>
      <c r="H50" t="str">
        <f>IF(COUNTIF(Songs!$B$2:$B$385,B50)&gt;0,"","NO")</f>
        <v/>
      </c>
    </row>
    <row r="51" spans="1:8" x14ac:dyDescent="0.25">
      <c r="A51">
        <v>31</v>
      </c>
      <c r="B51" t="s">
        <v>33</v>
      </c>
      <c r="C51" s="1">
        <v>2020</v>
      </c>
      <c r="D51" t="s">
        <v>58</v>
      </c>
      <c r="F51">
        <v>12</v>
      </c>
      <c r="G51" t="s">
        <v>35</v>
      </c>
      <c r="H51" t="str">
        <f>IF(COUNTIF(Songs!$B$2:$B$385,B51)&gt;0,"","NO")</f>
        <v/>
      </c>
    </row>
  </sheetData>
  <autoFilter ref="A1:I51" xr:uid="{FA54E195-E1A1-4D89-9E17-4EAD0F6F444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048F-C83C-42AF-AC46-34FFE0EE51A1}">
  <dimension ref="A1:K528"/>
  <sheetViews>
    <sheetView tabSelected="1" zoomScaleNormal="100" workbookViewId="0">
      <pane ySplit="1" topLeftCell="A375" activePane="bottomLeft" state="frozen"/>
      <selection pane="bottomLeft" activeCell="A386" sqref="A386:I528"/>
    </sheetView>
  </sheetViews>
  <sheetFormatPr defaultRowHeight="15" x14ac:dyDescent="0.25"/>
  <cols>
    <col min="2" max="2" width="25.140625" bestFit="1" customWidth="1"/>
    <col min="3" max="3" width="6.7109375" bestFit="1" customWidth="1"/>
    <col min="4" max="4" width="40.85546875" bestFit="1" customWidth="1"/>
    <col min="5" max="5" width="18" bestFit="1" customWidth="1"/>
  </cols>
  <sheetData>
    <row r="1" spans="1:9" x14ac:dyDescent="0.25">
      <c r="A1" s="3" t="s">
        <v>28</v>
      </c>
      <c r="B1" s="3" t="s">
        <v>26</v>
      </c>
      <c r="C1" s="3" t="s">
        <v>297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496</v>
      </c>
    </row>
    <row r="2" spans="1:9" s="4" customFormat="1" x14ac:dyDescent="0.25">
      <c r="A2" s="4">
        <v>2020</v>
      </c>
      <c r="B2" t="s">
        <v>33</v>
      </c>
      <c r="C2" s="4">
        <v>1</v>
      </c>
      <c r="D2" s="4" t="s">
        <v>428</v>
      </c>
    </row>
    <row r="3" spans="1:9" s="4" customFormat="1" x14ac:dyDescent="0.25">
      <c r="A3" s="4">
        <v>2020</v>
      </c>
      <c r="B3" t="s">
        <v>33</v>
      </c>
      <c r="C3" s="4">
        <v>2</v>
      </c>
      <c r="D3" s="4" t="s">
        <v>484</v>
      </c>
    </row>
    <row r="4" spans="1:9" s="4" customFormat="1" x14ac:dyDescent="0.25">
      <c r="A4" s="4">
        <v>2020</v>
      </c>
      <c r="B4" t="s">
        <v>33</v>
      </c>
      <c r="C4" s="4">
        <v>3</v>
      </c>
      <c r="D4" s="4" t="s">
        <v>323</v>
      </c>
    </row>
    <row r="5" spans="1:9" s="4" customFormat="1" x14ac:dyDescent="0.25">
      <c r="A5" s="4">
        <v>2020</v>
      </c>
      <c r="B5" t="s">
        <v>33</v>
      </c>
      <c r="C5" s="4">
        <v>4</v>
      </c>
      <c r="D5" s="4" t="s">
        <v>485</v>
      </c>
    </row>
    <row r="6" spans="1:9" s="4" customFormat="1" x14ac:dyDescent="0.25">
      <c r="A6" s="4">
        <v>2020</v>
      </c>
      <c r="B6" t="s">
        <v>33</v>
      </c>
      <c r="C6" s="4">
        <v>5</v>
      </c>
      <c r="D6" s="4" t="s">
        <v>383</v>
      </c>
    </row>
    <row r="7" spans="1:9" s="4" customFormat="1" x14ac:dyDescent="0.25">
      <c r="A7" s="4">
        <v>2020</v>
      </c>
      <c r="B7" t="s">
        <v>33</v>
      </c>
      <c r="C7" s="4">
        <v>6</v>
      </c>
      <c r="D7" s="4" t="s">
        <v>486</v>
      </c>
    </row>
    <row r="8" spans="1:9" s="4" customFormat="1" x14ac:dyDescent="0.25">
      <c r="A8" s="4">
        <v>2020</v>
      </c>
      <c r="B8" t="s">
        <v>33</v>
      </c>
      <c r="C8" s="4">
        <v>7</v>
      </c>
      <c r="D8" s="4" t="s">
        <v>487</v>
      </c>
    </row>
    <row r="9" spans="1:9" s="4" customFormat="1" x14ac:dyDescent="0.25">
      <c r="A9" s="4">
        <v>2020</v>
      </c>
      <c r="B9" t="s">
        <v>33</v>
      </c>
      <c r="C9" s="4">
        <v>8</v>
      </c>
      <c r="D9" s="4" t="s">
        <v>488</v>
      </c>
    </row>
    <row r="10" spans="1:9" s="4" customFormat="1" x14ac:dyDescent="0.25">
      <c r="A10" s="4">
        <v>2020</v>
      </c>
      <c r="B10" t="s">
        <v>33</v>
      </c>
      <c r="C10" s="4">
        <v>9</v>
      </c>
      <c r="D10" s="4" t="s">
        <v>313</v>
      </c>
    </row>
    <row r="11" spans="1:9" s="4" customFormat="1" x14ac:dyDescent="0.25">
      <c r="A11" s="4">
        <v>2020</v>
      </c>
      <c r="B11" t="s">
        <v>33</v>
      </c>
      <c r="C11" s="4">
        <v>10</v>
      </c>
      <c r="D11" s="4" t="s">
        <v>489</v>
      </c>
    </row>
    <row r="12" spans="1:9" s="4" customFormat="1" x14ac:dyDescent="0.25">
      <c r="A12" s="4">
        <v>2020</v>
      </c>
      <c r="B12" t="s">
        <v>33</v>
      </c>
      <c r="C12" s="4">
        <v>11</v>
      </c>
      <c r="D12" s="4" t="s">
        <v>490</v>
      </c>
    </row>
    <row r="13" spans="1:9" s="4" customFormat="1" x14ac:dyDescent="0.25">
      <c r="A13" s="4">
        <v>2020</v>
      </c>
      <c r="B13" t="s">
        <v>33</v>
      </c>
      <c r="C13" s="4">
        <v>12</v>
      </c>
      <c r="D13" s="4" t="s">
        <v>491</v>
      </c>
    </row>
    <row r="14" spans="1:9" x14ac:dyDescent="0.25">
      <c r="A14" s="1">
        <v>2019</v>
      </c>
      <c r="B14" t="s">
        <v>29</v>
      </c>
      <c r="C14">
        <v>1</v>
      </c>
      <c r="D14" t="s">
        <v>298</v>
      </c>
      <c r="E14" t="s">
        <v>62</v>
      </c>
      <c r="G14" s="2">
        <v>6.3194444444444442E-2</v>
      </c>
      <c r="H14" t="s">
        <v>503</v>
      </c>
    </row>
    <row r="15" spans="1:9" x14ac:dyDescent="0.25">
      <c r="A15" s="1">
        <v>2019</v>
      </c>
      <c r="B15" t="s">
        <v>29</v>
      </c>
      <c r="C15">
        <v>2</v>
      </c>
      <c r="D15" t="s">
        <v>299</v>
      </c>
      <c r="E15" t="s">
        <v>62</v>
      </c>
      <c r="F15" t="s">
        <v>62</v>
      </c>
      <c r="G15" s="2">
        <v>0.18333333333333335</v>
      </c>
      <c r="H15">
        <v>7134998</v>
      </c>
      <c r="I15" t="s">
        <v>499</v>
      </c>
    </row>
    <row r="16" spans="1:9" x14ac:dyDescent="0.25">
      <c r="A16" s="1">
        <v>2019</v>
      </c>
      <c r="B16" t="s">
        <v>29</v>
      </c>
      <c r="C16">
        <v>3</v>
      </c>
      <c r="D16" t="s">
        <v>300</v>
      </c>
      <c r="E16" t="s">
        <v>63</v>
      </c>
      <c r="F16" t="s">
        <v>64</v>
      </c>
      <c r="G16" s="2">
        <v>0.18888888888888888</v>
      </c>
      <c r="H16">
        <v>7134993</v>
      </c>
      <c r="I16" t="s">
        <v>500</v>
      </c>
    </row>
    <row r="17" spans="1:9" x14ac:dyDescent="0.25">
      <c r="A17" s="1">
        <v>2019</v>
      </c>
      <c r="B17" t="s">
        <v>29</v>
      </c>
      <c r="E17" t="s">
        <v>64</v>
      </c>
    </row>
    <row r="18" spans="1:9" x14ac:dyDescent="0.25">
      <c r="A18" s="1">
        <v>2019</v>
      </c>
      <c r="B18" t="s">
        <v>29</v>
      </c>
      <c r="E18" t="s">
        <v>65</v>
      </c>
    </row>
    <row r="19" spans="1:9" x14ac:dyDescent="0.25">
      <c r="A19" s="1">
        <v>2019</v>
      </c>
      <c r="B19" t="s">
        <v>29</v>
      </c>
      <c r="C19">
        <v>4</v>
      </c>
      <c r="D19" t="s">
        <v>301</v>
      </c>
      <c r="E19" t="s">
        <v>66</v>
      </c>
      <c r="F19" t="s">
        <v>68</v>
      </c>
      <c r="G19" s="2">
        <v>0.17152777777777775</v>
      </c>
      <c r="H19">
        <v>7134996</v>
      </c>
      <c r="I19" t="s">
        <v>499</v>
      </c>
    </row>
    <row r="20" spans="1:9" x14ac:dyDescent="0.25">
      <c r="A20" s="1">
        <v>2019</v>
      </c>
      <c r="B20" t="s">
        <v>29</v>
      </c>
      <c r="E20" t="s">
        <v>67</v>
      </c>
    </row>
    <row r="21" spans="1:9" x14ac:dyDescent="0.25">
      <c r="A21" s="1">
        <v>2019</v>
      </c>
      <c r="B21" t="s">
        <v>29</v>
      </c>
      <c r="C21">
        <v>5</v>
      </c>
      <c r="D21" t="s">
        <v>302</v>
      </c>
      <c r="E21" t="s">
        <v>65</v>
      </c>
      <c r="F21" t="s">
        <v>69</v>
      </c>
      <c r="G21" s="2">
        <v>0.37152777777777773</v>
      </c>
      <c r="H21">
        <v>7135000</v>
      </c>
      <c r="I21" t="s">
        <v>497</v>
      </c>
    </row>
    <row r="22" spans="1:9" x14ac:dyDescent="0.25">
      <c r="A22" s="1">
        <v>2019</v>
      </c>
      <c r="B22" t="s">
        <v>29</v>
      </c>
      <c r="E22" t="s">
        <v>69</v>
      </c>
      <c r="F22" t="s">
        <v>62</v>
      </c>
    </row>
    <row r="23" spans="1:9" x14ac:dyDescent="0.25">
      <c r="A23" s="1">
        <v>2019</v>
      </c>
      <c r="B23" t="s">
        <v>29</v>
      </c>
      <c r="E23" t="s">
        <v>62</v>
      </c>
    </row>
    <row r="24" spans="1:9" x14ac:dyDescent="0.25">
      <c r="A24" s="1">
        <v>2019</v>
      </c>
      <c r="B24" t="s">
        <v>29</v>
      </c>
      <c r="C24">
        <v>6</v>
      </c>
      <c r="D24" t="s">
        <v>303</v>
      </c>
      <c r="E24" t="s">
        <v>70</v>
      </c>
      <c r="F24" t="s">
        <v>62</v>
      </c>
      <c r="G24" s="2">
        <v>0.18402777777777779</v>
      </c>
      <c r="H24">
        <v>7127647</v>
      </c>
      <c r="I24" t="s">
        <v>497</v>
      </c>
    </row>
    <row r="25" spans="1:9" x14ac:dyDescent="0.25">
      <c r="A25" s="1">
        <v>2019</v>
      </c>
      <c r="B25" t="s">
        <v>29</v>
      </c>
      <c r="E25" t="s">
        <v>62</v>
      </c>
    </row>
    <row r="26" spans="1:9" x14ac:dyDescent="0.25">
      <c r="A26" s="1">
        <v>2019</v>
      </c>
      <c r="B26" t="s">
        <v>29</v>
      </c>
      <c r="E26" t="s">
        <v>65</v>
      </c>
    </row>
    <row r="27" spans="1:9" x14ac:dyDescent="0.25">
      <c r="A27" s="1">
        <v>2019</v>
      </c>
      <c r="B27" t="s">
        <v>29</v>
      </c>
      <c r="C27">
        <v>7</v>
      </c>
      <c r="D27" t="s">
        <v>304</v>
      </c>
      <c r="E27" t="s">
        <v>71</v>
      </c>
      <c r="F27" t="s">
        <v>66</v>
      </c>
      <c r="G27" s="2">
        <v>0.24305555555555555</v>
      </c>
      <c r="H27" t="s">
        <v>503</v>
      </c>
    </row>
    <row r="28" spans="1:9" x14ac:dyDescent="0.25">
      <c r="A28" s="1">
        <v>2019</v>
      </c>
      <c r="B28" t="s">
        <v>29</v>
      </c>
      <c r="E28" t="s">
        <v>66</v>
      </c>
    </row>
    <row r="29" spans="1:9" x14ac:dyDescent="0.25">
      <c r="A29" s="1">
        <v>2019</v>
      </c>
      <c r="B29" t="s">
        <v>29</v>
      </c>
      <c r="E29" t="s">
        <v>72</v>
      </c>
    </row>
    <row r="30" spans="1:9" x14ac:dyDescent="0.25">
      <c r="A30" s="1">
        <v>2019</v>
      </c>
      <c r="B30" t="s">
        <v>29</v>
      </c>
      <c r="E30" t="s">
        <v>73</v>
      </c>
    </row>
    <row r="31" spans="1:9" x14ac:dyDescent="0.25">
      <c r="A31" s="1">
        <v>2019</v>
      </c>
      <c r="B31" t="s">
        <v>29</v>
      </c>
      <c r="C31">
        <v>8</v>
      </c>
      <c r="D31" t="s">
        <v>305</v>
      </c>
      <c r="E31" t="s">
        <v>74</v>
      </c>
      <c r="F31" t="s">
        <v>75</v>
      </c>
      <c r="G31" s="2">
        <v>0.19999999999999998</v>
      </c>
      <c r="H31">
        <v>7134995</v>
      </c>
      <c r="I31" t="s">
        <v>501</v>
      </c>
    </row>
    <row r="32" spans="1:9" x14ac:dyDescent="0.25">
      <c r="A32" s="1">
        <v>2019</v>
      </c>
      <c r="B32" t="s">
        <v>29</v>
      </c>
      <c r="E32" t="s">
        <v>62</v>
      </c>
    </row>
    <row r="33" spans="1:9" x14ac:dyDescent="0.25">
      <c r="A33" s="1">
        <v>2019</v>
      </c>
      <c r="B33" t="s">
        <v>29</v>
      </c>
      <c r="E33" t="s">
        <v>65</v>
      </c>
    </row>
    <row r="34" spans="1:9" x14ac:dyDescent="0.25">
      <c r="A34" s="1">
        <v>2019</v>
      </c>
      <c r="B34" t="s">
        <v>29</v>
      </c>
      <c r="C34">
        <v>9</v>
      </c>
      <c r="D34" t="s">
        <v>306</v>
      </c>
      <c r="E34" t="s">
        <v>76</v>
      </c>
      <c r="F34" t="s">
        <v>76</v>
      </c>
      <c r="G34" s="2">
        <v>0.20208333333333331</v>
      </c>
      <c r="H34">
        <v>7134999</v>
      </c>
      <c r="I34" t="s">
        <v>498</v>
      </c>
    </row>
    <row r="35" spans="1:9" x14ac:dyDescent="0.25">
      <c r="A35" s="1">
        <v>2019</v>
      </c>
      <c r="B35" t="s">
        <v>29</v>
      </c>
      <c r="E35" t="s">
        <v>77</v>
      </c>
    </row>
    <row r="36" spans="1:9" x14ac:dyDescent="0.25">
      <c r="A36" s="1">
        <v>2019</v>
      </c>
      <c r="B36" t="s">
        <v>29</v>
      </c>
      <c r="C36">
        <v>10</v>
      </c>
      <c r="D36" t="s">
        <v>307</v>
      </c>
      <c r="E36" t="s">
        <v>71</v>
      </c>
      <c r="F36" t="s">
        <v>483</v>
      </c>
      <c r="G36" s="2">
        <v>0.26250000000000001</v>
      </c>
      <c r="H36">
        <v>7135001</v>
      </c>
      <c r="I36" t="s">
        <v>499</v>
      </c>
    </row>
    <row r="37" spans="1:9" x14ac:dyDescent="0.25">
      <c r="A37" s="1">
        <v>2019</v>
      </c>
      <c r="B37" t="s">
        <v>29</v>
      </c>
      <c r="C37">
        <v>11</v>
      </c>
      <c r="D37" t="s">
        <v>308</v>
      </c>
      <c r="E37" t="s">
        <v>64</v>
      </c>
      <c r="F37" t="s">
        <v>78</v>
      </c>
      <c r="G37" s="2">
        <v>0.16666666666666666</v>
      </c>
      <c r="H37">
        <v>7134994</v>
      </c>
      <c r="I37" t="s">
        <v>502</v>
      </c>
    </row>
    <row r="38" spans="1:9" x14ac:dyDescent="0.25">
      <c r="A38" s="1">
        <v>2019</v>
      </c>
      <c r="B38" t="s">
        <v>29</v>
      </c>
      <c r="E38" t="s">
        <v>71</v>
      </c>
    </row>
    <row r="39" spans="1:9" x14ac:dyDescent="0.25">
      <c r="A39" s="1">
        <v>2019</v>
      </c>
      <c r="B39" t="s">
        <v>29</v>
      </c>
      <c r="C39">
        <v>12</v>
      </c>
      <c r="D39" t="s">
        <v>309</v>
      </c>
      <c r="E39" t="s">
        <v>66</v>
      </c>
      <c r="F39" t="s">
        <v>67</v>
      </c>
      <c r="G39" s="2">
        <v>0.27569444444444446</v>
      </c>
      <c r="H39">
        <v>7134997</v>
      </c>
      <c r="I39" t="s">
        <v>502</v>
      </c>
    </row>
    <row r="40" spans="1:9" x14ac:dyDescent="0.25">
      <c r="A40" s="1">
        <v>2019</v>
      </c>
      <c r="B40" t="s">
        <v>29</v>
      </c>
      <c r="E40" t="s">
        <v>67</v>
      </c>
    </row>
    <row r="41" spans="1:9" x14ac:dyDescent="0.25">
      <c r="A41" s="1">
        <v>2019</v>
      </c>
      <c r="B41" t="s">
        <v>29</v>
      </c>
      <c r="C41">
        <v>13</v>
      </c>
      <c r="D41" t="s">
        <v>310</v>
      </c>
      <c r="E41" t="s">
        <v>66</v>
      </c>
      <c r="F41" t="s">
        <v>68</v>
      </c>
      <c r="G41" s="2">
        <v>0.17361111111111113</v>
      </c>
      <c r="H41">
        <v>7134996</v>
      </c>
      <c r="I41" t="s">
        <v>499</v>
      </c>
    </row>
    <row r="42" spans="1:9" x14ac:dyDescent="0.25">
      <c r="A42" s="1">
        <v>2019</v>
      </c>
      <c r="B42" t="s">
        <v>29</v>
      </c>
      <c r="E42" t="s">
        <v>67</v>
      </c>
      <c r="F42" t="s">
        <v>62</v>
      </c>
    </row>
    <row r="43" spans="1:9" x14ac:dyDescent="0.25">
      <c r="A43" s="1">
        <v>2019</v>
      </c>
      <c r="B43" t="s">
        <v>29</v>
      </c>
      <c r="C43">
        <v>14</v>
      </c>
      <c r="D43" t="s">
        <v>311</v>
      </c>
      <c r="E43" t="s">
        <v>70</v>
      </c>
      <c r="F43" t="s">
        <v>62</v>
      </c>
      <c r="G43" s="2">
        <v>0.20208333333333331</v>
      </c>
      <c r="H43">
        <v>7127647</v>
      </c>
      <c r="I43" t="s">
        <v>497</v>
      </c>
    </row>
    <row r="44" spans="1:9" x14ac:dyDescent="0.25">
      <c r="A44" s="1">
        <v>2019</v>
      </c>
      <c r="B44" t="s">
        <v>29</v>
      </c>
      <c r="E44" t="s">
        <v>62</v>
      </c>
    </row>
    <row r="45" spans="1:9" x14ac:dyDescent="0.25">
      <c r="A45" s="1">
        <v>2019</v>
      </c>
      <c r="B45" t="s">
        <v>29</v>
      </c>
      <c r="E45" t="s">
        <v>65</v>
      </c>
    </row>
    <row r="46" spans="1:9" x14ac:dyDescent="0.25">
      <c r="A46" s="1">
        <v>2019</v>
      </c>
      <c r="B46" t="s">
        <v>29</v>
      </c>
      <c r="C46">
        <v>15</v>
      </c>
      <c r="D46" t="s">
        <v>312</v>
      </c>
      <c r="E46" t="s">
        <v>65</v>
      </c>
      <c r="F46" t="s">
        <v>69</v>
      </c>
      <c r="G46" s="2">
        <v>0.36249999999999999</v>
      </c>
      <c r="H46">
        <v>7135000</v>
      </c>
      <c r="I46" t="s">
        <v>497</v>
      </c>
    </row>
    <row r="47" spans="1:9" x14ac:dyDescent="0.25">
      <c r="A47" s="1">
        <v>2019</v>
      </c>
      <c r="B47" t="s">
        <v>29</v>
      </c>
      <c r="E47" t="s">
        <v>69</v>
      </c>
      <c r="F47" t="s">
        <v>62</v>
      </c>
    </row>
    <row r="48" spans="1:9" x14ac:dyDescent="0.25">
      <c r="A48" s="1">
        <v>2019</v>
      </c>
      <c r="B48" t="s">
        <v>29</v>
      </c>
      <c r="E48" t="s">
        <v>62</v>
      </c>
    </row>
    <row r="49" spans="1:9" x14ac:dyDescent="0.25">
      <c r="A49" s="1">
        <v>2018</v>
      </c>
      <c r="B49" t="s">
        <v>25</v>
      </c>
      <c r="C49">
        <v>1</v>
      </c>
      <c r="D49" t="s">
        <v>313</v>
      </c>
      <c r="E49" t="s">
        <v>67</v>
      </c>
      <c r="F49" t="s">
        <v>62</v>
      </c>
      <c r="G49" s="2">
        <v>0.22847222222222222</v>
      </c>
      <c r="H49">
        <v>7102401</v>
      </c>
      <c r="I49" t="s">
        <v>501</v>
      </c>
    </row>
    <row r="50" spans="1:9" x14ac:dyDescent="0.25">
      <c r="A50" s="1">
        <v>2018</v>
      </c>
      <c r="B50" t="s">
        <v>25</v>
      </c>
      <c r="E50" t="s">
        <v>66</v>
      </c>
      <c r="F50" t="s">
        <v>67</v>
      </c>
    </row>
    <row r="51" spans="1:9" x14ac:dyDescent="0.25">
      <c r="A51" s="1">
        <v>2018</v>
      </c>
      <c r="B51" t="s">
        <v>25</v>
      </c>
      <c r="C51">
        <v>2</v>
      </c>
      <c r="D51" t="s">
        <v>314</v>
      </c>
      <c r="E51" t="s">
        <v>65</v>
      </c>
      <c r="F51" t="s">
        <v>73</v>
      </c>
      <c r="G51" s="2">
        <v>0.14097222222222222</v>
      </c>
      <c r="H51">
        <v>7102402</v>
      </c>
      <c r="I51" t="s">
        <v>500</v>
      </c>
    </row>
    <row r="52" spans="1:9" x14ac:dyDescent="0.25">
      <c r="A52" s="1">
        <v>2018</v>
      </c>
      <c r="B52" t="s">
        <v>25</v>
      </c>
      <c r="E52" t="s">
        <v>69</v>
      </c>
      <c r="F52" t="s">
        <v>83</v>
      </c>
    </row>
    <row r="53" spans="1:9" x14ac:dyDescent="0.25">
      <c r="A53" s="1">
        <v>2018</v>
      </c>
      <c r="B53" t="s">
        <v>25</v>
      </c>
      <c r="E53" t="s">
        <v>77</v>
      </c>
    </row>
    <row r="54" spans="1:9" x14ac:dyDescent="0.25">
      <c r="A54" s="1">
        <v>2018</v>
      </c>
      <c r="B54" t="s">
        <v>25</v>
      </c>
      <c r="E54" t="s">
        <v>99</v>
      </c>
    </row>
    <row r="55" spans="1:9" x14ac:dyDescent="0.25">
      <c r="A55" s="1">
        <v>2018</v>
      </c>
      <c r="B55" t="s">
        <v>25</v>
      </c>
      <c r="C55">
        <v>3</v>
      </c>
      <c r="D55" t="s">
        <v>315</v>
      </c>
      <c r="E55" t="s">
        <v>62</v>
      </c>
      <c r="F55" t="s">
        <v>62</v>
      </c>
      <c r="G55" s="2">
        <v>0.18888888888888888</v>
      </c>
      <c r="H55">
        <v>7102399</v>
      </c>
      <c r="I55" t="s">
        <v>497</v>
      </c>
    </row>
    <row r="56" spans="1:9" x14ac:dyDescent="0.25">
      <c r="A56" s="1">
        <v>2018</v>
      </c>
      <c r="B56" t="s">
        <v>25</v>
      </c>
      <c r="E56" t="s">
        <v>84</v>
      </c>
      <c r="F56" t="s">
        <v>75</v>
      </c>
    </row>
    <row r="57" spans="1:9" x14ac:dyDescent="0.25">
      <c r="A57" s="1">
        <v>2018</v>
      </c>
      <c r="B57" t="s">
        <v>25</v>
      </c>
      <c r="E57" t="s">
        <v>74</v>
      </c>
    </row>
    <row r="58" spans="1:9" x14ac:dyDescent="0.25">
      <c r="A58" s="1">
        <v>2018</v>
      </c>
      <c r="B58" t="s">
        <v>25</v>
      </c>
      <c r="C58">
        <v>4</v>
      </c>
      <c r="D58" t="s">
        <v>316</v>
      </c>
      <c r="E58" t="s">
        <v>73</v>
      </c>
      <c r="F58" t="s">
        <v>68</v>
      </c>
      <c r="G58" s="2">
        <v>0.18819444444444444</v>
      </c>
      <c r="H58">
        <v>7102394</v>
      </c>
      <c r="I58" t="s">
        <v>501</v>
      </c>
    </row>
    <row r="59" spans="1:9" x14ac:dyDescent="0.25">
      <c r="A59" s="1">
        <v>2018</v>
      </c>
      <c r="B59" t="s">
        <v>25</v>
      </c>
      <c r="E59" t="s">
        <v>85</v>
      </c>
    </row>
    <row r="60" spans="1:9" x14ac:dyDescent="0.25">
      <c r="A60" s="1">
        <v>2018</v>
      </c>
      <c r="B60" t="s">
        <v>25</v>
      </c>
      <c r="C60">
        <v>5</v>
      </c>
      <c r="D60" t="s">
        <v>317</v>
      </c>
      <c r="E60" t="s">
        <v>86</v>
      </c>
      <c r="F60" t="s">
        <v>66</v>
      </c>
      <c r="G60" s="2">
        <v>0.33819444444444446</v>
      </c>
      <c r="H60">
        <v>7102393</v>
      </c>
      <c r="I60" t="s">
        <v>499</v>
      </c>
    </row>
    <row r="61" spans="1:9" x14ac:dyDescent="0.25">
      <c r="A61" s="1">
        <v>2018</v>
      </c>
      <c r="B61" t="s">
        <v>25</v>
      </c>
      <c r="E61" t="s">
        <v>87</v>
      </c>
    </row>
    <row r="62" spans="1:9" x14ac:dyDescent="0.25">
      <c r="A62" s="1">
        <v>2018</v>
      </c>
      <c r="B62" t="s">
        <v>25</v>
      </c>
      <c r="C62">
        <v>6</v>
      </c>
      <c r="D62" t="s">
        <v>318</v>
      </c>
      <c r="E62" t="s">
        <v>88</v>
      </c>
      <c r="F62" t="s">
        <v>75</v>
      </c>
      <c r="G62" s="2">
        <v>0.23263888888888887</v>
      </c>
      <c r="H62">
        <v>7102398</v>
      </c>
      <c r="I62" t="s">
        <v>504</v>
      </c>
    </row>
    <row r="63" spans="1:9" x14ac:dyDescent="0.25">
      <c r="A63" s="1">
        <v>2018</v>
      </c>
      <c r="B63" t="s">
        <v>25</v>
      </c>
      <c r="E63" t="s">
        <v>64</v>
      </c>
      <c r="F63" t="s">
        <v>89</v>
      </c>
    </row>
    <row r="64" spans="1:9" x14ac:dyDescent="0.25">
      <c r="A64" s="1">
        <v>2018</v>
      </c>
      <c r="B64" t="s">
        <v>25</v>
      </c>
      <c r="C64">
        <v>7</v>
      </c>
      <c r="D64" t="s">
        <v>319</v>
      </c>
      <c r="E64" t="s">
        <v>90</v>
      </c>
      <c r="F64" t="s">
        <v>91</v>
      </c>
      <c r="G64" s="2">
        <v>0.22152777777777777</v>
      </c>
      <c r="H64">
        <v>7102400</v>
      </c>
      <c r="I64" t="s">
        <v>499</v>
      </c>
    </row>
    <row r="65" spans="1:9" x14ac:dyDescent="0.25">
      <c r="A65" s="1">
        <v>2018</v>
      </c>
      <c r="B65" t="s">
        <v>25</v>
      </c>
      <c r="E65" t="s">
        <v>84</v>
      </c>
    </row>
    <row r="66" spans="1:9" x14ac:dyDescent="0.25">
      <c r="A66" s="1">
        <v>2018</v>
      </c>
      <c r="B66" t="s">
        <v>25</v>
      </c>
      <c r="E66" t="s">
        <v>71</v>
      </c>
    </row>
    <row r="67" spans="1:9" x14ac:dyDescent="0.25">
      <c r="A67" s="1">
        <v>2018</v>
      </c>
      <c r="B67" t="s">
        <v>25</v>
      </c>
      <c r="C67">
        <v>8</v>
      </c>
      <c r="D67" t="s">
        <v>320</v>
      </c>
      <c r="E67" t="s">
        <v>92</v>
      </c>
      <c r="F67" t="s">
        <v>69</v>
      </c>
      <c r="G67" s="2">
        <v>0.29652777777777778</v>
      </c>
      <c r="H67">
        <v>7102403</v>
      </c>
      <c r="I67" t="s">
        <v>501</v>
      </c>
    </row>
    <row r="68" spans="1:9" x14ac:dyDescent="0.25">
      <c r="A68" s="1">
        <v>2018</v>
      </c>
      <c r="B68" t="s">
        <v>25</v>
      </c>
      <c r="E68" t="s">
        <v>76</v>
      </c>
      <c r="F68" t="s">
        <v>62</v>
      </c>
    </row>
    <row r="69" spans="1:9" x14ac:dyDescent="0.25">
      <c r="A69" s="1">
        <v>2018</v>
      </c>
      <c r="B69" t="s">
        <v>25</v>
      </c>
      <c r="E69" t="s">
        <v>63</v>
      </c>
    </row>
    <row r="70" spans="1:9" x14ac:dyDescent="0.25">
      <c r="A70" s="1">
        <v>2018</v>
      </c>
      <c r="B70" t="s">
        <v>25</v>
      </c>
      <c r="C70">
        <v>9</v>
      </c>
      <c r="D70" t="s">
        <v>321</v>
      </c>
      <c r="E70" t="s">
        <v>84</v>
      </c>
      <c r="F70" t="s">
        <v>94</v>
      </c>
      <c r="G70" s="2">
        <v>0.15416666666666667</v>
      </c>
      <c r="H70">
        <v>7102395</v>
      </c>
      <c r="I70" t="s">
        <v>500</v>
      </c>
    </row>
    <row r="71" spans="1:9" x14ac:dyDescent="0.25">
      <c r="A71" s="1">
        <v>2018</v>
      </c>
      <c r="B71" t="s">
        <v>25</v>
      </c>
      <c r="E71" t="s">
        <v>93</v>
      </c>
      <c r="F71" t="s">
        <v>67</v>
      </c>
    </row>
    <row r="72" spans="1:9" x14ac:dyDescent="0.25">
      <c r="A72" s="1">
        <v>2018</v>
      </c>
      <c r="B72" t="s">
        <v>25</v>
      </c>
      <c r="C72">
        <v>10</v>
      </c>
      <c r="D72" t="s">
        <v>322</v>
      </c>
      <c r="E72" t="s">
        <v>86</v>
      </c>
      <c r="F72" t="s">
        <v>64</v>
      </c>
      <c r="G72" s="2">
        <v>0.25555555555555559</v>
      </c>
      <c r="H72">
        <v>7102396</v>
      </c>
      <c r="I72" t="s">
        <v>501</v>
      </c>
    </row>
    <row r="73" spans="1:9" x14ac:dyDescent="0.25">
      <c r="A73" s="1">
        <v>2018</v>
      </c>
      <c r="B73" t="s">
        <v>25</v>
      </c>
      <c r="E73" t="s">
        <v>95</v>
      </c>
    </row>
    <row r="74" spans="1:9" x14ac:dyDescent="0.25">
      <c r="A74" s="1">
        <v>2018</v>
      </c>
      <c r="B74" t="s">
        <v>25</v>
      </c>
      <c r="E74" t="s">
        <v>96</v>
      </c>
    </row>
    <row r="75" spans="1:9" x14ac:dyDescent="0.25">
      <c r="A75" s="1">
        <v>2018</v>
      </c>
      <c r="B75" t="s">
        <v>25</v>
      </c>
      <c r="E75" t="s">
        <v>87</v>
      </c>
    </row>
    <row r="76" spans="1:9" x14ac:dyDescent="0.25">
      <c r="A76" s="1">
        <v>2018</v>
      </c>
      <c r="B76" t="s">
        <v>25</v>
      </c>
      <c r="C76">
        <v>11</v>
      </c>
      <c r="D76" t="s">
        <v>323</v>
      </c>
      <c r="E76" t="s">
        <v>90</v>
      </c>
      <c r="F76" t="s">
        <v>62</v>
      </c>
      <c r="G76" s="2">
        <v>0.34027777777777773</v>
      </c>
      <c r="H76">
        <v>7102397</v>
      </c>
      <c r="I76" t="s">
        <v>505</v>
      </c>
    </row>
    <row r="77" spans="1:9" x14ac:dyDescent="0.25">
      <c r="A77" s="1">
        <v>2018</v>
      </c>
      <c r="B77" t="s">
        <v>25</v>
      </c>
      <c r="C77">
        <v>12</v>
      </c>
      <c r="D77" t="s">
        <v>324</v>
      </c>
      <c r="E77" t="s">
        <v>97</v>
      </c>
      <c r="F77" t="s">
        <v>91</v>
      </c>
      <c r="G77" s="2">
        <v>0.29444444444444445</v>
      </c>
      <c r="H77">
        <v>7084123</v>
      </c>
      <c r="I77" t="s">
        <v>501</v>
      </c>
    </row>
    <row r="78" spans="1:9" x14ac:dyDescent="0.25">
      <c r="A78" s="1">
        <v>2018</v>
      </c>
      <c r="B78" t="s">
        <v>25</v>
      </c>
      <c r="E78" t="s">
        <v>98</v>
      </c>
    </row>
    <row r="79" spans="1:9" x14ac:dyDescent="0.25">
      <c r="A79" s="1">
        <v>2018</v>
      </c>
      <c r="B79" t="s">
        <v>25</v>
      </c>
      <c r="E79" t="s">
        <v>96</v>
      </c>
    </row>
    <row r="80" spans="1:9" x14ac:dyDescent="0.25">
      <c r="A80" s="1">
        <v>2017</v>
      </c>
      <c r="B80" t="s">
        <v>32</v>
      </c>
      <c r="C80">
        <v>1</v>
      </c>
      <c r="D80" t="s">
        <v>325</v>
      </c>
      <c r="E80" t="s">
        <v>100</v>
      </c>
      <c r="F80" t="s">
        <v>69</v>
      </c>
      <c r="G80" s="2">
        <v>0.15625</v>
      </c>
    </row>
    <row r="81" spans="1:7" x14ac:dyDescent="0.25">
      <c r="A81" s="1">
        <v>2017</v>
      </c>
      <c r="B81" t="s">
        <v>32</v>
      </c>
      <c r="E81" t="s">
        <v>101</v>
      </c>
    </row>
    <row r="82" spans="1:7" x14ac:dyDescent="0.25">
      <c r="A82" s="1">
        <v>2017</v>
      </c>
      <c r="B82" t="s">
        <v>32</v>
      </c>
      <c r="C82">
        <v>2</v>
      </c>
      <c r="D82" t="s">
        <v>326</v>
      </c>
      <c r="E82" t="s">
        <v>102</v>
      </c>
      <c r="F82" t="s">
        <v>91</v>
      </c>
      <c r="G82" s="2">
        <v>0.21041666666666667</v>
      </c>
    </row>
    <row r="83" spans="1:7" x14ac:dyDescent="0.25">
      <c r="A83" s="1">
        <v>2017</v>
      </c>
      <c r="B83" t="s">
        <v>32</v>
      </c>
      <c r="E83" t="s">
        <v>103</v>
      </c>
    </row>
    <row r="84" spans="1:7" x14ac:dyDescent="0.25">
      <c r="A84" s="1">
        <v>2017</v>
      </c>
      <c r="B84" t="s">
        <v>32</v>
      </c>
      <c r="E84" t="s">
        <v>104</v>
      </c>
    </row>
    <row r="85" spans="1:7" x14ac:dyDescent="0.25">
      <c r="A85" s="1">
        <v>2017</v>
      </c>
      <c r="B85" t="s">
        <v>32</v>
      </c>
      <c r="E85" t="s">
        <v>105</v>
      </c>
    </row>
    <row r="86" spans="1:7" x14ac:dyDescent="0.25">
      <c r="A86" s="1">
        <v>2017</v>
      </c>
      <c r="B86" t="s">
        <v>32</v>
      </c>
      <c r="C86">
        <v>3</v>
      </c>
      <c r="D86" t="s">
        <v>327</v>
      </c>
      <c r="E86" t="s">
        <v>74</v>
      </c>
      <c r="F86" t="s">
        <v>64</v>
      </c>
      <c r="G86" s="2">
        <v>0.19027777777777777</v>
      </c>
    </row>
    <row r="87" spans="1:7" x14ac:dyDescent="0.25">
      <c r="A87" s="1">
        <v>2017</v>
      </c>
      <c r="B87" t="s">
        <v>32</v>
      </c>
      <c r="E87" t="s">
        <v>77</v>
      </c>
    </row>
    <row r="88" spans="1:7" x14ac:dyDescent="0.25">
      <c r="A88" s="1">
        <v>2017</v>
      </c>
      <c r="B88" t="s">
        <v>32</v>
      </c>
      <c r="E88" t="s">
        <v>64</v>
      </c>
    </row>
    <row r="89" spans="1:7" x14ac:dyDescent="0.25">
      <c r="A89" s="1">
        <v>2017</v>
      </c>
      <c r="B89" t="s">
        <v>32</v>
      </c>
      <c r="C89">
        <v>4</v>
      </c>
      <c r="D89" t="s">
        <v>328</v>
      </c>
      <c r="E89" t="s">
        <v>65</v>
      </c>
      <c r="F89" t="s">
        <v>62</v>
      </c>
      <c r="G89" s="2">
        <v>0.25833333333333336</v>
      </c>
    </row>
    <row r="90" spans="1:7" x14ac:dyDescent="0.25">
      <c r="A90" s="1">
        <v>2017</v>
      </c>
      <c r="B90" t="s">
        <v>32</v>
      </c>
      <c r="E90" t="s">
        <v>62</v>
      </c>
      <c r="F90" t="s">
        <v>73</v>
      </c>
    </row>
    <row r="91" spans="1:7" x14ac:dyDescent="0.25">
      <c r="A91" s="1">
        <v>2017</v>
      </c>
      <c r="B91" t="s">
        <v>32</v>
      </c>
      <c r="C91">
        <v>5</v>
      </c>
      <c r="D91" t="s">
        <v>329</v>
      </c>
      <c r="E91" t="s">
        <v>106</v>
      </c>
      <c r="F91" t="s">
        <v>83</v>
      </c>
      <c r="G91" s="2">
        <v>0.17916666666666667</v>
      </c>
    </row>
    <row r="92" spans="1:7" x14ac:dyDescent="0.25">
      <c r="A92" s="1">
        <v>2017</v>
      </c>
      <c r="B92" t="s">
        <v>32</v>
      </c>
      <c r="E92" t="s">
        <v>107</v>
      </c>
    </row>
    <row r="93" spans="1:7" x14ac:dyDescent="0.25">
      <c r="A93" s="1">
        <v>2017</v>
      </c>
      <c r="B93" t="s">
        <v>32</v>
      </c>
      <c r="C93">
        <v>6</v>
      </c>
      <c r="D93" t="s">
        <v>330</v>
      </c>
      <c r="E93" t="s">
        <v>108</v>
      </c>
      <c r="F93" t="s">
        <v>89</v>
      </c>
      <c r="G93" s="2">
        <v>0.1673611111111111</v>
      </c>
    </row>
    <row r="94" spans="1:7" x14ac:dyDescent="0.25">
      <c r="A94" s="1">
        <v>2017</v>
      </c>
      <c r="B94" t="s">
        <v>32</v>
      </c>
      <c r="E94" t="s">
        <v>109</v>
      </c>
    </row>
    <row r="95" spans="1:7" x14ac:dyDescent="0.25">
      <c r="A95" s="1">
        <v>2017</v>
      </c>
      <c r="B95" t="s">
        <v>32</v>
      </c>
      <c r="E95" t="s">
        <v>110</v>
      </c>
    </row>
    <row r="96" spans="1:7" x14ac:dyDescent="0.25">
      <c r="A96" s="1">
        <v>2017</v>
      </c>
      <c r="B96" t="s">
        <v>32</v>
      </c>
      <c r="E96" t="s">
        <v>88</v>
      </c>
    </row>
    <row r="97" spans="1:7" x14ac:dyDescent="0.25">
      <c r="A97" s="1">
        <v>2017</v>
      </c>
      <c r="B97" t="s">
        <v>32</v>
      </c>
      <c r="E97" t="s">
        <v>64</v>
      </c>
    </row>
    <row r="98" spans="1:7" x14ac:dyDescent="0.25">
      <c r="A98" s="1">
        <v>2017</v>
      </c>
      <c r="B98" t="s">
        <v>32</v>
      </c>
      <c r="C98">
        <v>7</v>
      </c>
      <c r="D98" t="s">
        <v>331</v>
      </c>
      <c r="E98" t="s">
        <v>69</v>
      </c>
      <c r="F98" t="s">
        <v>112</v>
      </c>
      <c r="G98" s="2">
        <v>0.16388888888888889</v>
      </c>
    </row>
    <row r="99" spans="1:7" x14ac:dyDescent="0.25">
      <c r="A99" s="1">
        <v>2017</v>
      </c>
      <c r="B99" t="s">
        <v>32</v>
      </c>
      <c r="E99" t="s">
        <v>111</v>
      </c>
    </row>
    <row r="100" spans="1:7" x14ac:dyDescent="0.25">
      <c r="A100" s="1">
        <v>2017</v>
      </c>
      <c r="B100" t="s">
        <v>32</v>
      </c>
      <c r="E100" t="s">
        <v>112</v>
      </c>
    </row>
    <row r="101" spans="1:7" x14ac:dyDescent="0.25">
      <c r="A101" s="1">
        <v>2017</v>
      </c>
      <c r="B101" t="s">
        <v>32</v>
      </c>
      <c r="C101">
        <v>8</v>
      </c>
      <c r="D101" t="s">
        <v>332</v>
      </c>
      <c r="E101" t="s">
        <v>113</v>
      </c>
      <c r="F101" t="s">
        <v>116</v>
      </c>
      <c r="G101" s="2">
        <v>0.29583333333333334</v>
      </c>
    </row>
    <row r="102" spans="1:7" x14ac:dyDescent="0.25">
      <c r="A102" s="1">
        <v>2017</v>
      </c>
      <c r="B102" t="s">
        <v>32</v>
      </c>
      <c r="E102" t="s">
        <v>114</v>
      </c>
      <c r="F102" t="s">
        <v>94</v>
      </c>
    </row>
    <row r="103" spans="1:7" x14ac:dyDescent="0.25">
      <c r="A103" s="1">
        <v>2017</v>
      </c>
      <c r="B103" t="s">
        <v>32</v>
      </c>
      <c r="E103" t="s">
        <v>85</v>
      </c>
      <c r="F103" t="s">
        <v>117</v>
      </c>
    </row>
    <row r="104" spans="1:7" x14ac:dyDescent="0.25">
      <c r="A104" s="1">
        <v>2017</v>
      </c>
      <c r="B104" t="s">
        <v>32</v>
      </c>
      <c r="E104" t="s">
        <v>115</v>
      </c>
    </row>
    <row r="105" spans="1:7" x14ac:dyDescent="0.25">
      <c r="A105" s="1">
        <v>2017</v>
      </c>
      <c r="B105" t="s">
        <v>32</v>
      </c>
      <c r="C105">
        <v>9</v>
      </c>
      <c r="D105" t="s">
        <v>333</v>
      </c>
      <c r="E105" t="s">
        <v>118</v>
      </c>
      <c r="F105" t="s">
        <v>73</v>
      </c>
      <c r="G105" s="2">
        <v>0.30624999999999997</v>
      </c>
    </row>
    <row r="106" spans="1:7" x14ac:dyDescent="0.25">
      <c r="A106" s="1">
        <v>2017</v>
      </c>
      <c r="B106" t="s">
        <v>32</v>
      </c>
      <c r="E106" t="s">
        <v>96</v>
      </c>
    </row>
    <row r="107" spans="1:7" x14ac:dyDescent="0.25">
      <c r="A107" s="1">
        <v>2017</v>
      </c>
      <c r="B107" t="s">
        <v>32</v>
      </c>
      <c r="E107" t="s">
        <v>72</v>
      </c>
    </row>
    <row r="108" spans="1:7" x14ac:dyDescent="0.25">
      <c r="A108" s="1">
        <v>2017</v>
      </c>
      <c r="B108" t="s">
        <v>32</v>
      </c>
      <c r="C108">
        <v>10</v>
      </c>
      <c r="D108" t="s">
        <v>334</v>
      </c>
      <c r="E108" t="s">
        <v>119</v>
      </c>
      <c r="G108" s="2">
        <v>4.7916666666666663E-2</v>
      </c>
    </row>
    <row r="109" spans="1:7" x14ac:dyDescent="0.25">
      <c r="A109" s="1">
        <v>2017</v>
      </c>
      <c r="B109" t="s">
        <v>32</v>
      </c>
      <c r="C109">
        <v>11</v>
      </c>
      <c r="D109" t="s">
        <v>335</v>
      </c>
      <c r="E109" t="s">
        <v>120</v>
      </c>
      <c r="F109" t="s">
        <v>91</v>
      </c>
      <c r="G109" s="2">
        <v>0.23194444444444443</v>
      </c>
    </row>
    <row r="110" spans="1:7" x14ac:dyDescent="0.25">
      <c r="A110" s="1">
        <v>2017</v>
      </c>
      <c r="B110" t="s">
        <v>32</v>
      </c>
      <c r="E110" t="s">
        <v>121</v>
      </c>
    </row>
    <row r="111" spans="1:7" x14ac:dyDescent="0.25">
      <c r="A111" s="1">
        <v>2017</v>
      </c>
      <c r="B111" t="s">
        <v>32</v>
      </c>
      <c r="E111" t="s">
        <v>122</v>
      </c>
    </row>
    <row r="112" spans="1:7" x14ac:dyDescent="0.25">
      <c r="A112" s="1">
        <v>2017</v>
      </c>
      <c r="B112" t="s">
        <v>32</v>
      </c>
      <c r="C112">
        <v>12</v>
      </c>
      <c r="D112" t="s">
        <v>336</v>
      </c>
      <c r="E112" t="s">
        <v>123</v>
      </c>
      <c r="F112" t="s">
        <v>85</v>
      </c>
      <c r="G112" s="2">
        <v>0.17361111111111113</v>
      </c>
    </row>
    <row r="113" spans="1:9" x14ac:dyDescent="0.25">
      <c r="A113" s="1">
        <v>2017</v>
      </c>
      <c r="B113" t="s">
        <v>32</v>
      </c>
      <c r="E113" t="s">
        <v>95</v>
      </c>
    </row>
    <row r="114" spans="1:9" x14ac:dyDescent="0.25">
      <c r="A114" s="1">
        <v>2016</v>
      </c>
      <c r="B114" t="s">
        <v>24</v>
      </c>
      <c r="C114">
        <v>1</v>
      </c>
      <c r="D114" t="s">
        <v>337</v>
      </c>
      <c r="E114" t="s">
        <v>134</v>
      </c>
      <c r="F114" t="s">
        <v>483</v>
      </c>
      <c r="G114" s="2">
        <v>0.28194444444444444</v>
      </c>
      <c r="H114">
        <v>7068430</v>
      </c>
      <c r="I114" t="s">
        <v>504</v>
      </c>
    </row>
    <row r="115" spans="1:9" x14ac:dyDescent="0.25">
      <c r="A115" s="1">
        <v>2016</v>
      </c>
      <c r="B115" t="s">
        <v>24</v>
      </c>
      <c r="C115">
        <v>2</v>
      </c>
      <c r="D115" t="s">
        <v>338</v>
      </c>
      <c r="E115" t="s">
        <v>124</v>
      </c>
      <c r="F115" t="s">
        <v>68</v>
      </c>
      <c r="G115" s="2">
        <v>0.22152777777777777</v>
      </c>
      <c r="H115">
        <v>7068428</v>
      </c>
      <c r="I115" t="s">
        <v>504</v>
      </c>
    </row>
    <row r="116" spans="1:9" x14ac:dyDescent="0.25">
      <c r="A116" s="1">
        <v>2016</v>
      </c>
      <c r="B116" t="s">
        <v>24</v>
      </c>
      <c r="E116" t="s">
        <v>67</v>
      </c>
    </row>
    <row r="117" spans="1:9" x14ac:dyDescent="0.25">
      <c r="A117" s="1">
        <v>2016</v>
      </c>
      <c r="B117" t="s">
        <v>24</v>
      </c>
      <c r="E117" t="s">
        <v>125</v>
      </c>
    </row>
    <row r="118" spans="1:9" x14ac:dyDescent="0.25">
      <c r="A118" s="1">
        <v>2016</v>
      </c>
      <c r="B118" t="s">
        <v>24</v>
      </c>
      <c r="C118">
        <v>3</v>
      </c>
      <c r="D118" t="s">
        <v>339</v>
      </c>
      <c r="E118" t="s">
        <v>73</v>
      </c>
      <c r="F118" t="s">
        <v>126</v>
      </c>
      <c r="G118" s="2">
        <v>0.19166666666666665</v>
      </c>
      <c r="H118">
        <v>7068422</v>
      </c>
      <c r="I118" t="s">
        <v>500</v>
      </c>
    </row>
    <row r="119" spans="1:9" x14ac:dyDescent="0.25">
      <c r="A119" s="1">
        <v>2016</v>
      </c>
      <c r="B119" t="s">
        <v>24</v>
      </c>
      <c r="E119" t="s">
        <v>97</v>
      </c>
    </row>
    <row r="120" spans="1:9" x14ac:dyDescent="0.25">
      <c r="A120" s="1">
        <v>2016</v>
      </c>
      <c r="B120" t="s">
        <v>24</v>
      </c>
      <c r="E120" t="s">
        <v>65</v>
      </c>
    </row>
    <row r="121" spans="1:9" x14ac:dyDescent="0.25">
      <c r="A121" s="1">
        <v>2016</v>
      </c>
      <c r="B121" t="s">
        <v>24</v>
      </c>
      <c r="E121" t="s">
        <v>86</v>
      </c>
    </row>
    <row r="122" spans="1:9" x14ac:dyDescent="0.25">
      <c r="A122" s="1">
        <v>2016</v>
      </c>
      <c r="B122" t="s">
        <v>24</v>
      </c>
      <c r="E122" t="s">
        <v>85</v>
      </c>
    </row>
    <row r="123" spans="1:9" x14ac:dyDescent="0.25">
      <c r="A123" s="1">
        <v>2016</v>
      </c>
      <c r="B123" t="s">
        <v>24</v>
      </c>
      <c r="C123">
        <v>4</v>
      </c>
      <c r="D123" t="s">
        <v>340</v>
      </c>
      <c r="E123" t="s">
        <v>63</v>
      </c>
      <c r="F123" t="s">
        <v>64</v>
      </c>
      <c r="G123" s="2">
        <v>0.20625000000000002</v>
      </c>
      <c r="H123">
        <v>7068421</v>
      </c>
      <c r="I123" t="s">
        <v>498</v>
      </c>
    </row>
    <row r="124" spans="1:9" x14ac:dyDescent="0.25">
      <c r="A124" s="1">
        <v>2016</v>
      </c>
      <c r="B124" t="s">
        <v>24</v>
      </c>
      <c r="E124" t="s">
        <v>127</v>
      </c>
    </row>
    <row r="125" spans="1:9" x14ac:dyDescent="0.25">
      <c r="A125" s="1">
        <v>2016</v>
      </c>
      <c r="B125" t="s">
        <v>24</v>
      </c>
      <c r="E125" t="s">
        <v>64</v>
      </c>
    </row>
    <row r="126" spans="1:9" x14ac:dyDescent="0.25">
      <c r="A126" s="1">
        <v>2016</v>
      </c>
      <c r="B126" t="s">
        <v>24</v>
      </c>
      <c r="C126">
        <v>5</v>
      </c>
      <c r="D126" t="s">
        <v>341</v>
      </c>
      <c r="E126" t="s">
        <v>66</v>
      </c>
      <c r="F126" t="s">
        <v>62</v>
      </c>
      <c r="G126" s="2">
        <v>0.23680555555555557</v>
      </c>
      <c r="H126">
        <v>7068424</v>
      </c>
      <c r="I126" t="s">
        <v>497</v>
      </c>
    </row>
    <row r="127" spans="1:9" x14ac:dyDescent="0.25">
      <c r="A127" s="1">
        <v>2016</v>
      </c>
      <c r="B127" t="s">
        <v>24</v>
      </c>
      <c r="E127" t="s">
        <v>62</v>
      </c>
    </row>
    <row r="128" spans="1:9" x14ac:dyDescent="0.25">
      <c r="A128" s="1">
        <v>2016</v>
      </c>
      <c r="B128" t="s">
        <v>24</v>
      </c>
      <c r="C128">
        <v>6</v>
      </c>
      <c r="D128" t="s">
        <v>342</v>
      </c>
      <c r="E128" t="s">
        <v>128</v>
      </c>
      <c r="F128" t="s">
        <v>75</v>
      </c>
      <c r="G128" s="2">
        <v>0.29166666666666669</v>
      </c>
      <c r="H128">
        <v>7068426</v>
      </c>
      <c r="I128" t="s">
        <v>500</v>
      </c>
    </row>
    <row r="129" spans="1:9" x14ac:dyDescent="0.25">
      <c r="A129" s="1">
        <v>2016</v>
      </c>
      <c r="B129" t="s">
        <v>24</v>
      </c>
      <c r="C129">
        <v>7</v>
      </c>
      <c r="D129" t="s">
        <v>24</v>
      </c>
      <c r="E129" t="s">
        <v>118</v>
      </c>
      <c r="F129" t="s">
        <v>73</v>
      </c>
      <c r="G129" s="2">
        <v>0.31319444444444444</v>
      </c>
      <c r="H129">
        <v>7069096</v>
      </c>
      <c r="I129" t="s">
        <v>500</v>
      </c>
    </row>
    <row r="130" spans="1:9" x14ac:dyDescent="0.25">
      <c r="A130" s="1">
        <v>2016</v>
      </c>
      <c r="B130" t="s">
        <v>24</v>
      </c>
      <c r="E130" t="s">
        <v>129</v>
      </c>
    </row>
    <row r="131" spans="1:9" x14ac:dyDescent="0.25">
      <c r="A131" s="1">
        <v>2016</v>
      </c>
      <c r="B131" t="s">
        <v>24</v>
      </c>
      <c r="E131" t="s">
        <v>97</v>
      </c>
    </row>
    <row r="132" spans="1:9" x14ac:dyDescent="0.25">
      <c r="A132" s="1">
        <v>2016</v>
      </c>
      <c r="B132" t="s">
        <v>24</v>
      </c>
      <c r="E132" t="s">
        <v>90</v>
      </c>
    </row>
    <row r="133" spans="1:9" x14ac:dyDescent="0.25">
      <c r="A133" s="1">
        <v>2016</v>
      </c>
      <c r="B133" t="s">
        <v>24</v>
      </c>
      <c r="E133" t="s">
        <v>84</v>
      </c>
    </row>
    <row r="134" spans="1:9" x14ac:dyDescent="0.25">
      <c r="A134" s="1">
        <v>2016</v>
      </c>
      <c r="B134" t="s">
        <v>24</v>
      </c>
      <c r="E134" t="s">
        <v>130</v>
      </c>
    </row>
    <row r="135" spans="1:9" x14ac:dyDescent="0.25">
      <c r="A135" s="1">
        <v>2016</v>
      </c>
      <c r="B135" t="s">
        <v>24</v>
      </c>
      <c r="C135">
        <v>8</v>
      </c>
      <c r="D135" t="s">
        <v>343</v>
      </c>
      <c r="E135" t="s">
        <v>87</v>
      </c>
      <c r="F135" t="s">
        <v>66</v>
      </c>
      <c r="G135" s="2">
        <v>0.21319444444444444</v>
      </c>
      <c r="H135">
        <v>7068425</v>
      </c>
      <c r="I135" t="s">
        <v>501</v>
      </c>
    </row>
    <row r="136" spans="1:9" x14ac:dyDescent="0.25">
      <c r="A136" s="1">
        <v>2016</v>
      </c>
      <c r="B136" t="s">
        <v>24</v>
      </c>
      <c r="E136" t="s">
        <v>69</v>
      </c>
    </row>
    <row r="137" spans="1:9" x14ac:dyDescent="0.25">
      <c r="A137" s="1">
        <v>2016</v>
      </c>
      <c r="B137" t="s">
        <v>24</v>
      </c>
      <c r="C137">
        <v>9</v>
      </c>
      <c r="D137" t="s">
        <v>344</v>
      </c>
      <c r="E137" t="s">
        <v>88</v>
      </c>
      <c r="F137" t="s">
        <v>91</v>
      </c>
      <c r="G137" s="2">
        <v>0.29583333333333334</v>
      </c>
      <c r="H137">
        <v>7057218</v>
      </c>
      <c r="I137" t="s">
        <v>504</v>
      </c>
    </row>
    <row r="138" spans="1:9" x14ac:dyDescent="0.25">
      <c r="A138" s="1">
        <v>2016</v>
      </c>
      <c r="B138" t="s">
        <v>24</v>
      </c>
      <c r="E138" t="s">
        <v>97</v>
      </c>
    </row>
    <row r="139" spans="1:9" x14ac:dyDescent="0.25">
      <c r="A139" s="1">
        <v>2016</v>
      </c>
      <c r="B139" t="s">
        <v>24</v>
      </c>
      <c r="C139">
        <v>10</v>
      </c>
      <c r="D139" t="s">
        <v>345</v>
      </c>
      <c r="E139" t="s">
        <v>131</v>
      </c>
      <c r="F139" t="s">
        <v>132</v>
      </c>
      <c r="G139" s="2">
        <v>0.18680555555555556</v>
      </c>
      <c r="H139">
        <v>7069097</v>
      </c>
      <c r="I139" t="s">
        <v>510</v>
      </c>
    </row>
    <row r="140" spans="1:9" x14ac:dyDescent="0.25">
      <c r="A140" s="1">
        <v>2016</v>
      </c>
      <c r="B140" t="s">
        <v>24</v>
      </c>
      <c r="C140">
        <v>11</v>
      </c>
      <c r="D140" t="s">
        <v>346</v>
      </c>
      <c r="E140" t="s">
        <v>84</v>
      </c>
      <c r="F140" t="s">
        <v>67</v>
      </c>
      <c r="G140" s="2">
        <v>0.20277777777777781</v>
      </c>
      <c r="H140">
        <v>7068427</v>
      </c>
      <c r="I140" t="s">
        <v>501</v>
      </c>
    </row>
    <row r="141" spans="1:9" x14ac:dyDescent="0.25">
      <c r="A141" s="1">
        <v>2016</v>
      </c>
      <c r="B141" t="s">
        <v>24</v>
      </c>
      <c r="E141" t="s">
        <v>86</v>
      </c>
      <c r="F141" t="s">
        <v>133</v>
      </c>
    </row>
    <row r="142" spans="1:9" x14ac:dyDescent="0.25">
      <c r="A142" s="1">
        <v>2016</v>
      </c>
      <c r="B142" t="s">
        <v>24</v>
      </c>
      <c r="C142">
        <v>12</v>
      </c>
      <c r="D142" t="s">
        <v>347</v>
      </c>
      <c r="E142" t="s">
        <v>97</v>
      </c>
      <c r="F142" t="s">
        <v>71</v>
      </c>
      <c r="G142" s="2">
        <v>0.36041666666666666</v>
      </c>
      <c r="H142">
        <v>7068429</v>
      </c>
      <c r="I142" t="s">
        <v>502</v>
      </c>
    </row>
    <row r="143" spans="1:9" x14ac:dyDescent="0.25">
      <c r="A143" s="1">
        <v>2016</v>
      </c>
      <c r="B143" t="s">
        <v>24</v>
      </c>
      <c r="E143" t="s">
        <v>87</v>
      </c>
    </row>
    <row r="144" spans="1:9" x14ac:dyDescent="0.25">
      <c r="A144" s="1">
        <v>2015</v>
      </c>
      <c r="B144" t="s">
        <v>23</v>
      </c>
      <c r="C144">
        <v>1</v>
      </c>
      <c r="D144" t="s">
        <v>348</v>
      </c>
      <c r="E144" t="s">
        <v>64</v>
      </c>
      <c r="F144" t="s">
        <v>85</v>
      </c>
      <c r="G144" s="2">
        <v>0.22847222222222222</v>
      </c>
      <c r="H144">
        <v>7037787</v>
      </c>
      <c r="I144" t="s">
        <v>500</v>
      </c>
    </row>
    <row r="145" spans="1:9" x14ac:dyDescent="0.25">
      <c r="A145" s="1">
        <v>2015</v>
      </c>
      <c r="B145" t="s">
        <v>23</v>
      </c>
      <c r="E145" t="s">
        <v>85</v>
      </c>
    </row>
    <row r="146" spans="1:9" x14ac:dyDescent="0.25">
      <c r="A146" s="1">
        <v>2015</v>
      </c>
      <c r="B146" t="s">
        <v>23</v>
      </c>
      <c r="E146" t="s">
        <v>135</v>
      </c>
    </row>
    <row r="147" spans="1:9" x14ac:dyDescent="0.25">
      <c r="A147" s="1">
        <v>2015</v>
      </c>
      <c r="B147" t="s">
        <v>23</v>
      </c>
      <c r="C147">
        <v>2</v>
      </c>
      <c r="D147" t="s">
        <v>349</v>
      </c>
      <c r="E147" t="s">
        <v>62</v>
      </c>
      <c r="F147" t="s">
        <v>136</v>
      </c>
      <c r="G147" s="2">
        <v>0.20555555555555557</v>
      </c>
      <c r="H147">
        <v>7047249</v>
      </c>
      <c r="I147" t="s">
        <v>498</v>
      </c>
    </row>
    <row r="148" spans="1:9" x14ac:dyDescent="0.25">
      <c r="A148" s="1">
        <v>2015</v>
      </c>
      <c r="B148" t="s">
        <v>23</v>
      </c>
      <c r="E148" t="s">
        <v>65</v>
      </c>
    </row>
    <row r="149" spans="1:9" x14ac:dyDescent="0.25">
      <c r="A149" s="1">
        <v>2015</v>
      </c>
      <c r="B149" t="s">
        <v>23</v>
      </c>
      <c r="E149" t="s">
        <v>136</v>
      </c>
    </row>
    <row r="150" spans="1:9" x14ac:dyDescent="0.25">
      <c r="A150" s="1">
        <v>2015</v>
      </c>
      <c r="B150" t="s">
        <v>23</v>
      </c>
      <c r="C150">
        <v>3</v>
      </c>
      <c r="D150" t="s">
        <v>350</v>
      </c>
      <c r="E150" t="s">
        <v>71</v>
      </c>
      <c r="F150" t="s">
        <v>69</v>
      </c>
      <c r="G150" s="2">
        <v>0.2590277777777778</v>
      </c>
      <c r="H150">
        <v>7047247</v>
      </c>
      <c r="I150" t="s">
        <v>500</v>
      </c>
    </row>
    <row r="151" spans="1:9" x14ac:dyDescent="0.25">
      <c r="A151" s="1">
        <v>2015</v>
      </c>
      <c r="B151" t="s">
        <v>23</v>
      </c>
      <c r="E151" t="s">
        <v>69</v>
      </c>
    </row>
    <row r="152" spans="1:9" x14ac:dyDescent="0.25">
      <c r="A152" s="1">
        <v>2015</v>
      </c>
      <c r="B152" t="s">
        <v>23</v>
      </c>
      <c r="E152" t="s">
        <v>72</v>
      </c>
    </row>
    <row r="153" spans="1:9" x14ac:dyDescent="0.25">
      <c r="A153" s="1">
        <v>2015</v>
      </c>
      <c r="B153" t="s">
        <v>23</v>
      </c>
      <c r="C153">
        <v>4</v>
      </c>
      <c r="D153" t="s">
        <v>351</v>
      </c>
      <c r="E153" t="s">
        <v>73</v>
      </c>
      <c r="F153" t="s">
        <v>73</v>
      </c>
      <c r="G153" s="2">
        <v>0.31180555555555556</v>
      </c>
      <c r="H153">
        <v>7047254</v>
      </c>
      <c r="I153" t="s">
        <v>500</v>
      </c>
    </row>
    <row r="154" spans="1:9" x14ac:dyDescent="0.25">
      <c r="A154" s="1">
        <v>2015</v>
      </c>
      <c r="B154" t="s">
        <v>23</v>
      </c>
      <c r="E154" t="s">
        <v>95</v>
      </c>
      <c r="F154" t="s">
        <v>76</v>
      </c>
    </row>
    <row r="155" spans="1:9" x14ac:dyDescent="0.25">
      <c r="A155" s="1">
        <v>2015</v>
      </c>
      <c r="B155" t="s">
        <v>23</v>
      </c>
      <c r="C155">
        <v>5</v>
      </c>
      <c r="D155" t="s">
        <v>352</v>
      </c>
      <c r="E155" t="s">
        <v>92</v>
      </c>
      <c r="F155" t="s">
        <v>91</v>
      </c>
      <c r="G155" s="2">
        <v>0.23333333333333331</v>
      </c>
      <c r="H155">
        <v>7047252</v>
      </c>
      <c r="I155" t="s">
        <v>500</v>
      </c>
    </row>
    <row r="156" spans="1:9" x14ac:dyDescent="0.25">
      <c r="A156" s="1">
        <v>2015</v>
      </c>
      <c r="B156" t="s">
        <v>23</v>
      </c>
      <c r="E156" t="s">
        <v>90</v>
      </c>
    </row>
    <row r="157" spans="1:9" x14ac:dyDescent="0.25">
      <c r="A157" s="1">
        <v>2015</v>
      </c>
      <c r="B157" t="s">
        <v>23</v>
      </c>
      <c r="E157" t="s">
        <v>84</v>
      </c>
    </row>
    <row r="158" spans="1:9" x14ac:dyDescent="0.25">
      <c r="A158" s="1">
        <v>2015</v>
      </c>
      <c r="B158" t="s">
        <v>23</v>
      </c>
      <c r="E158" t="s">
        <v>91</v>
      </c>
    </row>
    <row r="159" spans="1:9" x14ac:dyDescent="0.25">
      <c r="A159" s="1">
        <v>2015</v>
      </c>
      <c r="B159" t="s">
        <v>23</v>
      </c>
      <c r="C159">
        <v>6</v>
      </c>
      <c r="D159" t="s">
        <v>353</v>
      </c>
      <c r="E159" t="s">
        <v>74</v>
      </c>
      <c r="F159" t="s">
        <v>71</v>
      </c>
      <c r="G159" s="2">
        <v>0.28958333333333336</v>
      </c>
      <c r="H159">
        <v>7047248</v>
      </c>
      <c r="I159" t="s">
        <v>504</v>
      </c>
    </row>
    <row r="160" spans="1:9" x14ac:dyDescent="0.25">
      <c r="A160" s="1">
        <v>2015</v>
      </c>
      <c r="B160" t="s">
        <v>23</v>
      </c>
      <c r="E160" t="s">
        <v>97</v>
      </c>
    </row>
    <row r="161" spans="1:9" x14ac:dyDescent="0.25">
      <c r="A161" s="1">
        <v>2015</v>
      </c>
      <c r="B161" t="s">
        <v>23</v>
      </c>
      <c r="C161">
        <v>7</v>
      </c>
      <c r="D161" t="s">
        <v>354</v>
      </c>
      <c r="E161" t="s">
        <v>129</v>
      </c>
      <c r="F161" t="s">
        <v>75</v>
      </c>
      <c r="G161" s="2">
        <v>0.31111111111111112</v>
      </c>
      <c r="H161">
        <v>7037921</v>
      </c>
      <c r="I161" t="s">
        <v>511</v>
      </c>
    </row>
    <row r="162" spans="1:9" x14ac:dyDescent="0.25">
      <c r="A162" s="1">
        <v>2015</v>
      </c>
      <c r="B162" t="s">
        <v>23</v>
      </c>
      <c r="E162" t="s">
        <v>97</v>
      </c>
    </row>
    <row r="163" spans="1:9" x14ac:dyDescent="0.25">
      <c r="A163" s="1">
        <v>2015</v>
      </c>
      <c r="B163" t="s">
        <v>23</v>
      </c>
      <c r="C163">
        <v>8</v>
      </c>
      <c r="D163" t="s">
        <v>355</v>
      </c>
      <c r="E163" t="s">
        <v>90</v>
      </c>
      <c r="F163" t="s">
        <v>68</v>
      </c>
      <c r="G163" s="2">
        <v>0.2076388888888889</v>
      </c>
      <c r="H163">
        <v>7047253</v>
      </c>
      <c r="I163" t="s">
        <v>501</v>
      </c>
    </row>
    <row r="164" spans="1:9" x14ac:dyDescent="0.25">
      <c r="A164" s="1">
        <v>2015</v>
      </c>
      <c r="B164" t="s">
        <v>23</v>
      </c>
      <c r="E164" t="s">
        <v>84</v>
      </c>
      <c r="F164" t="s">
        <v>67</v>
      </c>
    </row>
    <row r="165" spans="1:9" x14ac:dyDescent="0.25">
      <c r="A165" s="1">
        <v>2015</v>
      </c>
      <c r="B165" t="s">
        <v>23</v>
      </c>
      <c r="E165" t="s">
        <v>67</v>
      </c>
    </row>
    <row r="166" spans="1:9" x14ac:dyDescent="0.25">
      <c r="A166" s="1">
        <v>2015</v>
      </c>
      <c r="B166" t="s">
        <v>23</v>
      </c>
      <c r="E166" t="s">
        <v>137</v>
      </c>
    </row>
    <row r="167" spans="1:9" x14ac:dyDescent="0.25">
      <c r="A167" s="1">
        <v>2015</v>
      </c>
      <c r="B167" t="s">
        <v>23</v>
      </c>
      <c r="C167">
        <v>9</v>
      </c>
      <c r="D167" t="s">
        <v>356</v>
      </c>
      <c r="E167" t="s">
        <v>124</v>
      </c>
      <c r="F167" t="s">
        <v>139</v>
      </c>
      <c r="G167" s="2">
        <v>0.18055555555555555</v>
      </c>
      <c r="H167">
        <v>7047251</v>
      </c>
      <c r="I167" t="s">
        <v>500</v>
      </c>
    </row>
    <row r="168" spans="1:9" x14ac:dyDescent="0.25">
      <c r="A168" s="1">
        <v>2015</v>
      </c>
      <c r="B168" t="s">
        <v>23</v>
      </c>
      <c r="E168" t="s">
        <v>138</v>
      </c>
    </row>
    <row r="169" spans="1:9" x14ac:dyDescent="0.25">
      <c r="A169" s="1">
        <v>2015</v>
      </c>
      <c r="B169" t="s">
        <v>23</v>
      </c>
      <c r="E169" t="s">
        <v>125</v>
      </c>
    </row>
    <row r="170" spans="1:9" x14ac:dyDescent="0.25">
      <c r="A170" s="1">
        <v>2015</v>
      </c>
      <c r="B170" t="s">
        <v>23</v>
      </c>
      <c r="C170">
        <v>10</v>
      </c>
      <c r="D170" t="s">
        <v>357</v>
      </c>
      <c r="E170" t="s">
        <v>66</v>
      </c>
      <c r="F170" t="s">
        <v>66</v>
      </c>
      <c r="G170" s="2">
        <v>0.1673611111111111</v>
      </c>
      <c r="H170">
        <v>7037224</v>
      </c>
      <c r="I170" t="s">
        <v>505</v>
      </c>
    </row>
    <row r="171" spans="1:9" x14ac:dyDescent="0.25">
      <c r="A171" s="1">
        <v>2015</v>
      </c>
      <c r="B171" t="s">
        <v>23</v>
      </c>
      <c r="E171" t="s">
        <v>140</v>
      </c>
      <c r="F171" t="s">
        <v>133</v>
      </c>
    </row>
    <row r="172" spans="1:9" x14ac:dyDescent="0.25">
      <c r="A172" s="1">
        <v>2015</v>
      </c>
      <c r="B172" t="s">
        <v>23</v>
      </c>
      <c r="E172" t="s">
        <v>86</v>
      </c>
    </row>
    <row r="173" spans="1:9" x14ac:dyDescent="0.25">
      <c r="A173" s="1">
        <v>2015</v>
      </c>
      <c r="B173" t="s">
        <v>23</v>
      </c>
      <c r="C173">
        <v>11</v>
      </c>
      <c r="D173" t="s">
        <v>358</v>
      </c>
      <c r="E173" t="s">
        <v>88</v>
      </c>
      <c r="F173" t="s">
        <v>74</v>
      </c>
      <c r="G173" s="2">
        <v>0.23472222222222219</v>
      </c>
      <c r="H173">
        <v>7047250</v>
      </c>
      <c r="I173" t="s">
        <v>501</v>
      </c>
    </row>
    <row r="174" spans="1:9" x14ac:dyDescent="0.25">
      <c r="A174" s="1">
        <v>2015</v>
      </c>
      <c r="B174" t="s">
        <v>23</v>
      </c>
      <c r="C174">
        <v>12</v>
      </c>
      <c r="D174" t="s">
        <v>359</v>
      </c>
      <c r="E174" t="s">
        <v>96</v>
      </c>
      <c r="F174" t="s">
        <v>94</v>
      </c>
      <c r="G174" s="2">
        <v>0.19166666666666665</v>
      </c>
      <c r="H174">
        <v>7047255</v>
      </c>
      <c r="I174" t="s">
        <v>500</v>
      </c>
    </row>
    <row r="175" spans="1:9" x14ac:dyDescent="0.25">
      <c r="A175" s="1">
        <v>2015</v>
      </c>
      <c r="B175" t="s">
        <v>23</v>
      </c>
      <c r="E175" t="s">
        <v>76</v>
      </c>
    </row>
    <row r="176" spans="1:9" x14ac:dyDescent="0.25">
      <c r="A176" s="1">
        <v>2014</v>
      </c>
      <c r="B176" t="s">
        <v>22</v>
      </c>
      <c r="C176">
        <v>1</v>
      </c>
      <c r="D176" t="s">
        <v>360</v>
      </c>
      <c r="E176" t="s">
        <v>141</v>
      </c>
      <c r="F176" t="s">
        <v>73</v>
      </c>
      <c r="G176" s="2">
        <v>0.27847222222222223</v>
      </c>
      <c r="H176">
        <v>7018338</v>
      </c>
      <c r="I176" t="s">
        <v>500</v>
      </c>
    </row>
    <row r="177" spans="1:9" x14ac:dyDescent="0.25">
      <c r="A177" s="1">
        <v>2014</v>
      </c>
      <c r="B177" t="s">
        <v>22</v>
      </c>
      <c r="C177">
        <v>2</v>
      </c>
      <c r="D177" t="s">
        <v>361</v>
      </c>
      <c r="E177" t="s">
        <v>142</v>
      </c>
      <c r="F177" t="s">
        <v>68</v>
      </c>
      <c r="G177" s="2">
        <v>0.20972222222222223</v>
      </c>
      <c r="H177">
        <v>7019977</v>
      </c>
      <c r="I177" t="s">
        <v>502</v>
      </c>
    </row>
    <row r="178" spans="1:9" x14ac:dyDescent="0.25">
      <c r="A178" s="1">
        <v>2014</v>
      </c>
      <c r="B178" t="s">
        <v>22</v>
      </c>
      <c r="C178">
        <v>3</v>
      </c>
      <c r="D178" t="s">
        <v>362</v>
      </c>
      <c r="E178" t="s">
        <v>150</v>
      </c>
      <c r="F178" t="s">
        <v>91</v>
      </c>
      <c r="G178" s="2">
        <v>0.39444444444444443</v>
      </c>
      <c r="H178">
        <v>7019974</v>
      </c>
      <c r="I178" t="s">
        <v>498</v>
      </c>
    </row>
    <row r="179" spans="1:9" x14ac:dyDescent="0.25">
      <c r="A179" s="1">
        <v>2014</v>
      </c>
      <c r="B179" t="s">
        <v>22</v>
      </c>
      <c r="C179">
        <v>4</v>
      </c>
      <c r="D179" t="s">
        <v>22</v>
      </c>
      <c r="E179" t="s">
        <v>143</v>
      </c>
      <c r="F179" t="s">
        <v>71</v>
      </c>
      <c r="G179" s="2">
        <v>0.30555555555555552</v>
      </c>
      <c r="H179">
        <v>7019979</v>
      </c>
      <c r="I179" t="s">
        <v>498</v>
      </c>
    </row>
    <row r="180" spans="1:9" x14ac:dyDescent="0.25">
      <c r="A180" s="1">
        <v>2014</v>
      </c>
      <c r="B180" t="s">
        <v>22</v>
      </c>
      <c r="C180">
        <v>5</v>
      </c>
      <c r="D180" t="s">
        <v>363</v>
      </c>
      <c r="E180" t="s">
        <v>151</v>
      </c>
      <c r="F180" t="s">
        <v>85</v>
      </c>
      <c r="G180" s="2">
        <v>0.26180555555555557</v>
      </c>
      <c r="H180">
        <v>7019976</v>
      </c>
      <c r="I180" t="s">
        <v>498</v>
      </c>
    </row>
    <row r="181" spans="1:9" x14ac:dyDescent="0.25">
      <c r="A181" s="1">
        <v>2014</v>
      </c>
      <c r="B181" t="s">
        <v>22</v>
      </c>
      <c r="C181">
        <v>6</v>
      </c>
      <c r="D181" t="s">
        <v>364</v>
      </c>
      <c r="E181" t="s">
        <v>144</v>
      </c>
      <c r="F181" t="s">
        <v>67</v>
      </c>
      <c r="G181" s="2">
        <v>0.17569444444444446</v>
      </c>
      <c r="H181">
        <v>7018337</v>
      </c>
      <c r="I181" t="s">
        <v>501</v>
      </c>
    </row>
    <row r="182" spans="1:9" x14ac:dyDescent="0.25">
      <c r="A182" s="1">
        <v>2014</v>
      </c>
      <c r="B182" t="s">
        <v>22</v>
      </c>
      <c r="C182">
        <v>7</v>
      </c>
      <c r="D182" t="s">
        <v>365</v>
      </c>
      <c r="E182" t="s">
        <v>145</v>
      </c>
      <c r="F182" t="s">
        <v>76</v>
      </c>
      <c r="G182" s="2">
        <v>0.24305555555555555</v>
      </c>
      <c r="H182">
        <v>7004672</v>
      </c>
      <c r="I182" t="s">
        <v>501</v>
      </c>
    </row>
    <row r="183" spans="1:9" x14ac:dyDescent="0.25">
      <c r="A183" s="1">
        <v>2014</v>
      </c>
      <c r="B183" t="s">
        <v>22</v>
      </c>
      <c r="C183">
        <v>8</v>
      </c>
      <c r="D183" t="s">
        <v>366</v>
      </c>
      <c r="E183" t="s">
        <v>146</v>
      </c>
      <c r="F183" t="s">
        <v>66</v>
      </c>
      <c r="G183" s="2">
        <v>0.17430555555555557</v>
      </c>
      <c r="H183">
        <v>7019975</v>
      </c>
      <c r="I183" t="s">
        <v>504</v>
      </c>
    </row>
    <row r="184" spans="1:9" x14ac:dyDescent="0.25">
      <c r="A184" s="1">
        <v>2014</v>
      </c>
      <c r="B184" t="s">
        <v>22</v>
      </c>
      <c r="C184">
        <v>9</v>
      </c>
      <c r="D184" t="s">
        <v>367</v>
      </c>
      <c r="E184" t="s">
        <v>147</v>
      </c>
      <c r="F184" t="s">
        <v>67</v>
      </c>
      <c r="G184" s="2">
        <v>0.2076388888888889</v>
      </c>
      <c r="H184">
        <v>7019978</v>
      </c>
      <c r="I184" t="s">
        <v>498</v>
      </c>
    </row>
    <row r="185" spans="1:9" x14ac:dyDescent="0.25">
      <c r="A185" s="1">
        <v>2014</v>
      </c>
      <c r="B185" t="s">
        <v>22</v>
      </c>
      <c r="C185">
        <v>10</v>
      </c>
      <c r="D185" t="s">
        <v>368</v>
      </c>
      <c r="E185" t="s">
        <v>148</v>
      </c>
      <c r="F185" t="s">
        <v>133</v>
      </c>
      <c r="G185" s="2">
        <v>0.19583333333333333</v>
      </c>
      <c r="H185">
        <v>7019980</v>
      </c>
      <c r="I185" t="s">
        <v>502</v>
      </c>
    </row>
    <row r="186" spans="1:9" x14ac:dyDescent="0.25">
      <c r="A186" s="1">
        <v>2014</v>
      </c>
      <c r="B186" t="s">
        <v>22</v>
      </c>
      <c r="C186">
        <v>11</v>
      </c>
      <c r="D186" t="s">
        <v>369</v>
      </c>
      <c r="E186" t="s">
        <v>149</v>
      </c>
      <c r="F186" t="s">
        <v>75</v>
      </c>
      <c r="G186" s="2">
        <v>0.28263888888888888</v>
      </c>
      <c r="H186">
        <v>6428853</v>
      </c>
      <c r="I186" t="s">
        <v>497</v>
      </c>
    </row>
    <row r="187" spans="1:9" x14ac:dyDescent="0.25">
      <c r="A187" s="1">
        <v>2013</v>
      </c>
      <c r="B187" t="s">
        <v>21</v>
      </c>
      <c r="C187">
        <v>1</v>
      </c>
      <c r="D187" t="s">
        <v>370</v>
      </c>
      <c r="E187" t="s">
        <v>152</v>
      </c>
      <c r="F187" t="s">
        <v>153</v>
      </c>
      <c r="G187" s="2">
        <v>0.16527777777777777</v>
      </c>
      <c r="H187">
        <v>6513328</v>
      </c>
      <c r="I187" t="s">
        <v>497</v>
      </c>
    </row>
    <row r="188" spans="1:9" x14ac:dyDescent="0.25">
      <c r="A188" s="1">
        <v>2013</v>
      </c>
      <c r="B188" t="s">
        <v>21</v>
      </c>
      <c r="C188">
        <v>2</v>
      </c>
      <c r="D188" t="s">
        <v>371</v>
      </c>
      <c r="E188" t="s">
        <v>154</v>
      </c>
      <c r="F188" t="s">
        <v>71</v>
      </c>
      <c r="G188" s="2">
        <v>0.21597222222222223</v>
      </c>
      <c r="H188">
        <v>6513335</v>
      </c>
      <c r="I188" t="s">
        <v>501</v>
      </c>
    </row>
    <row r="189" spans="1:9" x14ac:dyDescent="0.25">
      <c r="A189" s="1">
        <v>2013</v>
      </c>
      <c r="B189" t="s">
        <v>21</v>
      </c>
      <c r="C189">
        <v>3</v>
      </c>
      <c r="D189" t="s">
        <v>372</v>
      </c>
      <c r="E189" t="s">
        <v>155</v>
      </c>
      <c r="F189" t="s">
        <v>67</v>
      </c>
      <c r="G189" s="2">
        <v>0.22222222222222221</v>
      </c>
      <c r="H189">
        <v>6514035</v>
      </c>
      <c r="I189" t="s">
        <v>504</v>
      </c>
    </row>
    <row r="190" spans="1:9" x14ac:dyDescent="0.25">
      <c r="A190" s="1">
        <v>2013</v>
      </c>
      <c r="B190" t="s">
        <v>21</v>
      </c>
      <c r="C190">
        <v>4</v>
      </c>
      <c r="D190" t="s">
        <v>373</v>
      </c>
      <c r="E190" t="s">
        <v>66</v>
      </c>
      <c r="F190" t="s">
        <v>66</v>
      </c>
      <c r="G190" s="2">
        <v>0.22569444444444445</v>
      </c>
      <c r="H190">
        <v>6514042</v>
      </c>
      <c r="I190" t="s">
        <v>504</v>
      </c>
    </row>
    <row r="191" spans="1:9" x14ac:dyDescent="0.25">
      <c r="A191" s="1">
        <v>2013</v>
      </c>
      <c r="B191" t="s">
        <v>21</v>
      </c>
      <c r="C191">
        <v>5</v>
      </c>
      <c r="D191" t="s">
        <v>21</v>
      </c>
      <c r="E191" t="s">
        <v>156</v>
      </c>
      <c r="F191" t="s">
        <v>71</v>
      </c>
      <c r="G191" s="2">
        <v>0.37013888888888885</v>
      </c>
      <c r="H191">
        <v>6514059</v>
      </c>
      <c r="I191" t="s">
        <v>499</v>
      </c>
    </row>
    <row r="192" spans="1:9" x14ac:dyDescent="0.25">
      <c r="A192" s="1">
        <v>2013</v>
      </c>
      <c r="B192" t="s">
        <v>21</v>
      </c>
      <c r="C192">
        <v>6</v>
      </c>
      <c r="D192" t="s">
        <v>374</v>
      </c>
      <c r="E192" t="s">
        <v>157</v>
      </c>
      <c r="F192" t="s">
        <v>68</v>
      </c>
      <c r="G192" s="2">
        <v>0.18402777777777779</v>
      </c>
      <c r="H192">
        <v>6514066</v>
      </c>
      <c r="I192" t="s">
        <v>500</v>
      </c>
    </row>
    <row r="193" spans="1:9" x14ac:dyDescent="0.25">
      <c r="A193" s="1">
        <v>2013</v>
      </c>
      <c r="B193" t="s">
        <v>21</v>
      </c>
      <c r="C193">
        <v>7</v>
      </c>
      <c r="D193" t="s">
        <v>375</v>
      </c>
      <c r="E193" t="s">
        <v>158</v>
      </c>
      <c r="F193" t="s">
        <v>126</v>
      </c>
      <c r="G193" s="2">
        <v>0.18541666666666667</v>
      </c>
      <c r="H193">
        <v>6514073</v>
      </c>
      <c r="I193" t="s">
        <v>504</v>
      </c>
    </row>
    <row r="194" spans="1:9" x14ac:dyDescent="0.25">
      <c r="A194" s="1">
        <v>2013</v>
      </c>
      <c r="B194" t="s">
        <v>21</v>
      </c>
      <c r="C194">
        <v>8</v>
      </c>
      <c r="D194" t="s">
        <v>376</v>
      </c>
      <c r="E194" t="s">
        <v>159</v>
      </c>
      <c r="F194" t="s">
        <v>73</v>
      </c>
      <c r="G194" s="2">
        <v>0.25833333333333336</v>
      </c>
      <c r="H194">
        <v>6514097</v>
      </c>
      <c r="I194" t="s">
        <v>500</v>
      </c>
    </row>
    <row r="195" spans="1:9" x14ac:dyDescent="0.25">
      <c r="A195" s="1">
        <v>2013</v>
      </c>
      <c r="B195" t="s">
        <v>21</v>
      </c>
      <c r="C195">
        <v>9</v>
      </c>
      <c r="D195" t="s">
        <v>377</v>
      </c>
      <c r="E195" t="s">
        <v>160</v>
      </c>
      <c r="F195" t="s">
        <v>161</v>
      </c>
      <c r="G195" s="2">
        <v>0.22222222222222221</v>
      </c>
      <c r="H195">
        <v>6476063</v>
      </c>
      <c r="I195" t="s">
        <v>499</v>
      </c>
    </row>
    <row r="196" spans="1:9" x14ac:dyDescent="0.25">
      <c r="A196" s="1">
        <v>2013</v>
      </c>
      <c r="B196" t="s">
        <v>21</v>
      </c>
      <c r="C196">
        <v>10</v>
      </c>
      <c r="D196" t="s">
        <v>378</v>
      </c>
      <c r="E196" t="s">
        <v>165</v>
      </c>
      <c r="F196" t="s">
        <v>162</v>
      </c>
      <c r="G196" s="2">
        <v>0.24305555555555555</v>
      </c>
      <c r="H196">
        <v>6502229</v>
      </c>
      <c r="I196" t="s">
        <v>504</v>
      </c>
    </row>
    <row r="197" spans="1:9" x14ac:dyDescent="0.25">
      <c r="A197" s="1">
        <v>2013</v>
      </c>
      <c r="B197" t="s">
        <v>21</v>
      </c>
      <c r="C197">
        <v>11</v>
      </c>
      <c r="D197" t="s">
        <v>379</v>
      </c>
      <c r="E197" t="s">
        <v>163</v>
      </c>
      <c r="F197" t="s">
        <v>164</v>
      </c>
      <c r="G197" s="2">
        <v>0.22500000000000001</v>
      </c>
      <c r="H197">
        <v>6514114</v>
      </c>
      <c r="I197" t="s">
        <v>501</v>
      </c>
    </row>
    <row r="198" spans="1:9" x14ac:dyDescent="0.25">
      <c r="A198" s="1">
        <v>2013</v>
      </c>
      <c r="B198" t="s">
        <v>21</v>
      </c>
      <c r="C198">
        <v>12</v>
      </c>
      <c r="D198" t="s">
        <v>380</v>
      </c>
      <c r="E198" t="s">
        <v>146</v>
      </c>
      <c r="F198" t="s">
        <v>66</v>
      </c>
      <c r="G198" s="2">
        <v>0.27083333333333331</v>
      </c>
      <c r="H198">
        <v>6514121</v>
      </c>
      <c r="I198" t="s">
        <v>502</v>
      </c>
    </row>
    <row r="199" spans="1:9" x14ac:dyDescent="0.25">
      <c r="A199" s="1">
        <v>2012</v>
      </c>
      <c r="B199" t="s">
        <v>20</v>
      </c>
      <c r="C199">
        <v>1</v>
      </c>
      <c r="D199" t="s">
        <v>381</v>
      </c>
      <c r="E199" t="s">
        <v>166</v>
      </c>
      <c r="F199" t="s">
        <v>75</v>
      </c>
      <c r="G199" s="2">
        <v>0.17916666666666667</v>
      </c>
    </row>
    <row r="200" spans="1:9" x14ac:dyDescent="0.25">
      <c r="A200" s="1">
        <v>2012</v>
      </c>
      <c r="B200" t="s">
        <v>20</v>
      </c>
      <c r="C200">
        <v>2</v>
      </c>
      <c r="D200" t="s">
        <v>382</v>
      </c>
      <c r="E200" t="s">
        <v>167</v>
      </c>
      <c r="F200" t="s">
        <v>133</v>
      </c>
      <c r="G200" s="2">
        <v>0.21736111111111112</v>
      </c>
    </row>
    <row r="201" spans="1:9" x14ac:dyDescent="0.25">
      <c r="A201" s="1">
        <v>2012</v>
      </c>
      <c r="B201" t="s">
        <v>20</v>
      </c>
      <c r="C201">
        <v>3</v>
      </c>
      <c r="D201" t="s">
        <v>20</v>
      </c>
      <c r="E201" t="s">
        <v>168</v>
      </c>
      <c r="F201" t="s">
        <v>68</v>
      </c>
      <c r="G201" s="2">
        <v>0.28402777777777777</v>
      </c>
    </row>
    <row r="202" spans="1:9" x14ac:dyDescent="0.25">
      <c r="A202" s="1">
        <v>2012</v>
      </c>
      <c r="B202" t="s">
        <v>20</v>
      </c>
      <c r="C202">
        <v>4</v>
      </c>
      <c r="D202" t="s">
        <v>383</v>
      </c>
      <c r="E202" t="s">
        <v>73</v>
      </c>
      <c r="F202" t="s">
        <v>73</v>
      </c>
      <c r="G202" s="2">
        <v>0.24027777777777778</v>
      </c>
    </row>
    <row r="203" spans="1:9" x14ac:dyDescent="0.25">
      <c r="A203" s="1">
        <v>2012</v>
      </c>
      <c r="B203" t="s">
        <v>20</v>
      </c>
      <c r="C203">
        <v>5</v>
      </c>
      <c r="D203" t="s">
        <v>384</v>
      </c>
      <c r="E203" t="s">
        <v>169</v>
      </c>
      <c r="F203" t="s">
        <v>67</v>
      </c>
      <c r="G203" s="2">
        <v>0.17222222222222225</v>
      </c>
    </row>
    <row r="204" spans="1:9" x14ac:dyDescent="0.25">
      <c r="A204" s="1">
        <v>2012</v>
      </c>
      <c r="B204" t="s">
        <v>20</v>
      </c>
      <c r="C204">
        <v>6</v>
      </c>
      <c r="D204" t="s">
        <v>385</v>
      </c>
      <c r="E204" t="s">
        <v>170</v>
      </c>
      <c r="F204" t="s">
        <v>133</v>
      </c>
      <c r="G204" s="2">
        <v>0.22916666666666666</v>
      </c>
    </row>
    <row r="205" spans="1:9" x14ac:dyDescent="0.25">
      <c r="A205" s="1">
        <v>2012</v>
      </c>
      <c r="B205" t="s">
        <v>20</v>
      </c>
      <c r="C205">
        <v>7</v>
      </c>
      <c r="D205" t="s">
        <v>386</v>
      </c>
      <c r="E205" t="s">
        <v>171</v>
      </c>
      <c r="F205" t="s">
        <v>135</v>
      </c>
      <c r="G205" s="2">
        <v>0.20972222222222223</v>
      </c>
    </row>
    <row r="206" spans="1:9" x14ac:dyDescent="0.25">
      <c r="A206" s="1">
        <v>2012</v>
      </c>
      <c r="B206" t="s">
        <v>20</v>
      </c>
      <c r="C206">
        <v>8</v>
      </c>
      <c r="D206" t="s">
        <v>387</v>
      </c>
      <c r="E206" t="s">
        <v>172</v>
      </c>
      <c r="F206" t="s">
        <v>126</v>
      </c>
      <c r="G206" s="2">
        <v>0.16944444444444443</v>
      </c>
    </row>
    <row r="207" spans="1:9" x14ac:dyDescent="0.25">
      <c r="A207" s="1">
        <v>2012</v>
      </c>
      <c r="B207" t="s">
        <v>20</v>
      </c>
      <c r="C207">
        <v>9</v>
      </c>
      <c r="D207" t="s">
        <v>388</v>
      </c>
      <c r="E207" t="s">
        <v>71</v>
      </c>
      <c r="F207" t="s">
        <v>71</v>
      </c>
      <c r="G207" s="2">
        <v>0.19236111111111112</v>
      </c>
    </row>
    <row r="208" spans="1:9" x14ac:dyDescent="0.25">
      <c r="A208" s="1">
        <v>2012</v>
      </c>
      <c r="B208" t="s">
        <v>20</v>
      </c>
      <c r="C208">
        <v>10</v>
      </c>
      <c r="D208" t="s">
        <v>389</v>
      </c>
      <c r="E208" t="s">
        <v>173</v>
      </c>
      <c r="F208" t="s">
        <v>66</v>
      </c>
      <c r="G208" s="2">
        <v>0.24652777777777779</v>
      </c>
    </row>
    <row r="209" spans="1:7" x14ac:dyDescent="0.25">
      <c r="A209" s="1">
        <v>2012</v>
      </c>
      <c r="B209" t="s">
        <v>20</v>
      </c>
      <c r="C209">
        <v>11</v>
      </c>
      <c r="D209" t="s">
        <v>390</v>
      </c>
      <c r="E209" t="s">
        <v>174</v>
      </c>
      <c r="F209" t="s">
        <v>68</v>
      </c>
      <c r="G209" s="2">
        <v>0.22083333333333333</v>
      </c>
    </row>
    <row r="210" spans="1:7" x14ac:dyDescent="0.25">
      <c r="A210" s="1">
        <v>2012</v>
      </c>
      <c r="B210" t="s">
        <v>20</v>
      </c>
      <c r="C210">
        <v>12</v>
      </c>
      <c r="D210" t="s">
        <v>391</v>
      </c>
      <c r="E210" t="s">
        <v>175</v>
      </c>
      <c r="F210" t="s">
        <v>75</v>
      </c>
      <c r="G210" s="2">
        <v>0.24791666666666667</v>
      </c>
    </row>
    <row r="211" spans="1:7" x14ac:dyDescent="0.25">
      <c r="A211" s="1">
        <v>2012</v>
      </c>
      <c r="B211" t="s">
        <v>20</v>
      </c>
      <c r="C211">
        <v>13</v>
      </c>
      <c r="D211" t="s">
        <v>392</v>
      </c>
      <c r="E211" t="s">
        <v>176</v>
      </c>
      <c r="F211" t="s">
        <v>66</v>
      </c>
      <c r="G211" s="2">
        <v>0.15138888888888888</v>
      </c>
    </row>
    <row r="212" spans="1:7" x14ac:dyDescent="0.25">
      <c r="A212" s="1">
        <v>2011</v>
      </c>
      <c r="B212" t="s">
        <v>19</v>
      </c>
      <c r="C212">
        <v>1</v>
      </c>
      <c r="D212" t="s">
        <v>393</v>
      </c>
      <c r="E212" t="s">
        <v>71</v>
      </c>
      <c r="F212" t="s">
        <v>71</v>
      </c>
      <c r="G212" s="2">
        <v>0.25138888888888888</v>
      </c>
    </row>
    <row r="213" spans="1:7" x14ac:dyDescent="0.25">
      <c r="A213" s="1">
        <v>2011</v>
      </c>
      <c r="B213" t="s">
        <v>19</v>
      </c>
      <c r="C213">
        <v>2</v>
      </c>
      <c r="D213" t="s">
        <v>394</v>
      </c>
      <c r="E213" t="s">
        <v>177</v>
      </c>
      <c r="F213" t="s">
        <v>75</v>
      </c>
      <c r="G213" s="2">
        <v>0.19583333333333333</v>
      </c>
    </row>
    <row r="214" spans="1:7" x14ac:dyDescent="0.25">
      <c r="A214" s="1">
        <v>2011</v>
      </c>
      <c r="B214" t="s">
        <v>19</v>
      </c>
      <c r="C214">
        <v>3</v>
      </c>
      <c r="D214" t="s">
        <v>395</v>
      </c>
      <c r="E214" t="s">
        <v>178</v>
      </c>
      <c r="F214" t="s">
        <v>179</v>
      </c>
      <c r="G214" s="2">
        <v>0.26458333333333334</v>
      </c>
    </row>
    <row r="215" spans="1:7" x14ac:dyDescent="0.25">
      <c r="A215" s="1">
        <v>2011</v>
      </c>
      <c r="B215" t="s">
        <v>19</v>
      </c>
      <c r="C215">
        <v>4</v>
      </c>
      <c r="D215" t="s">
        <v>396</v>
      </c>
      <c r="E215" t="s">
        <v>180</v>
      </c>
      <c r="F215" t="s">
        <v>66</v>
      </c>
      <c r="G215" s="2">
        <v>0.3347222222222222</v>
      </c>
    </row>
    <row r="216" spans="1:7" x14ac:dyDescent="0.25">
      <c r="A216" s="1">
        <v>2011</v>
      </c>
      <c r="B216" t="s">
        <v>19</v>
      </c>
      <c r="C216">
        <v>5</v>
      </c>
      <c r="D216" t="s">
        <v>19</v>
      </c>
      <c r="E216" t="s">
        <v>181</v>
      </c>
      <c r="F216" t="s">
        <v>67</v>
      </c>
      <c r="G216" t="s">
        <v>183</v>
      </c>
    </row>
    <row r="217" spans="1:7" x14ac:dyDescent="0.25">
      <c r="A217" s="1">
        <v>2011</v>
      </c>
      <c r="B217" t="s">
        <v>19</v>
      </c>
      <c r="C217">
        <v>6</v>
      </c>
      <c r="D217" t="s">
        <v>397</v>
      </c>
      <c r="E217" t="s">
        <v>184</v>
      </c>
      <c r="F217" t="s">
        <v>185</v>
      </c>
      <c r="G217" s="2">
        <v>0.15833333333333333</v>
      </c>
    </row>
    <row r="218" spans="1:7" x14ac:dyDescent="0.25">
      <c r="A218" s="1">
        <v>2011</v>
      </c>
      <c r="B218" t="s">
        <v>19</v>
      </c>
      <c r="C218">
        <v>7</v>
      </c>
      <c r="D218" t="s">
        <v>398</v>
      </c>
      <c r="E218" t="s">
        <v>186</v>
      </c>
      <c r="F218" t="s">
        <v>182</v>
      </c>
      <c r="G218" s="2">
        <v>0.18888888888888888</v>
      </c>
    </row>
    <row r="219" spans="1:7" x14ac:dyDescent="0.25">
      <c r="A219" s="1">
        <v>2011</v>
      </c>
      <c r="B219" t="s">
        <v>19</v>
      </c>
      <c r="C219">
        <v>8</v>
      </c>
      <c r="D219" t="s">
        <v>399</v>
      </c>
      <c r="E219" t="s">
        <v>187</v>
      </c>
      <c r="F219" t="s">
        <v>188</v>
      </c>
      <c r="G219" s="2">
        <v>0.23541666666666669</v>
      </c>
    </row>
    <row r="220" spans="1:7" x14ac:dyDescent="0.25">
      <c r="A220" s="1">
        <v>2011</v>
      </c>
      <c r="B220" t="s">
        <v>19</v>
      </c>
      <c r="C220">
        <v>9</v>
      </c>
      <c r="D220" t="s">
        <v>400</v>
      </c>
      <c r="E220" t="s">
        <v>189</v>
      </c>
      <c r="F220" t="s">
        <v>68</v>
      </c>
      <c r="G220" s="2">
        <v>0.19791666666666666</v>
      </c>
    </row>
    <row r="221" spans="1:7" x14ac:dyDescent="0.25">
      <c r="A221" s="1">
        <v>2011</v>
      </c>
      <c r="B221" t="s">
        <v>19</v>
      </c>
      <c r="C221">
        <v>10</v>
      </c>
      <c r="D221" t="s">
        <v>401</v>
      </c>
      <c r="E221" t="s">
        <v>72</v>
      </c>
      <c r="F221" t="s">
        <v>66</v>
      </c>
      <c r="G221" s="2">
        <v>0.21597222222222223</v>
      </c>
    </row>
    <row r="222" spans="1:7" x14ac:dyDescent="0.25">
      <c r="A222" s="1">
        <v>2011</v>
      </c>
      <c r="B222" t="s">
        <v>19</v>
      </c>
      <c r="C222">
        <v>11</v>
      </c>
      <c r="D222" t="s">
        <v>402</v>
      </c>
      <c r="E222" t="s">
        <v>182</v>
      </c>
      <c r="F222" t="s">
        <v>190</v>
      </c>
      <c r="G222" s="2">
        <v>0.16319444444444445</v>
      </c>
    </row>
    <row r="223" spans="1:7" x14ac:dyDescent="0.25">
      <c r="A223" s="1">
        <v>2011</v>
      </c>
      <c r="B223" t="s">
        <v>19</v>
      </c>
      <c r="C223">
        <v>12</v>
      </c>
      <c r="D223" t="s">
        <v>481</v>
      </c>
      <c r="E223" t="s">
        <v>73</v>
      </c>
      <c r="F223" t="s">
        <v>191</v>
      </c>
      <c r="G223" s="2">
        <v>0.18333333333333335</v>
      </c>
    </row>
    <row r="224" spans="1:7" x14ac:dyDescent="0.25">
      <c r="A224" s="1">
        <v>2011</v>
      </c>
      <c r="B224" t="s">
        <v>19</v>
      </c>
      <c r="C224">
        <v>13</v>
      </c>
      <c r="D224" t="s">
        <v>482</v>
      </c>
      <c r="E224" t="s">
        <v>192</v>
      </c>
      <c r="F224" t="s">
        <v>193</v>
      </c>
      <c r="G224" s="2">
        <v>0.25347222222222221</v>
      </c>
    </row>
    <row r="225" spans="1:7" x14ac:dyDescent="0.25">
      <c r="A225" s="1">
        <v>2011</v>
      </c>
      <c r="B225" t="s">
        <v>19</v>
      </c>
      <c r="C225">
        <v>14</v>
      </c>
      <c r="D225" t="s">
        <v>403</v>
      </c>
      <c r="E225" t="s">
        <v>194</v>
      </c>
      <c r="F225" t="s">
        <v>185</v>
      </c>
      <c r="G225" s="2">
        <v>0.17152777777777775</v>
      </c>
    </row>
    <row r="226" spans="1:7" x14ac:dyDescent="0.25">
      <c r="A226" s="1">
        <v>2010</v>
      </c>
      <c r="B226" t="s">
        <v>18</v>
      </c>
      <c r="C226">
        <v>1</v>
      </c>
      <c r="D226" t="s">
        <v>195</v>
      </c>
      <c r="E226" t="s">
        <v>196</v>
      </c>
      <c r="F226" t="s">
        <v>71</v>
      </c>
      <c r="G226" s="2">
        <v>0.16944444444444443</v>
      </c>
    </row>
    <row r="227" spans="1:7" x14ac:dyDescent="0.25">
      <c r="A227" s="1">
        <v>2010</v>
      </c>
      <c r="B227" t="s">
        <v>18</v>
      </c>
      <c r="C227">
        <v>2</v>
      </c>
      <c r="D227" t="s">
        <v>197</v>
      </c>
      <c r="E227" t="s">
        <v>198</v>
      </c>
      <c r="F227" t="s">
        <v>67</v>
      </c>
      <c r="G227" s="2">
        <v>0.16805555555555554</v>
      </c>
    </row>
    <row r="228" spans="1:7" x14ac:dyDescent="0.25">
      <c r="A228" s="1">
        <v>2010</v>
      </c>
      <c r="B228" t="s">
        <v>18</v>
      </c>
      <c r="C228">
        <v>3</v>
      </c>
      <c r="D228" t="s">
        <v>199</v>
      </c>
      <c r="E228" t="s">
        <v>200</v>
      </c>
      <c r="F228" t="s">
        <v>75</v>
      </c>
      <c r="G228" s="2">
        <v>0.23819444444444446</v>
      </c>
    </row>
    <row r="229" spans="1:7" x14ac:dyDescent="0.25">
      <c r="A229" s="1">
        <v>2010</v>
      </c>
      <c r="B229" t="s">
        <v>18</v>
      </c>
      <c r="C229">
        <v>4</v>
      </c>
      <c r="D229" t="s">
        <v>201</v>
      </c>
      <c r="E229" t="s">
        <v>66</v>
      </c>
      <c r="F229" t="s">
        <v>66</v>
      </c>
      <c r="G229" s="2">
        <v>0.26666666666666666</v>
      </c>
    </row>
    <row r="230" spans="1:7" x14ac:dyDescent="0.25">
      <c r="A230" s="1">
        <v>2010</v>
      </c>
      <c r="B230" t="s">
        <v>18</v>
      </c>
      <c r="C230">
        <v>5</v>
      </c>
      <c r="D230" t="s">
        <v>202</v>
      </c>
      <c r="E230" t="s">
        <v>203</v>
      </c>
      <c r="F230" t="s">
        <v>204</v>
      </c>
      <c r="G230" s="2">
        <v>0.32013888888888892</v>
      </c>
    </row>
    <row r="231" spans="1:7" x14ac:dyDescent="0.25">
      <c r="A231" s="1">
        <v>2010</v>
      </c>
      <c r="B231" t="s">
        <v>18</v>
      </c>
      <c r="C231">
        <v>6</v>
      </c>
      <c r="D231" t="s">
        <v>205</v>
      </c>
      <c r="E231" t="s">
        <v>206</v>
      </c>
      <c r="F231" t="s">
        <v>182</v>
      </c>
      <c r="G231" t="s">
        <v>207</v>
      </c>
    </row>
    <row r="232" spans="1:7" x14ac:dyDescent="0.25">
      <c r="A232" s="1">
        <v>2010</v>
      </c>
      <c r="B232" t="s">
        <v>18</v>
      </c>
      <c r="C232">
        <v>7</v>
      </c>
      <c r="D232" t="s">
        <v>208</v>
      </c>
      <c r="E232" t="s">
        <v>209</v>
      </c>
      <c r="F232" t="s">
        <v>210</v>
      </c>
      <c r="G232" s="2">
        <v>0.25277777777777777</v>
      </c>
    </row>
    <row r="233" spans="1:7" x14ac:dyDescent="0.25">
      <c r="A233" s="1">
        <v>2010</v>
      </c>
      <c r="B233" t="s">
        <v>18</v>
      </c>
      <c r="C233">
        <v>8</v>
      </c>
      <c r="D233" t="s">
        <v>211</v>
      </c>
      <c r="E233" t="s">
        <v>71</v>
      </c>
      <c r="F233" t="s">
        <v>71</v>
      </c>
      <c r="G233" s="2">
        <v>0.18680555555555556</v>
      </c>
    </row>
    <row r="234" spans="1:7" x14ac:dyDescent="0.25">
      <c r="A234" s="1">
        <v>2010</v>
      </c>
      <c r="B234" t="s">
        <v>18</v>
      </c>
      <c r="C234">
        <v>9</v>
      </c>
      <c r="D234" t="s">
        <v>212</v>
      </c>
      <c r="E234" t="s">
        <v>73</v>
      </c>
      <c r="F234" t="s">
        <v>73</v>
      </c>
      <c r="G234" s="2">
        <v>0.26111111111111113</v>
      </c>
    </row>
    <row r="235" spans="1:7" x14ac:dyDescent="0.25">
      <c r="A235" s="1">
        <v>2010</v>
      </c>
      <c r="B235" t="s">
        <v>18</v>
      </c>
      <c r="C235">
        <v>10</v>
      </c>
      <c r="D235" t="s">
        <v>213</v>
      </c>
      <c r="E235" t="s">
        <v>214</v>
      </c>
      <c r="F235" t="s">
        <v>182</v>
      </c>
      <c r="G235" t="s">
        <v>215</v>
      </c>
    </row>
    <row r="236" spans="1:7" x14ac:dyDescent="0.25">
      <c r="A236" s="1">
        <v>2010</v>
      </c>
      <c r="B236" t="s">
        <v>18</v>
      </c>
      <c r="C236">
        <v>11</v>
      </c>
      <c r="D236" t="s">
        <v>216</v>
      </c>
      <c r="E236" t="s">
        <v>71</v>
      </c>
      <c r="F236" t="s">
        <v>217</v>
      </c>
      <c r="G236" s="2">
        <v>0.4465277777777778</v>
      </c>
    </row>
    <row r="237" spans="1:7" x14ac:dyDescent="0.25">
      <c r="A237" s="1">
        <v>2010</v>
      </c>
      <c r="B237" t="s">
        <v>18</v>
      </c>
      <c r="C237">
        <v>12</v>
      </c>
      <c r="D237" t="s">
        <v>218</v>
      </c>
      <c r="E237" t="s">
        <v>219</v>
      </c>
      <c r="F237" t="s">
        <v>67</v>
      </c>
      <c r="G237" s="2">
        <v>0.22569444444444445</v>
      </c>
    </row>
    <row r="238" spans="1:7" x14ac:dyDescent="0.25">
      <c r="A238" s="1">
        <v>2010</v>
      </c>
      <c r="B238" t="s">
        <v>18</v>
      </c>
      <c r="C238">
        <v>13</v>
      </c>
      <c r="D238" t="s">
        <v>220</v>
      </c>
      <c r="E238" t="s">
        <v>200</v>
      </c>
      <c r="F238" t="s">
        <v>75</v>
      </c>
      <c r="G238" s="2">
        <v>0.17291666666666669</v>
      </c>
    </row>
    <row r="239" spans="1:7" x14ac:dyDescent="0.25">
      <c r="A239" s="1">
        <v>2009</v>
      </c>
      <c r="B239" t="s">
        <v>17</v>
      </c>
      <c r="C239">
        <v>1</v>
      </c>
      <c r="D239" t="s">
        <v>221</v>
      </c>
      <c r="E239" t="s">
        <v>245</v>
      </c>
      <c r="F239" t="s">
        <v>71</v>
      </c>
      <c r="G239" s="2">
        <v>0.20833333333333334</v>
      </c>
    </row>
    <row r="240" spans="1:7" x14ac:dyDescent="0.25">
      <c r="A240" s="1">
        <v>2009</v>
      </c>
      <c r="B240" t="s">
        <v>17</v>
      </c>
      <c r="C240">
        <v>2</v>
      </c>
      <c r="D240" t="s">
        <v>222</v>
      </c>
      <c r="E240" t="s">
        <v>223</v>
      </c>
      <c r="F240" t="s">
        <v>75</v>
      </c>
      <c r="G240" s="2">
        <v>0.16319444444444445</v>
      </c>
    </row>
    <row r="241" spans="1:7" x14ac:dyDescent="0.25">
      <c r="A241" s="1">
        <v>2009</v>
      </c>
      <c r="B241" t="s">
        <v>17</v>
      </c>
      <c r="C241">
        <v>3</v>
      </c>
      <c r="D241" t="s">
        <v>224</v>
      </c>
      <c r="E241" t="s">
        <v>225</v>
      </c>
      <c r="F241" t="s">
        <v>68</v>
      </c>
      <c r="G241" s="2">
        <v>0.20555555555555557</v>
      </c>
    </row>
    <row r="242" spans="1:7" x14ac:dyDescent="0.25">
      <c r="A242" s="1">
        <v>2009</v>
      </c>
      <c r="B242" t="s">
        <v>17</v>
      </c>
      <c r="C242">
        <v>4</v>
      </c>
      <c r="D242" t="s">
        <v>226</v>
      </c>
      <c r="E242" t="s">
        <v>115</v>
      </c>
      <c r="F242" t="s">
        <v>182</v>
      </c>
      <c r="G242" s="2">
        <v>0.35486111111111113</v>
      </c>
    </row>
    <row r="243" spans="1:7" x14ac:dyDescent="0.25">
      <c r="A243" s="1">
        <v>2009</v>
      </c>
      <c r="B243" t="s">
        <v>17</v>
      </c>
      <c r="C243">
        <v>5</v>
      </c>
      <c r="D243" t="s">
        <v>227</v>
      </c>
      <c r="E243" t="s">
        <v>204</v>
      </c>
      <c r="F243" t="s">
        <v>228</v>
      </c>
      <c r="G243" s="2">
        <v>0.31944444444444448</v>
      </c>
    </row>
    <row r="244" spans="1:7" x14ac:dyDescent="0.25">
      <c r="A244" s="1">
        <v>2009</v>
      </c>
      <c r="B244" t="s">
        <v>17</v>
      </c>
      <c r="C244">
        <v>6</v>
      </c>
      <c r="D244" t="s">
        <v>229</v>
      </c>
      <c r="E244" t="s">
        <v>230</v>
      </c>
      <c r="F244" t="s">
        <v>68</v>
      </c>
      <c r="G244" s="2">
        <v>0.30277777777777776</v>
      </c>
    </row>
    <row r="245" spans="1:7" x14ac:dyDescent="0.25">
      <c r="A245" s="1">
        <v>2009</v>
      </c>
      <c r="B245" t="s">
        <v>17</v>
      </c>
      <c r="C245">
        <v>7</v>
      </c>
      <c r="D245" t="s">
        <v>231</v>
      </c>
      <c r="E245" t="s">
        <v>232</v>
      </c>
      <c r="F245" t="s">
        <v>71</v>
      </c>
      <c r="G245" s="2">
        <v>0.15416666666666667</v>
      </c>
    </row>
    <row r="246" spans="1:7" x14ac:dyDescent="0.25">
      <c r="A246" s="1">
        <v>2009</v>
      </c>
      <c r="B246" t="s">
        <v>17</v>
      </c>
      <c r="C246">
        <v>8</v>
      </c>
      <c r="D246" t="s">
        <v>233</v>
      </c>
      <c r="E246" t="s">
        <v>234</v>
      </c>
      <c r="F246" t="s">
        <v>126</v>
      </c>
      <c r="G246" s="2">
        <v>0.1451388888888889</v>
      </c>
    </row>
    <row r="247" spans="1:7" x14ac:dyDescent="0.25">
      <c r="A247" s="1">
        <v>2009</v>
      </c>
      <c r="B247" t="s">
        <v>17</v>
      </c>
      <c r="C247">
        <v>9</v>
      </c>
      <c r="D247" t="s">
        <v>235</v>
      </c>
      <c r="E247" t="s">
        <v>246</v>
      </c>
      <c r="F247" t="s">
        <v>182</v>
      </c>
      <c r="G247" s="2">
        <v>0.20625000000000002</v>
      </c>
    </row>
    <row r="248" spans="1:7" x14ac:dyDescent="0.25">
      <c r="A248" s="1">
        <v>2009</v>
      </c>
      <c r="B248" t="s">
        <v>17</v>
      </c>
      <c r="C248">
        <v>10</v>
      </c>
      <c r="D248" t="s">
        <v>236</v>
      </c>
      <c r="E248" t="s">
        <v>237</v>
      </c>
      <c r="F248" t="s">
        <v>228</v>
      </c>
      <c r="G248" s="2">
        <v>0.13819444444444443</v>
      </c>
    </row>
    <row r="249" spans="1:7" x14ac:dyDescent="0.25">
      <c r="A249" s="1">
        <v>2009</v>
      </c>
      <c r="B249" t="s">
        <v>17</v>
      </c>
      <c r="C249">
        <v>11</v>
      </c>
      <c r="D249" t="s">
        <v>238</v>
      </c>
      <c r="E249" t="s">
        <v>239</v>
      </c>
      <c r="F249" t="s">
        <v>239</v>
      </c>
      <c r="G249" s="2">
        <v>0.3125</v>
      </c>
    </row>
    <row r="250" spans="1:7" x14ac:dyDescent="0.25">
      <c r="A250" s="1">
        <v>2009</v>
      </c>
      <c r="B250" t="s">
        <v>17</v>
      </c>
      <c r="C250">
        <v>12</v>
      </c>
      <c r="D250" t="s">
        <v>240</v>
      </c>
      <c r="E250" t="s">
        <v>241</v>
      </c>
      <c r="F250" t="s">
        <v>67</v>
      </c>
      <c r="G250" s="2">
        <v>0.27777777777777779</v>
      </c>
    </row>
    <row r="251" spans="1:7" x14ac:dyDescent="0.25">
      <c r="A251" s="1">
        <v>2009</v>
      </c>
      <c r="B251" t="s">
        <v>17</v>
      </c>
      <c r="C251">
        <v>13</v>
      </c>
      <c r="D251" t="s">
        <v>242</v>
      </c>
      <c r="E251" t="s">
        <v>243</v>
      </c>
      <c r="F251" t="s">
        <v>244</v>
      </c>
      <c r="G251" s="2">
        <v>0.34375</v>
      </c>
    </row>
    <row r="252" spans="1:7" x14ac:dyDescent="0.25">
      <c r="A252" s="1">
        <v>2008</v>
      </c>
      <c r="B252" t="s">
        <v>16</v>
      </c>
      <c r="C252">
        <v>1</v>
      </c>
      <c r="D252" t="s">
        <v>404</v>
      </c>
      <c r="E252" t="s">
        <v>71</v>
      </c>
      <c r="F252" t="s">
        <v>71</v>
      </c>
      <c r="G252" s="2">
        <v>0.16319444444444445</v>
      </c>
    </row>
    <row r="253" spans="1:7" x14ac:dyDescent="0.25">
      <c r="A253" s="1">
        <v>2008</v>
      </c>
      <c r="B253" t="s">
        <v>16</v>
      </c>
      <c r="C253">
        <v>2</v>
      </c>
      <c r="D253" t="s">
        <v>405</v>
      </c>
      <c r="E253" t="s">
        <v>71</v>
      </c>
      <c r="F253" t="s">
        <v>71</v>
      </c>
      <c r="G253" s="2">
        <v>0.1388888888888889</v>
      </c>
    </row>
    <row r="254" spans="1:7" x14ac:dyDescent="0.25">
      <c r="A254" s="1">
        <v>2008</v>
      </c>
      <c r="B254" t="s">
        <v>16</v>
      </c>
      <c r="C254">
        <v>3</v>
      </c>
      <c r="D254" t="s">
        <v>406</v>
      </c>
      <c r="E254" t="s">
        <v>204</v>
      </c>
      <c r="F254" t="s">
        <v>247</v>
      </c>
      <c r="G254" s="2">
        <v>0.17430555555555557</v>
      </c>
    </row>
    <row r="255" spans="1:7" x14ac:dyDescent="0.25">
      <c r="A255" s="1">
        <v>2008</v>
      </c>
      <c r="B255" t="s">
        <v>16</v>
      </c>
      <c r="C255">
        <v>4</v>
      </c>
      <c r="D255" t="s">
        <v>16</v>
      </c>
      <c r="E255" t="s">
        <v>248</v>
      </c>
      <c r="F255" t="s">
        <v>239</v>
      </c>
      <c r="G255" s="2">
        <v>0.24166666666666667</v>
      </c>
    </row>
    <row r="256" spans="1:7" x14ac:dyDescent="0.25">
      <c r="A256" s="1">
        <v>2008</v>
      </c>
      <c r="B256" t="s">
        <v>16</v>
      </c>
      <c r="C256">
        <v>5</v>
      </c>
      <c r="D256" t="s">
        <v>407</v>
      </c>
      <c r="E256" t="s">
        <v>66</v>
      </c>
      <c r="F256" t="s">
        <v>133</v>
      </c>
      <c r="G256" s="2">
        <v>0.20416666666666669</v>
      </c>
    </row>
    <row r="257" spans="1:7" x14ac:dyDescent="0.25">
      <c r="A257" s="1">
        <v>2008</v>
      </c>
      <c r="B257" t="s">
        <v>16</v>
      </c>
      <c r="C257">
        <v>6</v>
      </c>
      <c r="D257" t="s">
        <v>408</v>
      </c>
      <c r="E257" t="s">
        <v>249</v>
      </c>
      <c r="F257" t="s">
        <v>182</v>
      </c>
      <c r="G257" s="2">
        <v>0.19236111111111112</v>
      </c>
    </row>
    <row r="258" spans="1:7" x14ac:dyDescent="0.25">
      <c r="A258" s="1">
        <v>2008</v>
      </c>
      <c r="B258" t="s">
        <v>16</v>
      </c>
      <c r="C258">
        <v>7</v>
      </c>
      <c r="D258" t="s">
        <v>409</v>
      </c>
      <c r="E258" t="s">
        <v>250</v>
      </c>
      <c r="F258" t="s">
        <v>75</v>
      </c>
      <c r="G258" s="2">
        <v>0.18472222222222223</v>
      </c>
    </row>
    <row r="259" spans="1:7" x14ac:dyDescent="0.25">
      <c r="A259" s="1">
        <v>2008</v>
      </c>
      <c r="B259" t="s">
        <v>16</v>
      </c>
      <c r="C259">
        <v>8</v>
      </c>
      <c r="D259" t="s">
        <v>410</v>
      </c>
      <c r="E259" t="s">
        <v>251</v>
      </c>
      <c r="F259" t="s">
        <v>252</v>
      </c>
      <c r="G259" s="2">
        <v>0.2951388888888889</v>
      </c>
    </row>
    <row r="260" spans="1:7" x14ac:dyDescent="0.25">
      <c r="A260" s="1">
        <v>2008</v>
      </c>
      <c r="B260" t="s">
        <v>16</v>
      </c>
      <c r="C260">
        <v>9</v>
      </c>
      <c r="D260" t="s">
        <v>411</v>
      </c>
      <c r="E260" t="s">
        <v>253</v>
      </c>
      <c r="F260" t="s">
        <v>254</v>
      </c>
      <c r="G260" s="2">
        <v>0.11875000000000001</v>
      </c>
    </row>
    <row r="261" spans="1:7" x14ac:dyDescent="0.25">
      <c r="A261" s="1">
        <v>2008</v>
      </c>
      <c r="B261" t="s">
        <v>16</v>
      </c>
      <c r="C261">
        <v>10</v>
      </c>
      <c r="D261" t="s">
        <v>412</v>
      </c>
      <c r="E261" t="s">
        <v>255</v>
      </c>
      <c r="F261" t="s">
        <v>158</v>
      </c>
      <c r="G261" s="2">
        <v>0.19236111111111112</v>
      </c>
    </row>
    <row r="262" spans="1:7" x14ac:dyDescent="0.25">
      <c r="A262" s="1">
        <v>2008</v>
      </c>
      <c r="B262" t="s">
        <v>16</v>
      </c>
      <c r="C262">
        <v>11</v>
      </c>
      <c r="D262" t="s">
        <v>413</v>
      </c>
      <c r="E262" t="s">
        <v>256</v>
      </c>
      <c r="F262" t="s">
        <v>73</v>
      </c>
      <c r="G262" s="2">
        <v>0.18680555555555556</v>
      </c>
    </row>
    <row r="263" spans="1:7" x14ac:dyDescent="0.25">
      <c r="A263" s="1">
        <v>2008</v>
      </c>
      <c r="B263" t="s">
        <v>16</v>
      </c>
      <c r="C263">
        <v>12</v>
      </c>
      <c r="D263" t="s">
        <v>414</v>
      </c>
      <c r="E263" t="s">
        <v>257</v>
      </c>
      <c r="F263" t="s">
        <v>258</v>
      </c>
      <c r="G263" s="2">
        <v>0.23055555555555554</v>
      </c>
    </row>
    <row r="264" spans="1:7" x14ac:dyDescent="0.25">
      <c r="A264" s="1">
        <v>2008</v>
      </c>
      <c r="B264" t="s">
        <v>16</v>
      </c>
      <c r="C264">
        <v>13</v>
      </c>
      <c r="D264" t="s">
        <v>415</v>
      </c>
      <c r="E264" t="s">
        <v>259</v>
      </c>
      <c r="F264" t="s">
        <v>85</v>
      </c>
      <c r="G264" s="2">
        <v>0.27986111111111112</v>
      </c>
    </row>
    <row r="265" spans="1:7" x14ac:dyDescent="0.25">
      <c r="A265" s="1">
        <v>2008</v>
      </c>
      <c r="B265" t="s">
        <v>16</v>
      </c>
      <c r="C265">
        <v>14</v>
      </c>
      <c r="D265" t="s">
        <v>416</v>
      </c>
      <c r="E265" t="s">
        <v>204</v>
      </c>
      <c r="F265" t="s">
        <v>260</v>
      </c>
      <c r="G265" s="2">
        <v>0.21111111111111111</v>
      </c>
    </row>
    <row r="266" spans="1:7" x14ac:dyDescent="0.25">
      <c r="A266" s="1">
        <v>2008</v>
      </c>
      <c r="B266" t="s">
        <v>16</v>
      </c>
      <c r="C266">
        <v>15</v>
      </c>
      <c r="D266" t="s">
        <v>417</v>
      </c>
      <c r="E266" t="s">
        <v>261</v>
      </c>
      <c r="F266" t="s">
        <v>204</v>
      </c>
      <c r="G266" s="2">
        <v>7.2916666666666671E-2</v>
      </c>
    </row>
    <row r="267" spans="1:7" x14ac:dyDescent="0.25">
      <c r="A267" s="1">
        <v>2008</v>
      </c>
      <c r="B267" t="s">
        <v>16</v>
      </c>
      <c r="C267">
        <v>16</v>
      </c>
      <c r="D267" t="s">
        <v>418</v>
      </c>
      <c r="E267" t="s">
        <v>71</v>
      </c>
      <c r="F267" t="s">
        <v>71</v>
      </c>
      <c r="G267" s="2">
        <v>0.3298611111111111</v>
      </c>
    </row>
    <row r="268" spans="1:7" x14ac:dyDescent="0.25">
      <c r="A268" s="1">
        <v>2007</v>
      </c>
      <c r="B268" t="s">
        <v>15</v>
      </c>
      <c r="C268">
        <v>1</v>
      </c>
      <c r="D268" t="s">
        <v>419</v>
      </c>
      <c r="E268" t="s">
        <v>262</v>
      </c>
      <c r="F268" t="s">
        <v>85</v>
      </c>
      <c r="G268" s="2">
        <v>0.18402777777777779</v>
      </c>
    </row>
    <row r="269" spans="1:7" x14ac:dyDescent="0.25">
      <c r="A269" s="1">
        <v>2007</v>
      </c>
      <c r="B269" t="s">
        <v>15</v>
      </c>
      <c r="C269">
        <v>2</v>
      </c>
      <c r="D269" t="s">
        <v>420</v>
      </c>
      <c r="E269" t="s">
        <v>263</v>
      </c>
      <c r="F269" t="s">
        <v>71</v>
      </c>
      <c r="G269" s="2">
        <v>0.16250000000000001</v>
      </c>
    </row>
    <row r="270" spans="1:7" x14ac:dyDescent="0.25">
      <c r="A270" s="1">
        <v>2007</v>
      </c>
      <c r="B270" t="s">
        <v>15</v>
      </c>
      <c r="C270">
        <v>3</v>
      </c>
      <c r="D270" t="s">
        <v>421</v>
      </c>
      <c r="E270" t="s">
        <v>264</v>
      </c>
      <c r="F270" t="s">
        <v>85</v>
      </c>
      <c r="G270" s="2">
        <v>0.24166666666666667</v>
      </c>
    </row>
    <row r="271" spans="1:7" x14ac:dyDescent="0.25">
      <c r="A271" s="1">
        <v>2007</v>
      </c>
      <c r="B271" t="s">
        <v>15</v>
      </c>
      <c r="C271">
        <v>4</v>
      </c>
      <c r="D271" t="s">
        <v>422</v>
      </c>
      <c r="E271" t="s">
        <v>67</v>
      </c>
      <c r="F271" t="s">
        <v>67</v>
      </c>
      <c r="G271" s="2">
        <v>0.18472222222222223</v>
      </c>
    </row>
    <row r="272" spans="1:7" x14ac:dyDescent="0.25">
      <c r="A272" s="1">
        <v>2007</v>
      </c>
      <c r="B272" t="s">
        <v>15</v>
      </c>
      <c r="C272">
        <v>5</v>
      </c>
      <c r="D272" t="s">
        <v>423</v>
      </c>
      <c r="E272" t="s">
        <v>204</v>
      </c>
      <c r="F272" t="s">
        <v>204</v>
      </c>
      <c r="G272" s="2">
        <v>0.18958333333333333</v>
      </c>
    </row>
    <row r="273" spans="1:7" x14ac:dyDescent="0.25">
      <c r="A273" s="1">
        <v>2007</v>
      </c>
      <c r="B273" t="s">
        <v>15</v>
      </c>
      <c r="C273">
        <v>6</v>
      </c>
      <c r="D273" t="s">
        <v>350</v>
      </c>
      <c r="E273" t="s">
        <v>265</v>
      </c>
      <c r="F273" t="s">
        <v>182</v>
      </c>
      <c r="G273" s="2">
        <v>0.26111111111111113</v>
      </c>
    </row>
    <row r="274" spans="1:7" x14ac:dyDescent="0.25">
      <c r="A274" s="1">
        <v>2007</v>
      </c>
      <c r="B274" t="s">
        <v>15</v>
      </c>
      <c r="C274">
        <v>7</v>
      </c>
      <c r="D274" t="s">
        <v>424</v>
      </c>
      <c r="E274" t="s">
        <v>73</v>
      </c>
      <c r="F274" t="s">
        <v>75</v>
      </c>
      <c r="G274" s="2">
        <v>0.24652777777777779</v>
      </c>
    </row>
    <row r="275" spans="1:7" x14ac:dyDescent="0.25">
      <c r="A275" s="1">
        <v>2007</v>
      </c>
      <c r="B275" t="s">
        <v>15</v>
      </c>
      <c r="C275">
        <v>8</v>
      </c>
      <c r="D275" t="s">
        <v>425</v>
      </c>
      <c r="E275" t="s">
        <v>66</v>
      </c>
      <c r="F275" t="s">
        <v>266</v>
      </c>
      <c r="G275" s="2">
        <v>0.20138888888888887</v>
      </c>
    </row>
    <row r="276" spans="1:7" x14ac:dyDescent="0.25">
      <c r="A276" s="1">
        <v>2007</v>
      </c>
      <c r="B276" t="s">
        <v>15</v>
      </c>
      <c r="C276">
        <v>9</v>
      </c>
      <c r="D276" t="s">
        <v>426</v>
      </c>
      <c r="E276" t="s">
        <v>71</v>
      </c>
      <c r="F276" t="s">
        <v>71</v>
      </c>
      <c r="G276" s="2">
        <v>0.24305555555555555</v>
      </c>
    </row>
    <row r="277" spans="1:7" x14ac:dyDescent="0.25">
      <c r="A277" s="1">
        <v>2007</v>
      </c>
      <c r="B277" t="s">
        <v>15</v>
      </c>
      <c r="C277">
        <v>10</v>
      </c>
      <c r="D277" t="s">
        <v>427</v>
      </c>
      <c r="E277" t="s">
        <v>267</v>
      </c>
      <c r="F277" t="s">
        <v>67</v>
      </c>
      <c r="G277" s="2">
        <v>0.26250000000000001</v>
      </c>
    </row>
    <row r="278" spans="1:7" x14ac:dyDescent="0.25">
      <c r="A278" s="1">
        <v>2007</v>
      </c>
      <c r="B278" t="s">
        <v>15</v>
      </c>
      <c r="C278">
        <v>11</v>
      </c>
      <c r="D278" t="s">
        <v>428</v>
      </c>
      <c r="E278" t="s">
        <v>204</v>
      </c>
      <c r="F278" t="s">
        <v>260</v>
      </c>
      <c r="G278" s="2">
        <v>0.26111111111111113</v>
      </c>
    </row>
    <row r="279" spans="1:7" x14ac:dyDescent="0.25">
      <c r="A279" s="1">
        <v>2007</v>
      </c>
      <c r="B279" t="s">
        <v>15</v>
      </c>
      <c r="C279">
        <v>12</v>
      </c>
      <c r="D279" t="s">
        <v>429</v>
      </c>
      <c r="E279" t="s">
        <v>115</v>
      </c>
      <c r="F279" t="s">
        <v>268</v>
      </c>
      <c r="G279" s="2">
        <v>0.24513888888888888</v>
      </c>
    </row>
    <row r="280" spans="1:7" x14ac:dyDescent="0.25">
      <c r="A280" s="1">
        <v>2007</v>
      </c>
      <c r="B280" t="s">
        <v>15</v>
      </c>
      <c r="C280">
        <v>13</v>
      </c>
      <c r="D280" t="s">
        <v>430</v>
      </c>
      <c r="E280" t="s">
        <v>269</v>
      </c>
      <c r="F280" t="s">
        <v>182</v>
      </c>
      <c r="G280" s="2">
        <v>0.19236111111111112</v>
      </c>
    </row>
    <row r="281" spans="1:7" x14ac:dyDescent="0.25">
      <c r="A281" s="1">
        <v>2007</v>
      </c>
      <c r="B281" t="s">
        <v>15</v>
      </c>
      <c r="C281">
        <v>14</v>
      </c>
      <c r="D281" t="s">
        <v>15</v>
      </c>
      <c r="E281" t="s">
        <v>270</v>
      </c>
      <c r="F281" t="s">
        <v>85</v>
      </c>
      <c r="G281" s="2">
        <v>0.3125</v>
      </c>
    </row>
    <row r="282" spans="1:7" x14ac:dyDescent="0.25">
      <c r="A282" s="1">
        <v>2006</v>
      </c>
      <c r="B282" t="s">
        <v>14</v>
      </c>
      <c r="C282">
        <v>1</v>
      </c>
      <c r="D282" t="s">
        <v>271</v>
      </c>
      <c r="E282" t="s">
        <v>272</v>
      </c>
      <c r="F282" t="s">
        <v>85</v>
      </c>
      <c r="G282" s="2">
        <v>0.17013888888888887</v>
      </c>
    </row>
    <row r="283" spans="1:7" x14ac:dyDescent="0.25">
      <c r="A283" s="1">
        <v>2006</v>
      </c>
      <c r="B283" t="s">
        <v>14</v>
      </c>
      <c r="C283">
        <v>2</v>
      </c>
      <c r="D283" t="s">
        <v>273</v>
      </c>
      <c r="E283" t="s">
        <v>274</v>
      </c>
      <c r="F283" t="s">
        <v>71</v>
      </c>
      <c r="G283" s="2">
        <v>0.18402777777777779</v>
      </c>
    </row>
    <row r="284" spans="1:7" x14ac:dyDescent="0.25">
      <c r="A284" s="1">
        <v>2006</v>
      </c>
      <c r="B284" t="s">
        <v>14</v>
      </c>
      <c r="C284">
        <v>3</v>
      </c>
      <c r="D284" t="s">
        <v>275</v>
      </c>
      <c r="E284" t="s">
        <v>85</v>
      </c>
      <c r="F284" t="s">
        <v>75</v>
      </c>
      <c r="G284" s="2">
        <v>0.18611111111111112</v>
      </c>
    </row>
    <row r="285" spans="1:7" x14ac:dyDescent="0.25">
      <c r="A285" s="1">
        <v>2006</v>
      </c>
      <c r="B285" t="s">
        <v>14</v>
      </c>
      <c r="C285">
        <v>4</v>
      </c>
      <c r="D285" t="s">
        <v>276</v>
      </c>
      <c r="E285" t="s">
        <v>277</v>
      </c>
      <c r="F285" t="s">
        <v>278</v>
      </c>
      <c r="G285" s="2">
        <v>0.26458333333333334</v>
      </c>
    </row>
    <row r="286" spans="1:7" x14ac:dyDescent="0.25">
      <c r="A286" s="1">
        <v>2006</v>
      </c>
      <c r="B286" t="s">
        <v>14</v>
      </c>
      <c r="C286">
        <v>5</v>
      </c>
      <c r="D286" t="s">
        <v>279</v>
      </c>
      <c r="E286" t="s">
        <v>280</v>
      </c>
      <c r="F286" t="s">
        <v>182</v>
      </c>
      <c r="G286" s="2">
        <v>0.28402777777777777</v>
      </c>
    </row>
    <row r="287" spans="1:7" x14ac:dyDescent="0.25">
      <c r="A287" s="1">
        <v>2006</v>
      </c>
      <c r="B287" t="s">
        <v>14</v>
      </c>
      <c r="C287">
        <v>6</v>
      </c>
      <c r="D287" t="s">
        <v>281</v>
      </c>
      <c r="E287" t="s">
        <v>71</v>
      </c>
      <c r="F287" t="s">
        <v>85</v>
      </c>
      <c r="G287" s="2">
        <v>0.24444444444444446</v>
      </c>
    </row>
    <row r="288" spans="1:7" x14ac:dyDescent="0.25">
      <c r="A288" s="1">
        <v>2006</v>
      </c>
      <c r="B288" t="s">
        <v>14</v>
      </c>
      <c r="C288">
        <v>7</v>
      </c>
      <c r="D288" t="s">
        <v>282</v>
      </c>
      <c r="E288" t="s">
        <v>283</v>
      </c>
      <c r="F288" t="s">
        <v>283</v>
      </c>
      <c r="G288" s="2">
        <v>0.21736111111111112</v>
      </c>
    </row>
    <row r="289" spans="1:11" x14ac:dyDescent="0.25">
      <c r="A289" s="1">
        <v>2006</v>
      </c>
      <c r="B289" t="s">
        <v>14</v>
      </c>
      <c r="C289">
        <v>8</v>
      </c>
      <c r="D289" t="s">
        <v>284</v>
      </c>
      <c r="E289" t="s">
        <v>285</v>
      </c>
      <c r="F289" t="s">
        <v>286</v>
      </c>
      <c r="G289" s="2">
        <v>0.18958333333333333</v>
      </c>
    </row>
    <row r="290" spans="1:11" x14ac:dyDescent="0.25">
      <c r="A290" s="1">
        <v>2006</v>
      </c>
      <c r="B290" t="s">
        <v>14</v>
      </c>
      <c r="C290">
        <v>9</v>
      </c>
      <c r="D290" t="s">
        <v>287</v>
      </c>
      <c r="E290" t="s">
        <v>288</v>
      </c>
      <c r="F290" t="s">
        <v>289</v>
      </c>
      <c r="G290" s="2">
        <v>0.18541666666666667</v>
      </c>
    </row>
    <row r="291" spans="1:11" x14ac:dyDescent="0.25">
      <c r="A291" s="1">
        <v>2006</v>
      </c>
      <c r="B291" t="s">
        <v>14</v>
      </c>
      <c r="C291">
        <v>10</v>
      </c>
      <c r="D291" t="s">
        <v>290</v>
      </c>
      <c r="E291" t="s">
        <v>85</v>
      </c>
      <c r="F291" t="s">
        <v>185</v>
      </c>
      <c r="G291" s="2">
        <v>0.16041666666666668</v>
      </c>
    </row>
    <row r="292" spans="1:11" x14ac:dyDescent="0.25">
      <c r="A292" s="1">
        <v>2006</v>
      </c>
      <c r="B292" t="s">
        <v>14</v>
      </c>
      <c r="C292">
        <v>11</v>
      </c>
      <c r="D292" t="s">
        <v>291</v>
      </c>
      <c r="E292" t="s">
        <v>292</v>
      </c>
      <c r="F292" t="s">
        <v>185</v>
      </c>
      <c r="G292" s="2">
        <v>0.15763888888888888</v>
      </c>
    </row>
    <row r="293" spans="1:11" x14ac:dyDescent="0.25">
      <c r="A293" s="1">
        <v>2006</v>
      </c>
      <c r="B293" t="s">
        <v>14</v>
      </c>
      <c r="C293">
        <v>12</v>
      </c>
      <c r="D293" t="s">
        <v>293</v>
      </c>
      <c r="E293" t="s">
        <v>66</v>
      </c>
      <c r="F293" t="s">
        <v>133</v>
      </c>
      <c r="G293" s="2">
        <v>0.21319444444444444</v>
      </c>
    </row>
    <row r="294" spans="1:11" x14ac:dyDescent="0.25">
      <c r="A294" s="1">
        <v>2006</v>
      </c>
      <c r="B294" t="s">
        <v>14</v>
      </c>
      <c r="C294">
        <v>13</v>
      </c>
      <c r="D294" t="s">
        <v>294</v>
      </c>
      <c r="E294" t="s">
        <v>204</v>
      </c>
      <c r="F294" t="s">
        <v>182</v>
      </c>
      <c r="G294" s="2">
        <v>0.24166666666666667</v>
      </c>
    </row>
    <row r="295" spans="1:11" x14ac:dyDescent="0.25">
      <c r="A295" s="1">
        <v>2006</v>
      </c>
      <c r="B295" t="s">
        <v>14</v>
      </c>
      <c r="C295">
        <v>14</v>
      </c>
      <c r="D295" t="s">
        <v>295</v>
      </c>
      <c r="E295" t="s">
        <v>296</v>
      </c>
      <c r="F295" t="s">
        <v>182</v>
      </c>
      <c r="G295" s="2">
        <v>0.35902777777777778</v>
      </c>
    </row>
    <row r="296" spans="1:11" x14ac:dyDescent="0.25">
      <c r="A296" s="1">
        <v>2006</v>
      </c>
      <c r="B296" t="s">
        <v>14</v>
      </c>
      <c r="C296">
        <v>15</v>
      </c>
      <c r="D296" t="s">
        <v>14</v>
      </c>
      <c r="E296" t="s">
        <v>277</v>
      </c>
      <c r="F296" t="s">
        <v>67</v>
      </c>
      <c r="G296" s="2">
        <v>0.28472222222222221</v>
      </c>
    </row>
    <row r="297" spans="1:11" x14ac:dyDescent="0.25">
      <c r="A297" s="1">
        <v>2005</v>
      </c>
      <c r="B297" t="s">
        <v>13</v>
      </c>
      <c r="C297">
        <v>1</v>
      </c>
      <c r="D297" t="str">
        <f t="shared" ref="D297:D328" si="0">RIGHT(J297, LEN(J297)-FIND(". ",J297)-1)</f>
        <v>Let Creation Sing</v>
      </c>
      <c r="E297" t="str">
        <f t="shared" ref="E297:E328" si="1">LEFT(K297,FIND(") ",K297) - 1)</f>
        <v>Reuben Morgan</v>
      </c>
      <c r="F297" t="str">
        <f t="shared" ref="F297:F328" si="2">RIGHT(I297,LEN(I297)-FIND(": ", I297)-1)</f>
        <v>Darlene Zschech b. Reuben Morgan</v>
      </c>
      <c r="I297" t="s">
        <v>431</v>
      </c>
      <c r="J297" t="str">
        <f t="shared" ref="J297:J328" si="3">LEFT(I297,FIND(" (",I297)-1)</f>
        <v>1. Let Creation Sing</v>
      </c>
      <c r="K297" t="str">
        <f t="shared" ref="K297:K328" si="4">RIGHT(I297, LEN(I297)-FIND(" (",I297) - 1)</f>
        <v>Reuben Morgan) – Worship Leaders: Darlene Zschech b. Reuben Morgan</v>
      </c>
    </row>
    <row r="298" spans="1:11" x14ac:dyDescent="0.25">
      <c r="A298" s="1">
        <v>2005</v>
      </c>
      <c r="B298" t="s">
        <v>13</v>
      </c>
      <c r="C298">
        <v>2</v>
      </c>
      <c r="D298" t="str">
        <f t="shared" si="0"/>
        <v>Salvation Is Here</v>
      </c>
      <c r="E298" t="str">
        <f t="shared" si="1"/>
        <v>Joel Houston</v>
      </c>
      <c r="F298" t="str">
        <f t="shared" si="2"/>
        <v>Joel Houston, b. Darlene Zschech</v>
      </c>
      <c r="I298" t="s">
        <v>432</v>
      </c>
      <c r="J298" t="str">
        <f t="shared" si="3"/>
        <v>2. Salvation Is Here</v>
      </c>
      <c r="K298" t="str">
        <f t="shared" si="4"/>
        <v>Joel Houston) – Worship Leaders: Joel Houston, b. Darlene Zschech</v>
      </c>
    </row>
    <row r="299" spans="1:11" x14ac:dyDescent="0.25">
      <c r="A299" s="1">
        <v>2005</v>
      </c>
      <c r="B299" t="s">
        <v>13</v>
      </c>
      <c r="C299">
        <v>3</v>
      </c>
      <c r="D299" t="str">
        <f t="shared" si="0"/>
        <v>His Love</v>
      </c>
      <c r="E299" t="str">
        <f t="shared" si="1"/>
        <v>Raymond Badham</v>
      </c>
      <c r="F299" t="str">
        <f t="shared" si="2"/>
        <v>Darlene Zschech &amp; Paul Andrew</v>
      </c>
      <c r="I299" t="s">
        <v>433</v>
      </c>
      <c r="J299" t="str">
        <f t="shared" si="3"/>
        <v>3. His Love</v>
      </c>
      <c r="K299" t="str">
        <f t="shared" si="4"/>
        <v>Raymond Badham) – Worship Leader: Darlene Zschech &amp; Paul Andrew</v>
      </c>
    </row>
    <row r="300" spans="1:11" x14ac:dyDescent="0.25">
      <c r="A300" s="1">
        <v>2005</v>
      </c>
      <c r="B300" t="s">
        <v>13</v>
      </c>
      <c r="C300">
        <v>4</v>
      </c>
      <c r="D300" t="str">
        <f t="shared" si="0"/>
        <v>Emmanuel</v>
      </c>
      <c r="E300" t="str">
        <f t="shared" si="1"/>
        <v>Reuben Morgan</v>
      </c>
      <c r="F300" t="str">
        <f t="shared" si="2"/>
        <v>Darlene Zschech b. Reuben Morgan</v>
      </c>
      <c r="I300" t="s">
        <v>434</v>
      </c>
      <c r="J300" t="str">
        <f t="shared" si="3"/>
        <v>4. Emmanuel</v>
      </c>
      <c r="K300" t="str">
        <f t="shared" si="4"/>
        <v>Reuben Morgan) – Worship Leaders: Darlene Zschech b. Reuben Morgan</v>
      </c>
    </row>
    <row r="301" spans="1:11" x14ac:dyDescent="0.25">
      <c r="A301" s="1">
        <v>2005</v>
      </c>
      <c r="B301" t="s">
        <v>13</v>
      </c>
      <c r="C301">
        <v>5</v>
      </c>
      <c r="D301" t="str">
        <f t="shared" si="0"/>
        <v>Saviour</v>
      </c>
      <c r="E301" t="str">
        <f t="shared" si="1"/>
        <v>Darlene Zschech</v>
      </c>
      <c r="F301" t="str">
        <f t="shared" si="2"/>
        <v>Miriam Webster b Darlene Zschech</v>
      </c>
      <c r="I301" t="s">
        <v>435</v>
      </c>
      <c r="J301" t="str">
        <f t="shared" si="3"/>
        <v>5. Saviour</v>
      </c>
      <c r="K301" t="str">
        <f t="shared" si="4"/>
        <v>Darlene Zschech) – Worship Leaders: Miriam Webster b Darlene Zschech</v>
      </c>
    </row>
    <row r="302" spans="1:11" x14ac:dyDescent="0.25">
      <c r="A302" s="1">
        <v>2005</v>
      </c>
      <c r="B302" t="s">
        <v>13</v>
      </c>
      <c r="C302">
        <v>6</v>
      </c>
      <c r="D302" t="str">
        <f t="shared" si="0"/>
        <v>Wonderful God</v>
      </c>
      <c r="E302" t="str">
        <f t="shared" si="1"/>
        <v>Ned Davies</v>
      </c>
      <c r="F302" t="str">
        <f t="shared" si="2"/>
        <v>Darlene Zschech, b. Joel Houston</v>
      </c>
      <c r="I302" t="s">
        <v>436</v>
      </c>
      <c r="J302" t="str">
        <f t="shared" si="3"/>
        <v>6. Wonderful God</v>
      </c>
      <c r="K302" t="str">
        <f t="shared" si="4"/>
        <v>Ned Davies) – Worship Leader: Darlene Zschech, b. Joel Houston</v>
      </c>
    </row>
    <row r="303" spans="1:11" x14ac:dyDescent="0.25">
      <c r="A303" s="1">
        <v>2005</v>
      </c>
      <c r="B303" t="s">
        <v>13</v>
      </c>
      <c r="C303">
        <v>7</v>
      </c>
      <c r="D303" t="str">
        <f t="shared" si="0"/>
        <v>God He Reigns/All I Need Is You</v>
      </c>
      <c r="E303" t="str">
        <f t="shared" si="1"/>
        <v>chorus</v>
      </c>
      <c r="F303" t="str">
        <f t="shared" si="2"/>
        <v>Darlene Zschech</v>
      </c>
      <c r="I303" t="s">
        <v>437</v>
      </c>
      <c r="J303" t="str">
        <f t="shared" si="3"/>
        <v>7. God He Reigns/All I Need Is You</v>
      </c>
      <c r="K303" t="str">
        <f t="shared" si="4"/>
        <v>chorus) (Marty Sampson) – Worship Leaders: Darlene Zschech</v>
      </c>
    </row>
    <row r="304" spans="1:11" x14ac:dyDescent="0.25">
      <c r="A304" s="1">
        <v>2005</v>
      </c>
      <c r="B304" t="s">
        <v>13</v>
      </c>
      <c r="C304">
        <v>8</v>
      </c>
      <c r="D304" t="str">
        <f t="shared" si="0"/>
        <v>Yours Is the Kingdom</v>
      </c>
      <c r="E304" t="str">
        <f t="shared" si="1"/>
        <v>Joel Houston</v>
      </c>
      <c r="F304" t="str">
        <f t="shared" si="2"/>
        <v>Marty Sampson, b. Darlene Zschech</v>
      </c>
      <c r="I304" t="s">
        <v>438</v>
      </c>
      <c r="J304" t="str">
        <f t="shared" si="3"/>
        <v>8. Yours Is the Kingdom</v>
      </c>
      <c r="K304" t="str">
        <f t="shared" si="4"/>
        <v>Joel Houston) – Worship Leaders: Marty Sampson, b. Darlene Zschech</v>
      </c>
    </row>
    <row r="305" spans="1:11" x14ac:dyDescent="0.25">
      <c r="A305" s="1">
        <v>2005</v>
      </c>
      <c r="B305" t="s">
        <v>13</v>
      </c>
      <c r="C305">
        <v>9</v>
      </c>
      <c r="D305" t="str">
        <f t="shared" si="0"/>
        <v>Welcome in This Place</v>
      </c>
      <c r="E305" t="str">
        <f t="shared" si="1"/>
        <v>Miriam Webster</v>
      </c>
      <c r="F305" t="str">
        <f t="shared" si="2"/>
        <v>Darlene Zschech</v>
      </c>
      <c r="I305" t="s">
        <v>439</v>
      </c>
      <c r="J305" t="str">
        <f t="shared" si="3"/>
        <v>9. Welcome in This Place</v>
      </c>
      <c r="K305" t="str">
        <f t="shared" si="4"/>
        <v>Miriam Webster) – Worship Leader: Darlene Zschech</v>
      </c>
    </row>
    <row r="306" spans="1:11" x14ac:dyDescent="0.25">
      <c r="A306" s="1">
        <v>2005</v>
      </c>
      <c r="B306" t="s">
        <v>13</v>
      </c>
      <c r="C306">
        <v>10</v>
      </c>
      <c r="D306" t="str">
        <f t="shared" si="0"/>
        <v>Let Us Adore</v>
      </c>
      <c r="E306" t="str">
        <f t="shared" si="1"/>
        <v>Reuben Morgan</v>
      </c>
      <c r="F306" t="str">
        <f t="shared" si="2"/>
        <v>Darlene Zschech b. Reuben Morgan</v>
      </c>
      <c r="I306" t="s">
        <v>440</v>
      </c>
      <c r="J306" t="str">
        <f t="shared" si="3"/>
        <v>1. Let Us Adore</v>
      </c>
      <c r="K306" t="str">
        <f t="shared" si="4"/>
        <v>Reuben Morgan) – Worship Leaders: Darlene Zschech b. Reuben Morgan</v>
      </c>
    </row>
    <row r="307" spans="1:11" x14ac:dyDescent="0.25">
      <c r="A307" s="1">
        <v>2005</v>
      </c>
      <c r="B307" t="s">
        <v>13</v>
      </c>
      <c r="C307">
        <v>11</v>
      </c>
      <c r="D307" t="str">
        <f t="shared" si="0"/>
        <v>All for Love</v>
      </c>
      <c r="E307" t="str">
        <f t="shared" si="1"/>
        <v>Mia Fieldes</v>
      </c>
      <c r="F307" t="str">
        <f t="shared" si="2"/>
        <v>Marcus Temu, Tulele Faletolu, Barry Southgate</v>
      </c>
      <c r="I307" t="s">
        <v>550</v>
      </c>
      <c r="J307" t="str">
        <f t="shared" si="3"/>
        <v>2. All for Love</v>
      </c>
      <c r="K307" t="str">
        <f t="shared" si="4"/>
        <v>Mia Fieldes) – Worship Leaders: Marcus Temu, Tulele Faletolu, Barry Southgate</v>
      </c>
    </row>
    <row r="308" spans="1:11" x14ac:dyDescent="0.25">
      <c r="A308" s="1">
        <v>2005</v>
      </c>
      <c r="B308" t="s">
        <v>13</v>
      </c>
      <c r="C308">
        <v>12</v>
      </c>
      <c r="D308" t="str">
        <f t="shared" si="0"/>
        <v>Know You More</v>
      </c>
      <c r="E308" t="str">
        <f t="shared" si="1"/>
        <v>Darlene Zschech</v>
      </c>
      <c r="F308" t="str">
        <f t="shared" si="2"/>
        <v>Dee Uluirewa &amp; Darlene Zschech</v>
      </c>
      <c r="I308" t="s">
        <v>441</v>
      </c>
      <c r="J308" t="str">
        <f t="shared" si="3"/>
        <v>3. Know You More</v>
      </c>
      <c r="K308" t="str">
        <f t="shared" si="4"/>
        <v>Darlene Zschech) – Worship Leaders: Dee Uluirewa &amp; Darlene Zschech</v>
      </c>
    </row>
    <row r="309" spans="1:11" x14ac:dyDescent="0.25">
      <c r="A309" s="1">
        <v>2005</v>
      </c>
      <c r="B309" t="s">
        <v>13</v>
      </c>
      <c r="C309">
        <v>13</v>
      </c>
      <c r="D309" t="str">
        <f t="shared" si="0"/>
        <v>There Is Nothing Like</v>
      </c>
      <c r="E309" t="str">
        <f t="shared" si="1"/>
        <v>Marty Sampson &amp; Jonas Myrin</v>
      </c>
      <c r="F309" t="str">
        <f t="shared" si="2"/>
        <v>Marty Sampson</v>
      </c>
      <c r="I309" t="s">
        <v>442</v>
      </c>
      <c r="J309" t="str">
        <f t="shared" si="3"/>
        <v>4. There Is Nothing Like</v>
      </c>
      <c r="K309" t="str">
        <f t="shared" si="4"/>
        <v>Marty Sampson &amp; Jonas Myrin) – Worship Leaders: Marty Sampson</v>
      </c>
    </row>
    <row r="310" spans="1:11" x14ac:dyDescent="0.25">
      <c r="A310" s="1">
        <v>2005</v>
      </c>
      <c r="B310" t="s">
        <v>13</v>
      </c>
      <c r="C310">
        <v>14</v>
      </c>
      <c r="D310" t="str">
        <f t="shared" si="0"/>
        <v>What the World Will Never Take</v>
      </c>
      <c r="E310" t="str">
        <f t="shared" si="1"/>
        <v>Matt Crocker, Scott Ligertwood &amp; Marty Sampson</v>
      </c>
      <c r="F310" t="str">
        <f t="shared" si="2"/>
        <v>Marty Sampson &amp; Tulele Faletolu</v>
      </c>
      <c r="I310" t="s">
        <v>443</v>
      </c>
      <c r="J310" t="str">
        <f t="shared" si="3"/>
        <v>5. What the World Will Never Take</v>
      </c>
      <c r="K310" t="str">
        <f t="shared" si="4"/>
        <v>Matt Crocker, Scott Ligertwood &amp; Marty Sampson) – Worship Leaders: Marty Sampson &amp; Tulele Faletolu</v>
      </c>
    </row>
    <row r="311" spans="1:11" x14ac:dyDescent="0.25">
      <c r="A311" s="1">
        <v>2005</v>
      </c>
      <c r="B311" t="s">
        <v>13</v>
      </c>
      <c r="C311">
        <v>15</v>
      </c>
      <c r="D311" t="str">
        <f t="shared" si="0"/>
        <v>Tell the World</v>
      </c>
      <c r="E311" t="str">
        <f t="shared" si="1"/>
        <v>Jonathan Douglass, Joel Houston &amp; Marty Sampson</v>
      </c>
      <c r="F311" t="str">
        <f t="shared" si="2"/>
        <v>Joel Houston &amp; Jonathan Douglass, b. Darlene Zschech</v>
      </c>
      <c r="I311" t="s">
        <v>444</v>
      </c>
      <c r="J311" t="str">
        <f t="shared" si="3"/>
        <v>6. Tell the World</v>
      </c>
      <c r="K311" t="str">
        <f t="shared" si="4"/>
        <v>Jonathan Douglass, Joel Houston &amp; Marty Sampson) – Worship Leaders: Joel Houston &amp; Jonathan Douglass, b. Darlene Zschech</v>
      </c>
    </row>
    <row r="312" spans="1:11" x14ac:dyDescent="0.25">
      <c r="A312" s="1">
        <v>2004</v>
      </c>
      <c r="B312" t="s">
        <v>12</v>
      </c>
      <c r="C312">
        <v>1</v>
      </c>
      <c r="D312" t="str">
        <f t="shared" si="0"/>
        <v>For All You've Done</v>
      </c>
      <c r="E312" t="str">
        <f t="shared" si="1"/>
        <v>Reuben Morgan</v>
      </c>
      <c r="F312" t="str">
        <f t="shared" si="2"/>
        <v>Darlene Zschech &amp; Reuben Morgan - 5:26</v>
      </c>
      <c r="I312" t="s">
        <v>549</v>
      </c>
      <c r="J312" t="str">
        <f t="shared" si="3"/>
        <v>1. For All You've Done</v>
      </c>
      <c r="K312" t="str">
        <f t="shared" si="4"/>
        <v>Reuben Morgan) - Worship Leaders: Darlene Zschech &amp; Reuben Morgan - 5:26</v>
      </c>
    </row>
    <row r="313" spans="1:11" x14ac:dyDescent="0.25">
      <c r="A313" s="1">
        <v>2004</v>
      </c>
      <c r="B313" t="s">
        <v>12</v>
      </c>
      <c r="C313">
        <v>2</v>
      </c>
      <c r="D313" t="str">
        <f t="shared" si="0"/>
        <v>One Way</v>
      </c>
      <c r="E313" t="str">
        <f t="shared" si="1"/>
        <v>Jonathon Douglass &amp; Joel Houston</v>
      </c>
      <c r="F313" t="str">
        <f t="shared" si="2"/>
        <v>Jonathon Douglass &amp; Marty Sampson, b. Darlene Zschech - 3:43</v>
      </c>
      <c r="I313" t="s">
        <v>548</v>
      </c>
      <c r="J313" t="str">
        <f t="shared" si="3"/>
        <v>2. One Way</v>
      </c>
      <c r="K313" t="str">
        <f t="shared" si="4"/>
        <v>Jonathon Douglass &amp; Joel Houston) Worship Leaders: Jonathon Douglass &amp; Marty Sampson, b. Darlene Zschech - 3:43</v>
      </c>
    </row>
    <row r="314" spans="1:11" x14ac:dyDescent="0.25">
      <c r="A314" s="1">
        <v>2004</v>
      </c>
      <c r="B314" t="s">
        <v>12</v>
      </c>
      <c r="C314">
        <v>3</v>
      </c>
      <c r="D314" t="str">
        <f t="shared" si="0"/>
        <v>Evermore</v>
      </c>
      <c r="E314" t="str">
        <f t="shared" si="1"/>
        <v>Joel Houston</v>
      </c>
      <c r="F314" t="str">
        <f t="shared" si="2"/>
        <v>Marty Sampson, b. Darlene Zschech - 5:02</v>
      </c>
      <c r="I314" t="s">
        <v>445</v>
      </c>
      <c r="J314" t="str">
        <f t="shared" si="3"/>
        <v>3. Evermore</v>
      </c>
      <c r="K314" t="str">
        <f t="shared" si="4"/>
        <v>Joel Houston) - Worship Leaders: Marty Sampson, b. Darlene Zschech - 5:02</v>
      </c>
    </row>
    <row r="315" spans="1:11" x14ac:dyDescent="0.25">
      <c r="A315" s="1">
        <v>2004</v>
      </c>
      <c r="B315" t="s">
        <v>12</v>
      </c>
      <c r="C315">
        <v>4</v>
      </c>
      <c r="D315" t="str">
        <f t="shared" si="0"/>
        <v>With All I Am</v>
      </c>
      <c r="E315" t="str">
        <f t="shared" si="1"/>
        <v>Reuben Morgan</v>
      </c>
      <c r="F315" t="str">
        <f t="shared" si="2"/>
        <v>Darlene Zschech &amp; Reuben Morgan - 7:23</v>
      </c>
      <c r="I315" t="s">
        <v>446</v>
      </c>
      <c r="J315" t="str">
        <f t="shared" si="3"/>
        <v>4. With All I Am</v>
      </c>
      <c r="K315" t="str">
        <f t="shared" si="4"/>
        <v>Reuben Morgan) - Worship Leaders: Darlene Zschech &amp; Reuben Morgan - 7:23</v>
      </c>
    </row>
    <row r="316" spans="1:11" x14ac:dyDescent="0.25">
      <c r="A316" s="1">
        <v>2004</v>
      </c>
      <c r="B316" t="s">
        <v>12</v>
      </c>
      <c r="C316">
        <v>5</v>
      </c>
      <c r="D316" t="str">
        <f t="shared" si="0"/>
        <v>Sing</v>
      </c>
      <c r="E316" t="str">
        <f t="shared" si="1"/>
        <v>Your Love</v>
      </c>
      <c r="F316" t="str">
        <f t="shared" si="2"/>
        <v>Reuben Morgan, b. Darlene Zschech - 6:22</v>
      </c>
      <c r="I316" t="s">
        <v>447</v>
      </c>
      <c r="J316" t="str">
        <f t="shared" si="3"/>
        <v>5. Sing</v>
      </c>
      <c r="K316" t="str">
        <f t="shared" si="4"/>
        <v>Your Love) (Reuben Morgan) - Worship Leader: Reuben Morgan, b. Darlene Zschech - 6:22</v>
      </c>
    </row>
    <row r="317" spans="1:11" x14ac:dyDescent="0.25">
      <c r="A317" s="1">
        <v>2004</v>
      </c>
      <c r="B317" t="s">
        <v>12</v>
      </c>
      <c r="C317">
        <v>6</v>
      </c>
      <c r="D317" t="str">
        <f t="shared" si="0"/>
        <v>Hallelujah</v>
      </c>
      <c r="E317" t="str">
        <f t="shared" si="1"/>
        <v>Marty Sampson &amp; Jonas Myrin</v>
      </c>
      <c r="F317" t="str">
        <f t="shared" si="2"/>
        <v>Jonas Myrin b. Darlene Zschech - 9:05</v>
      </c>
      <c r="I317" t="s">
        <v>448</v>
      </c>
      <c r="J317" t="str">
        <f t="shared" si="3"/>
        <v>6. Hallelujah</v>
      </c>
      <c r="K317" t="str">
        <f t="shared" si="4"/>
        <v>Marty Sampson &amp; Jonas Myrin) - Worship Leaders: Jonas Myrin b. Darlene Zschech - 9:05</v>
      </c>
    </row>
    <row r="318" spans="1:11" x14ac:dyDescent="0.25">
      <c r="A318" s="1">
        <v>2004</v>
      </c>
      <c r="B318" t="s">
        <v>12</v>
      </c>
      <c r="C318">
        <v>7</v>
      </c>
      <c r="D318" t="str">
        <f t="shared" si="0"/>
        <v>You Are Worthy</v>
      </c>
      <c r="E318" t="str">
        <f t="shared" si="1"/>
        <v>Darlene Zschech</v>
      </c>
      <c r="F318" t="str">
        <f t="shared" si="2"/>
        <v>Darlene Zschech - 6:15</v>
      </c>
      <c r="I318" t="s">
        <v>547</v>
      </c>
      <c r="J318" t="str">
        <f t="shared" si="3"/>
        <v>7. You Are Worthy</v>
      </c>
      <c r="K318" t="str">
        <f t="shared" si="4"/>
        <v>Darlene Zschech) Worship Leader: Darlene Zschech - 6:15</v>
      </c>
    </row>
    <row r="319" spans="1:11" x14ac:dyDescent="0.25">
      <c r="A319" s="1">
        <v>2004</v>
      </c>
      <c r="B319" t="s">
        <v>12</v>
      </c>
      <c r="C319">
        <v>8</v>
      </c>
      <c r="D319" t="str">
        <f t="shared" si="0"/>
        <v>Home</v>
      </c>
      <c r="E319" t="str">
        <f t="shared" si="1"/>
        <v>Marty Sampson</v>
      </c>
      <c r="F319" t="str">
        <f t="shared" si="2"/>
        <v>Marty Sampson - 4:58</v>
      </c>
      <c r="I319" t="s">
        <v>449</v>
      </c>
      <c r="J319" t="str">
        <f t="shared" si="3"/>
        <v>8. Home</v>
      </c>
      <c r="K319" t="str">
        <f t="shared" si="4"/>
        <v>Marty Sampson) - Worship Leader: Marty Sampson - 4:58</v>
      </c>
    </row>
    <row r="320" spans="1:11" x14ac:dyDescent="0.25">
      <c r="A320" s="1">
        <v>2004</v>
      </c>
      <c r="B320" t="s">
        <v>12</v>
      </c>
      <c r="C320">
        <v>9</v>
      </c>
      <c r="D320" t="str">
        <f t="shared" si="0"/>
        <v>Forever and a Day</v>
      </c>
      <c r="E320" t="str">
        <f t="shared" si="1"/>
        <v>Raymond Badham</v>
      </c>
      <c r="F320" t="str">
        <f t="shared" si="2"/>
        <v>Darlene Zschech, b. Marty Sampson - 4:55</v>
      </c>
      <c r="I320" t="s">
        <v>450</v>
      </c>
      <c r="J320" t="str">
        <f t="shared" si="3"/>
        <v>1. Forever and a Day</v>
      </c>
      <c r="K320" t="str">
        <f t="shared" si="4"/>
        <v>Raymond Badham) - Worship Leader: Darlene Zschech, b. Marty Sampson - 4:55</v>
      </c>
    </row>
    <row r="321" spans="1:11" x14ac:dyDescent="0.25">
      <c r="A321" s="1">
        <v>2004</v>
      </c>
      <c r="B321" t="s">
        <v>12</v>
      </c>
      <c r="C321">
        <v>10</v>
      </c>
      <c r="D321" t="str">
        <f t="shared" si="0"/>
        <v>Jesus the Same</v>
      </c>
      <c r="E321" t="str">
        <f t="shared" si="1"/>
        <v>Raymond Badham</v>
      </c>
      <c r="F321" t="str">
        <f t="shared" si="2"/>
        <v>Steve McPherson - 5:30</v>
      </c>
      <c r="I321" t="s">
        <v>451</v>
      </c>
      <c r="J321" t="str">
        <f t="shared" si="3"/>
        <v>2. Jesus the Same</v>
      </c>
      <c r="K321" t="str">
        <f t="shared" si="4"/>
        <v>Raymond Badham) - Worship Leader: Steve McPherson - 5:30</v>
      </c>
    </row>
    <row r="322" spans="1:11" x14ac:dyDescent="0.25">
      <c r="A322" s="1">
        <v>2004</v>
      </c>
      <c r="B322" t="s">
        <v>12</v>
      </c>
      <c r="C322">
        <v>11</v>
      </c>
      <c r="D322" t="str">
        <f t="shared" si="0"/>
        <v>I Will Love</v>
      </c>
      <c r="E322" t="str">
        <f t="shared" si="1"/>
        <v>Miriam Webster</v>
      </c>
      <c r="F322" t="str">
        <f t="shared" si="2"/>
        <v>Miriam Webster - 4:41</v>
      </c>
      <c r="I322" t="s">
        <v>452</v>
      </c>
      <c r="J322" t="str">
        <f t="shared" si="3"/>
        <v>3. I Will Love</v>
      </c>
      <c r="K322" t="str">
        <f t="shared" si="4"/>
        <v>Miriam Webster) - Worship Leader: Miriam Webster - 4:41</v>
      </c>
    </row>
    <row r="323" spans="1:11" x14ac:dyDescent="0.25">
      <c r="A323" s="1">
        <v>2004</v>
      </c>
      <c r="B323" t="s">
        <v>12</v>
      </c>
      <c r="C323">
        <v>12</v>
      </c>
      <c r="D323" t="str">
        <f t="shared" si="0"/>
        <v>Take All of Me</v>
      </c>
      <c r="E323" t="str">
        <f t="shared" si="1"/>
        <v>Marty Sampson</v>
      </c>
      <c r="F323" t="str">
        <f t="shared" si="2"/>
        <v>Marty Sampson, b. Darlene Zschech - 8:15</v>
      </c>
      <c r="I323" t="s">
        <v>453</v>
      </c>
      <c r="J323" t="str">
        <f t="shared" si="3"/>
        <v>4. Take All of Me</v>
      </c>
      <c r="K323" t="str">
        <f t="shared" si="4"/>
        <v>Marty Sampson) - Worship Leader: Marty Sampson, b. Darlene Zschech - 8:15</v>
      </c>
    </row>
    <row r="324" spans="1:11" x14ac:dyDescent="0.25">
      <c r="A324" s="1">
        <v>2004</v>
      </c>
      <c r="B324" t="s">
        <v>12</v>
      </c>
      <c r="C324">
        <v>13</v>
      </c>
      <c r="D324" t="str">
        <f t="shared" si="0"/>
        <v>More Than Life</v>
      </c>
      <c r="E324" t="str">
        <f t="shared" si="1"/>
        <v>Reuben Morgan</v>
      </c>
      <c r="F324" t="str">
        <f t="shared" si="2"/>
        <v>Tulele Faletolu &amp; Darlene Zschech - 8:52</v>
      </c>
      <c r="I324" t="s">
        <v>454</v>
      </c>
      <c r="J324" t="str">
        <f t="shared" si="3"/>
        <v>5. More Than Life</v>
      </c>
      <c r="K324" t="str">
        <f t="shared" si="4"/>
        <v>Reuben Morgan) - Worship Leaders: Tulele Faletolu &amp; Darlene Zschech - 8:52</v>
      </c>
    </row>
    <row r="325" spans="1:11" x14ac:dyDescent="0.25">
      <c r="A325" s="1">
        <v>2004</v>
      </c>
      <c r="B325" t="s">
        <v>12</v>
      </c>
      <c r="C325">
        <v>14</v>
      </c>
      <c r="D325" t="str">
        <f t="shared" si="0"/>
        <v>Glorify Your Name</v>
      </c>
      <c r="E325" t="str">
        <f t="shared" si="1"/>
        <v>Darlene Zschech &amp; David Holmes</v>
      </c>
      <c r="F325" t="str">
        <f t="shared" si="2"/>
        <v>Darlene Zschech - 7:02</v>
      </c>
      <c r="I325" t="s">
        <v>455</v>
      </c>
      <c r="J325" t="str">
        <f t="shared" si="3"/>
        <v>6. Glorify Your Name</v>
      </c>
      <c r="K325" t="str">
        <f t="shared" si="4"/>
        <v>Darlene Zschech &amp; David Holmes) - Worship Leader: Darlene Zschech - 7:02</v>
      </c>
    </row>
    <row r="326" spans="1:11" x14ac:dyDescent="0.25">
      <c r="A326" s="1">
        <v>2004</v>
      </c>
      <c r="B326" t="s">
        <v>12</v>
      </c>
      <c r="C326">
        <v>15</v>
      </c>
      <c r="D326" t="str">
        <f t="shared" si="0"/>
        <v>To You Alone</v>
      </c>
      <c r="E326" t="str">
        <f t="shared" si="1"/>
        <v>Reuben Morgan</v>
      </c>
      <c r="F326" t="str">
        <f t="shared" si="2"/>
        <v>Holly Dawson &amp; Darlene Zschech - 7:39</v>
      </c>
      <c r="I326" t="s">
        <v>456</v>
      </c>
      <c r="J326" t="str">
        <f t="shared" si="3"/>
        <v>7. To You Alone</v>
      </c>
      <c r="K326" t="str">
        <f t="shared" si="4"/>
        <v>Reuben Morgan) - Worship Leaders: Holly Dawson &amp; Darlene Zschech - 7:39</v>
      </c>
    </row>
    <row r="327" spans="1:11" x14ac:dyDescent="0.25">
      <c r="A327" s="1">
        <v>2003</v>
      </c>
      <c r="B327" t="s">
        <v>11</v>
      </c>
      <c r="C327">
        <v>1</v>
      </c>
      <c r="D327" t="str">
        <f t="shared" si="0"/>
        <v>Better Than Life</v>
      </c>
      <c r="E327" t="str">
        <f t="shared" si="1"/>
        <v>Marty Sampson</v>
      </c>
      <c r="F327" t="str">
        <f t="shared" si="2"/>
        <v>Marty Sampson</v>
      </c>
      <c r="I327" t="s">
        <v>546</v>
      </c>
      <c r="J327" t="str">
        <f t="shared" si="3"/>
        <v>1. Better Than Life</v>
      </c>
      <c r="K327" t="str">
        <f t="shared" si="4"/>
        <v>Marty Sampson) – worship leader: Marty Sampson</v>
      </c>
    </row>
    <row r="328" spans="1:11" x14ac:dyDescent="0.25">
      <c r="A328" s="1">
        <v>2003</v>
      </c>
      <c r="B328" t="s">
        <v>11</v>
      </c>
      <c r="C328">
        <v>2</v>
      </c>
      <c r="D328" t="str">
        <f t="shared" si="0"/>
        <v>Glory</v>
      </c>
      <c r="E328" t="str">
        <f t="shared" si="1"/>
        <v>Reuben Morgan</v>
      </c>
      <c r="F328" t="str">
        <f t="shared" si="2"/>
        <v>Darlene Zschech &amp; Reuben Morgan</v>
      </c>
      <c r="I328" t="s">
        <v>545</v>
      </c>
      <c r="J328" t="str">
        <f t="shared" si="3"/>
        <v>2. Glory</v>
      </c>
      <c r="K328" t="str">
        <f t="shared" si="4"/>
        <v>Reuben Morgan) – worship leader: Darlene Zschech &amp; Reuben Morgan</v>
      </c>
    </row>
    <row r="329" spans="1:11" x14ac:dyDescent="0.25">
      <c r="A329" s="1">
        <v>2003</v>
      </c>
      <c r="B329" t="s">
        <v>11</v>
      </c>
      <c r="C329">
        <v>3</v>
      </c>
      <c r="D329" t="str">
        <f t="shared" ref="D329:D360" si="5">RIGHT(J329, LEN(J329)-FIND(". ",J329)-1)</f>
        <v>Ever Living God</v>
      </c>
      <c r="E329" t="str">
        <f t="shared" ref="E329:E360" si="6">LEFT(K329,FIND(") ",K329) - 1)</f>
        <v>Raymond Badham</v>
      </c>
      <c r="F329" t="str">
        <f t="shared" ref="F329:F360" si="7">RIGHT(I329,LEN(I329)-FIND(": ", I329)-1)</f>
        <v>Darlene Zschech</v>
      </c>
      <c r="I329" t="s">
        <v>544</v>
      </c>
      <c r="J329" t="str">
        <f t="shared" ref="J329:J360" si="8">LEFT(I329,FIND(" (",I329)-1)</f>
        <v>3. Ever Living God</v>
      </c>
      <c r="K329" t="str">
        <f t="shared" ref="K329:K360" si="9">RIGHT(I329, LEN(I329)-FIND(" (",I329) - 1)</f>
        <v>Raymond Badham) – worship leader: Darlene Zschech</v>
      </c>
    </row>
    <row r="330" spans="1:11" x14ac:dyDescent="0.25">
      <c r="A330" s="1">
        <v>2003</v>
      </c>
      <c r="B330" t="s">
        <v>11</v>
      </c>
      <c r="C330">
        <v>4</v>
      </c>
      <c r="D330" t="str">
        <f t="shared" si="5"/>
        <v>Need You Here</v>
      </c>
      <c r="E330" t="str">
        <f t="shared" si="6"/>
        <v>Morgan</v>
      </c>
      <c r="F330" t="str">
        <f t="shared" si="7"/>
        <v>Darlene Zschech</v>
      </c>
      <c r="I330" t="s">
        <v>543</v>
      </c>
      <c r="J330" t="str">
        <f t="shared" si="8"/>
        <v>4. Need You Here</v>
      </c>
      <c r="K330" t="str">
        <f t="shared" si="9"/>
        <v>Morgan) – worship leader: Darlene Zschech</v>
      </c>
    </row>
    <row r="331" spans="1:11" x14ac:dyDescent="0.25">
      <c r="A331" s="1">
        <v>2003</v>
      </c>
      <c r="B331" t="s">
        <v>11</v>
      </c>
      <c r="C331">
        <v>5</v>
      </c>
      <c r="D331" t="str">
        <f t="shared" si="5"/>
        <v>My Hope</v>
      </c>
      <c r="E331" t="str">
        <f t="shared" si="6"/>
        <v>Darlene Zschech</v>
      </c>
      <c r="F331" t="str">
        <f t="shared" si="7"/>
        <v>Darlene Zschech</v>
      </c>
      <c r="I331" t="s">
        <v>542</v>
      </c>
      <c r="J331" t="str">
        <f t="shared" si="8"/>
        <v>5. My Hope</v>
      </c>
      <c r="K331" t="str">
        <f t="shared" si="9"/>
        <v>Darlene Zschech) – worship leader: Darlene Zschech</v>
      </c>
    </row>
    <row r="332" spans="1:11" x14ac:dyDescent="0.25">
      <c r="A332" s="1">
        <v>2003</v>
      </c>
      <c r="B332" t="s">
        <v>11</v>
      </c>
      <c r="C332">
        <v>6</v>
      </c>
      <c r="D332" t="str">
        <f t="shared" si="5"/>
        <v>Still</v>
      </c>
      <c r="E332" t="str">
        <f t="shared" si="6"/>
        <v>Morgan</v>
      </c>
      <c r="F332" t="str">
        <f t="shared" si="7"/>
        <v>Tulele Faletolu</v>
      </c>
      <c r="I332" t="s">
        <v>541</v>
      </c>
      <c r="J332" t="str">
        <f t="shared" si="8"/>
        <v>6. Still</v>
      </c>
      <c r="K332" t="str">
        <f t="shared" si="9"/>
        <v>Morgan) – worship leader: Tulele Faletolu</v>
      </c>
    </row>
    <row r="333" spans="1:11" x14ac:dyDescent="0.25">
      <c r="A333" s="1">
        <v>2003</v>
      </c>
      <c r="B333" t="s">
        <v>11</v>
      </c>
      <c r="C333">
        <v>7</v>
      </c>
      <c r="D333" t="str">
        <f t="shared" si="5"/>
        <v>Angels</v>
      </c>
      <c r="E333" t="str">
        <f t="shared" si="6"/>
        <v>Sampson</v>
      </c>
      <c r="F333" t="str">
        <f t="shared" si="7"/>
        <v>Marty Sampson &amp; Darlene Zschech</v>
      </c>
      <c r="I333" t="s">
        <v>540</v>
      </c>
      <c r="J333" t="str">
        <f t="shared" si="8"/>
        <v>7. Angels</v>
      </c>
      <c r="K333" t="str">
        <f t="shared" si="9"/>
        <v>Sampson) – worship leaders: Marty Sampson &amp; Darlene Zschech</v>
      </c>
    </row>
    <row r="334" spans="1:11" x14ac:dyDescent="0.25">
      <c r="A334" s="1">
        <v>2003</v>
      </c>
      <c r="B334" t="s">
        <v>11</v>
      </c>
      <c r="C334">
        <v>8</v>
      </c>
      <c r="D334" t="str">
        <f t="shared" si="5"/>
        <v>Can't Stop Praising</v>
      </c>
      <c r="E334" t="str">
        <f t="shared" si="6"/>
        <v>Tulele Faletolu &amp; Sampson</v>
      </c>
      <c r="F334" t="str">
        <f t="shared" si="7"/>
        <v>Tulele Faletolu</v>
      </c>
      <c r="I334" t="s">
        <v>539</v>
      </c>
      <c r="J334" t="str">
        <f t="shared" si="8"/>
        <v>8. Can't Stop Praising</v>
      </c>
      <c r="K334" t="str">
        <f t="shared" si="9"/>
        <v>Tulele Faletolu &amp; Sampson) – worship leader: Tulele Faletolu</v>
      </c>
    </row>
    <row r="335" spans="1:11" x14ac:dyDescent="0.25">
      <c r="A335" s="1">
        <v>2003</v>
      </c>
      <c r="B335" t="s">
        <v>11</v>
      </c>
      <c r="C335">
        <v>9</v>
      </c>
      <c r="D335" t="str">
        <f t="shared" si="5"/>
        <v>You Are/You Are Lord</v>
      </c>
      <c r="E335" t="str">
        <f t="shared" si="6"/>
        <v>Darlene Zschech, Jennifer Va'a</v>
      </c>
      <c r="F335" t="str">
        <f t="shared" si="7"/>
        <v>Darlene Zschech</v>
      </c>
      <c r="I335" t="s">
        <v>538</v>
      </c>
      <c r="J335" t="str">
        <f t="shared" si="8"/>
        <v>9. You Are/You Are Lord</v>
      </c>
      <c r="K335" t="str">
        <f t="shared" si="9"/>
        <v>Darlene Zschech, Jennifer Va'a) – worship leader: Darlene Zschech</v>
      </c>
    </row>
    <row r="336" spans="1:11" x14ac:dyDescent="0.25">
      <c r="A336" s="1">
        <v>2003</v>
      </c>
      <c r="B336" t="s">
        <v>11</v>
      </c>
      <c r="C336">
        <v>10</v>
      </c>
      <c r="D336" t="str">
        <f t="shared" si="5"/>
        <v>Here I Am to Worship/Call</v>
      </c>
      <c r="E336" t="str">
        <f t="shared" si="6"/>
        <v>Tim Hughes, Darlene Zschech</v>
      </c>
      <c r="F336" t="str">
        <f t="shared" si="7"/>
        <v>Reuben Morgan &amp; Darlene Zschech</v>
      </c>
      <c r="I336" t="s">
        <v>537</v>
      </c>
      <c r="J336" t="str">
        <f t="shared" si="8"/>
        <v>10. Here I Am to Worship/Call</v>
      </c>
      <c r="K336" t="str">
        <f t="shared" si="9"/>
        <v>Tim Hughes, Darlene Zschech) – worship leaders: Reuben Morgan &amp; Darlene Zschech</v>
      </c>
    </row>
    <row r="337" spans="1:11" x14ac:dyDescent="0.25">
      <c r="A337" s="1">
        <v>2003</v>
      </c>
      <c r="B337" t="s">
        <v>11</v>
      </c>
      <c r="C337">
        <v>11</v>
      </c>
      <c r="D337" t="str">
        <f t="shared" si="5"/>
        <v>Highest</v>
      </c>
      <c r="E337" t="str">
        <f t="shared" si="6"/>
        <v>Morgan</v>
      </c>
      <c r="F337" t="str">
        <f t="shared" si="7"/>
        <v>Darlene Zschech</v>
      </c>
      <c r="I337" t="s">
        <v>536</v>
      </c>
      <c r="J337" t="str">
        <f t="shared" si="8"/>
        <v>11. Highest</v>
      </c>
      <c r="K337" t="str">
        <f t="shared" si="9"/>
        <v>Morgan) – worship leader: Darlene Zschech</v>
      </c>
    </row>
    <row r="338" spans="1:11" x14ac:dyDescent="0.25">
      <c r="A338" s="1">
        <v>2003</v>
      </c>
      <c r="B338" t="s">
        <v>11</v>
      </c>
      <c r="C338">
        <v>12</v>
      </c>
      <c r="D338" t="str">
        <f t="shared" si="5"/>
        <v>Song of Freedom</v>
      </c>
      <c r="E338" t="str">
        <f t="shared" si="6"/>
        <v>Marty Sampson</v>
      </c>
      <c r="F338" t="str">
        <f t="shared" si="7"/>
        <v>Darlene Zschech</v>
      </c>
      <c r="I338" t="s">
        <v>535</v>
      </c>
      <c r="J338" t="str">
        <f t="shared" si="8"/>
        <v>1. Song of Freedom</v>
      </c>
      <c r="K338" t="str">
        <f t="shared" si="9"/>
        <v>Marty Sampson) – worship leader: Darlene Zschech</v>
      </c>
    </row>
    <row r="339" spans="1:11" x14ac:dyDescent="0.25">
      <c r="A339" s="1">
        <v>2003</v>
      </c>
      <c r="B339" t="s">
        <v>11</v>
      </c>
      <c r="C339">
        <v>13</v>
      </c>
      <c r="D339" t="str">
        <f t="shared" si="5"/>
        <v>Shout Your Fame</v>
      </c>
      <c r="E339" t="str">
        <f t="shared" si="6"/>
        <v>Jonas Myrin, Natasha Bedingfield, Gio Galanti &amp; Paul Nevison</v>
      </c>
      <c r="F339" t="str">
        <f t="shared" si="7"/>
        <v>Steve McPherson</v>
      </c>
      <c r="I339" t="s">
        <v>534</v>
      </c>
      <c r="J339" t="str">
        <f t="shared" si="8"/>
        <v>2. Shout Your Fame</v>
      </c>
      <c r="K339" t="str">
        <f t="shared" si="9"/>
        <v>Jonas Myrin, Natasha Bedingfield, Gio Galanti &amp; Paul Nevison) – worship leader: Steve McPherson</v>
      </c>
    </row>
    <row r="340" spans="1:11" x14ac:dyDescent="0.25">
      <c r="A340" s="1">
        <v>2003</v>
      </c>
      <c r="B340" t="s">
        <v>11</v>
      </c>
      <c r="C340">
        <v>14</v>
      </c>
      <c r="D340" t="str">
        <f t="shared" si="5"/>
        <v>Exceeding Joy</v>
      </c>
      <c r="E340" t="str">
        <f t="shared" si="6"/>
        <v>Miriam Webster</v>
      </c>
      <c r="F340" t="str">
        <f t="shared" si="7"/>
        <v>Miriam Webster &amp; Darlene Zschech</v>
      </c>
      <c r="I340" t="s">
        <v>533</v>
      </c>
      <c r="J340" t="str">
        <f t="shared" si="8"/>
        <v>3. Exceeding Joy</v>
      </c>
      <c r="K340" t="str">
        <f t="shared" si="9"/>
        <v>Miriam Webster) – worship leaders: Miriam Webster &amp; Darlene Zschech</v>
      </c>
    </row>
    <row r="341" spans="1:11" x14ac:dyDescent="0.25">
      <c r="A341" s="1">
        <v>2003</v>
      </c>
      <c r="B341" t="s">
        <v>11</v>
      </c>
      <c r="C341">
        <v>15</v>
      </c>
      <c r="D341" t="str">
        <f t="shared" si="5"/>
        <v>King of Love</v>
      </c>
      <c r="E341" t="str">
        <f t="shared" si="6"/>
        <v>Tanya Riches</v>
      </c>
      <c r="F341" t="str">
        <f t="shared" si="7"/>
        <v>Steve McPherson &amp; Darlene Zschech</v>
      </c>
      <c r="I341" t="s">
        <v>532</v>
      </c>
      <c r="J341" t="str">
        <f t="shared" si="8"/>
        <v>4. King of Love</v>
      </c>
      <c r="K341" t="str">
        <f t="shared" si="9"/>
        <v>Tanya Riches) – worship leaders: Steve McPherson &amp; Darlene Zschech</v>
      </c>
    </row>
    <row r="342" spans="1:11" x14ac:dyDescent="0.25">
      <c r="A342" s="1">
        <v>2003</v>
      </c>
      <c r="B342" t="s">
        <v>11</v>
      </c>
      <c r="C342">
        <v>16</v>
      </c>
      <c r="D342" t="str">
        <f t="shared" si="5"/>
        <v>To the Ends of the Earth</v>
      </c>
      <c r="E342" t="str">
        <f t="shared" si="6"/>
        <v>Joel Houston &amp; Marty Sampson</v>
      </c>
      <c r="F342" t="str">
        <f t="shared" si="7"/>
        <v>Marty Sampson</v>
      </c>
      <c r="I342" t="s">
        <v>531</v>
      </c>
      <c r="J342" t="str">
        <f t="shared" si="8"/>
        <v>5. To the Ends of the Earth</v>
      </c>
      <c r="K342" t="str">
        <f t="shared" si="9"/>
        <v>Joel Houston &amp; Marty Sampson) – worship leader: Marty Sampson</v>
      </c>
    </row>
    <row r="343" spans="1:11" x14ac:dyDescent="0.25">
      <c r="A343" s="1">
        <v>2003</v>
      </c>
      <c r="B343" t="s">
        <v>11</v>
      </c>
      <c r="C343">
        <v>17</v>
      </c>
      <c r="D343" t="str">
        <f t="shared" si="5"/>
        <v>Free</v>
      </c>
      <c r="E343" t="str">
        <f t="shared" si="6"/>
        <v>Sampson</v>
      </c>
      <c r="F343" t="str">
        <f t="shared" si="7"/>
        <v>Tulele Faletolu, Joel Houston</v>
      </c>
      <c r="I343" t="s">
        <v>530</v>
      </c>
      <c r="J343" t="str">
        <f t="shared" si="8"/>
        <v>6. Free</v>
      </c>
      <c r="K343" t="str">
        <f t="shared" si="9"/>
        <v>Sampson) – worship leaders: Tulele Faletolu, Joel Houston</v>
      </c>
    </row>
    <row r="344" spans="1:11" x14ac:dyDescent="0.25">
      <c r="A344" s="1">
        <v>2003</v>
      </c>
      <c r="B344" t="s">
        <v>11</v>
      </c>
      <c r="C344">
        <v>18</v>
      </c>
      <c r="D344" t="str">
        <f t="shared" si="5"/>
        <v>Highest</v>
      </c>
      <c r="E344" t="str">
        <f t="shared" si="6"/>
        <v>reprise</v>
      </c>
      <c r="F344" t="str">
        <f t="shared" si="7"/>
        <v>Darlene Zschech</v>
      </c>
      <c r="I344" t="s">
        <v>529</v>
      </c>
      <c r="J344" t="str">
        <f t="shared" si="8"/>
        <v>7. Highest</v>
      </c>
      <c r="K344" t="str">
        <f t="shared" si="9"/>
        <v>reprise) – worship leader: Darlene Zschech</v>
      </c>
    </row>
    <row r="345" spans="1:11" x14ac:dyDescent="0.25">
      <c r="A345" s="1">
        <v>2002</v>
      </c>
      <c r="B345" t="s">
        <v>10</v>
      </c>
      <c r="C345">
        <v>1</v>
      </c>
      <c r="D345" t="str">
        <f t="shared" si="5"/>
        <v>Blessed</v>
      </c>
      <c r="E345" t="str">
        <f t="shared" si="6"/>
        <v>Darlene Zschech, Reuben Morgan</v>
      </c>
      <c r="F345" t="str">
        <f t="shared" si="7"/>
        <v>Darlene Zschech, Reuben Morgan</v>
      </c>
      <c r="I345" t="s">
        <v>457</v>
      </c>
      <c r="J345" t="str">
        <f t="shared" si="8"/>
        <v>1. Blessed</v>
      </c>
      <c r="K345" t="str">
        <f t="shared" si="9"/>
        <v>Darlene Zschech, Reuben Morgan) - lead vocals: Darlene Zschech, Reuben Morgan</v>
      </c>
    </row>
    <row r="346" spans="1:11" x14ac:dyDescent="0.25">
      <c r="A346" s="1">
        <v>2002</v>
      </c>
      <c r="B346" t="s">
        <v>10</v>
      </c>
      <c r="C346">
        <v>2</v>
      </c>
      <c r="D346" t="str">
        <f t="shared" si="5"/>
        <v>Now That You're Near</v>
      </c>
      <c r="E346" t="str">
        <f t="shared" si="6"/>
        <v>Marty Sampson</v>
      </c>
      <c r="F346" t="str">
        <f t="shared" si="7"/>
        <v>Marty Sampson, b. Darlene Zschech</v>
      </c>
      <c r="I346" t="s">
        <v>458</v>
      </c>
      <c r="J346" t="str">
        <f t="shared" si="8"/>
        <v>2. Now That You're Near</v>
      </c>
      <c r="K346" t="str">
        <f t="shared" si="9"/>
        <v>Marty Sampson) - lead vocals: Marty Sampson, b. Darlene Zschech</v>
      </c>
    </row>
    <row r="347" spans="1:11" x14ac:dyDescent="0.25">
      <c r="A347" s="1">
        <v>2002</v>
      </c>
      <c r="B347" t="s">
        <v>10</v>
      </c>
      <c r="C347">
        <v>3</v>
      </c>
      <c r="D347" t="str">
        <f t="shared" si="5"/>
        <v>Shout of the King</v>
      </c>
      <c r="E347" t="str">
        <f t="shared" si="6"/>
        <v>Ned Davies</v>
      </c>
      <c r="F347" t="str">
        <f t="shared" si="7"/>
        <v>Darlene Zschech</v>
      </c>
      <c r="I347" t="s">
        <v>459</v>
      </c>
      <c r="J347" t="str">
        <f t="shared" si="8"/>
        <v>3. Shout of the King</v>
      </c>
      <c r="K347" t="str">
        <f t="shared" si="9"/>
        <v>Ned Davies) - lead vocals: Darlene Zschech</v>
      </c>
    </row>
    <row r="348" spans="1:11" x14ac:dyDescent="0.25">
      <c r="A348" s="1">
        <v>2002</v>
      </c>
      <c r="B348" t="s">
        <v>10</v>
      </c>
      <c r="C348">
        <v>4</v>
      </c>
      <c r="D348" t="str">
        <f t="shared" si="5"/>
        <v>Made Me Glad</v>
      </c>
      <c r="E348" t="str">
        <f t="shared" si="6"/>
        <v>Miriam Webster</v>
      </c>
      <c r="F348" t="str">
        <f t="shared" si="7"/>
        <v>Darlene Zschech</v>
      </c>
      <c r="I348" t="s">
        <v>460</v>
      </c>
      <c r="J348" t="str">
        <f t="shared" si="8"/>
        <v>4. Made Me Glad</v>
      </c>
      <c r="K348" t="str">
        <f t="shared" si="9"/>
        <v>Miriam Webster) - lead vocals: Darlene Zschech</v>
      </c>
    </row>
    <row r="349" spans="1:11" x14ac:dyDescent="0.25">
      <c r="A349" s="1">
        <v>2002</v>
      </c>
      <c r="B349" t="s">
        <v>10</v>
      </c>
      <c r="C349">
        <v>5</v>
      </c>
      <c r="D349" t="str">
        <f t="shared" si="5"/>
        <v>Through It All</v>
      </c>
      <c r="E349" t="str">
        <f t="shared" si="6"/>
        <v>Morgan</v>
      </c>
      <c r="F349" t="str">
        <f t="shared" si="7"/>
        <v>Darlene Zschech, b. Reuben Morgan</v>
      </c>
      <c r="I349" t="s">
        <v>461</v>
      </c>
      <c r="J349" t="str">
        <f t="shared" si="8"/>
        <v>5. Through It All</v>
      </c>
      <c r="K349" t="str">
        <f t="shared" si="9"/>
        <v>Morgan) - lead vocals: Darlene Zschech, b. Reuben Morgan</v>
      </c>
    </row>
    <row r="350" spans="1:11" x14ac:dyDescent="0.25">
      <c r="A350" s="1">
        <v>2002</v>
      </c>
      <c r="B350" t="s">
        <v>10</v>
      </c>
      <c r="C350">
        <v>6</v>
      </c>
      <c r="D350" t="str">
        <f t="shared" si="5"/>
        <v>Son of God</v>
      </c>
      <c r="E350" t="str">
        <f t="shared" si="6"/>
        <v>Lincoln Brewster and Marty Sampson</v>
      </c>
      <c r="F350" t="str">
        <f t="shared" si="7"/>
        <v>Marty Sampson, b. Darlene Zschech</v>
      </c>
      <c r="I350" t="s">
        <v>462</v>
      </c>
      <c r="J350" t="str">
        <f t="shared" si="8"/>
        <v>6. Son of God</v>
      </c>
      <c r="K350" t="str">
        <f t="shared" si="9"/>
        <v>Lincoln Brewster and Marty Sampson) - lead vocals: Marty Sampson, b. Darlene Zschech</v>
      </c>
    </row>
    <row r="351" spans="1:11" x14ac:dyDescent="0.25">
      <c r="A351" s="1">
        <v>2002</v>
      </c>
      <c r="B351" t="s">
        <v>10</v>
      </c>
      <c r="C351">
        <v>7</v>
      </c>
      <c r="D351" t="str">
        <f t="shared" si="5"/>
        <v>One Desire</v>
      </c>
      <c r="E351" t="str">
        <f t="shared" si="6"/>
        <v>Joel Houston</v>
      </c>
      <c r="F351" t="str">
        <f t="shared" si="7"/>
        <v>Marty Sampson, Darlene Zschech</v>
      </c>
      <c r="I351" t="s">
        <v>463</v>
      </c>
      <c r="J351" t="str">
        <f t="shared" si="8"/>
        <v>7. One Desire</v>
      </c>
      <c r="K351" t="str">
        <f t="shared" si="9"/>
        <v>Joel Houston) - lead vocals: Marty Sampson, Darlene Zschech</v>
      </c>
    </row>
    <row r="352" spans="1:11" x14ac:dyDescent="0.25">
      <c r="A352" s="1">
        <v>2002</v>
      </c>
      <c r="B352" t="s">
        <v>10</v>
      </c>
      <c r="C352">
        <v>8</v>
      </c>
      <c r="D352" t="str">
        <f t="shared" si="5"/>
        <v>Magnificent</v>
      </c>
      <c r="E352" t="str">
        <f t="shared" si="6"/>
        <v>Raymond Badham</v>
      </c>
      <c r="F352" t="str">
        <f t="shared" si="7"/>
        <v>Tulele Faletolu</v>
      </c>
      <c r="I352" t="s">
        <v>464</v>
      </c>
      <c r="J352" t="str">
        <f t="shared" si="8"/>
        <v>8. Magnificent</v>
      </c>
      <c r="K352" t="str">
        <f t="shared" si="9"/>
        <v>Raymond Badham) - lead vocals: Tulele Faletolu</v>
      </c>
    </row>
    <row r="353" spans="1:11" x14ac:dyDescent="0.25">
      <c r="A353" s="1">
        <v>2002</v>
      </c>
      <c r="B353" t="s">
        <v>10</v>
      </c>
      <c r="C353">
        <v>9</v>
      </c>
      <c r="D353" t="str">
        <f t="shared" si="5"/>
        <v>I Adore</v>
      </c>
      <c r="E353" t="str">
        <f t="shared" si="6"/>
        <v>Reuben Morgan</v>
      </c>
      <c r="F353" t="str">
        <f t="shared" si="7"/>
        <v>Darlene Zschech, b. Reuben Morgan</v>
      </c>
      <c r="I353" t="s">
        <v>465</v>
      </c>
      <c r="J353" t="str">
        <f t="shared" si="8"/>
        <v>9. I Adore</v>
      </c>
      <c r="K353" t="str">
        <f t="shared" si="9"/>
        <v>Reuben Morgan) - lead vocals: Darlene Zschech, b. Reuben Morgan</v>
      </c>
    </row>
    <row r="354" spans="1:11" x14ac:dyDescent="0.25">
      <c r="A354" s="1">
        <v>2002</v>
      </c>
      <c r="B354" t="s">
        <v>10</v>
      </c>
      <c r="C354">
        <v>10</v>
      </c>
      <c r="D354" t="str">
        <f t="shared" si="5"/>
        <v>All I Do</v>
      </c>
      <c r="E354" t="str">
        <f t="shared" si="6"/>
        <v>Gio Galanti, Natasha Bedingfield</v>
      </c>
      <c r="F354" t="str">
        <f t="shared" si="7"/>
        <v>Darlene Zschech</v>
      </c>
      <c r="I354" t="s">
        <v>466</v>
      </c>
      <c r="J354" t="str">
        <f t="shared" si="8"/>
        <v>10. All I Do</v>
      </c>
      <c r="K354" t="str">
        <f t="shared" si="9"/>
        <v>Gio Galanti, Natasha Bedingfield) - lead vocals: Darlene Zschech</v>
      </c>
    </row>
    <row r="355" spans="1:11" x14ac:dyDescent="0.25">
      <c r="A355" s="1">
        <v>2002</v>
      </c>
      <c r="B355" t="s">
        <v>10</v>
      </c>
      <c r="C355">
        <v>11</v>
      </c>
      <c r="D355" t="str">
        <f t="shared" si="5"/>
        <v>With You</v>
      </c>
      <c r="E355" t="str">
        <f t="shared" si="6"/>
        <v>Reuben Morgan</v>
      </c>
      <c r="F355" t="str">
        <f t="shared" si="7"/>
        <v>Darlene Zschech, b. Reuben Morgan</v>
      </c>
      <c r="I355" t="s">
        <v>467</v>
      </c>
      <c r="J355" t="str">
        <f t="shared" si="8"/>
        <v>11. With You</v>
      </c>
      <c r="K355" t="str">
        <f t="shared" si="9"/>
        <v>Reuben Morgan) - lead vocals: Darlene Zschech, b. Reuben Morgan</v>
      </c>
    </row>
    <row r="356" spans="1:11" x14ac:dyDescent="0.25">
      <c r="A356" s="1">
        <v>2002</v>
      </c>
      <c r="B356" t="s">
        <v>10</v>
      </c>
      <c r="C356">
        <v>12</v>
      </c>
      <c r="D356" t="str">
        <f t="shared" si="5"/>
        <v>Most High</v>
      </c>
      <c r="E356" t="str">
        <f t="shared" si="6"/>
        <v>Reuben Morgan</v>
      </c>
      <c r="F356" t="str">
        <f t="shared" si="7"/>
        <v>Reuben Morgan, b. Darlene Zschech</v>
      </c>
      <c r="I356" t="s">
        <v>468</v>
      </c>
      <c r="J356" t="str">
        <f t="shared" si="8"/>
        <v>12. Most High</v>
      </c>
      <c r="K356" t="str">
        <f t="shared" si="9"/>
        <v>Reuben Morgan) - lead vocals: Reuben Morgan, b. Darlene Zschech</v>
      </c>
    </row>
    <row r="357" spans="1:11" x14ac:dyDescent="0.25">
      <c r="A357" s="1">
        <v>2002</v>
      </c>
      <c r="B357" t="s">
        <v>10</v>
      </c>
      <c r="C357">
        <v>13</v>
      </c>
      <c r="D357" t="str">
        <f t="shared" si="5"/>
        <v>King of Majesty</v>
      </c>
      <c r="E357" t="str">
        <f t="shared" si="6"/>
        <v>Marty Sampson</v>
      </c>
      <c r="F357" t="str">
        <f t="shared" si="7"/>
        <v>Tulele Faletolu, b. Darlene Zschech</v>
      </c>
      <c r="I357" t="s">
        <v>469</v>
      </c>
      <c r="J357" t="str">
        <f t="shared" si="8"/>
        <v>13. King of Majesty</v>
      </c>
      <c r="K357" t="str">
        <f t="shared" si="9"/>
        <v>Marty Sampson) - lead vocals: Tulele Faletolu, b. Darlene Zschech</v>
      </c>
    </row>
    <row r="358" spans="1:11" x14ac:dyDescent="0.25">
      <c r="A358" s="1">
        <v>2002</v>
      </c>
      <c r="B358" t="s">
        <v>10</v>
      </c>
      <c r="C358">
        <v>14</v>
      </c>
      <c r="D358" t="str">
        <f t="shared" si="5"/>
        <v>All the Heavens</v>
      </c>
      <c r="E358" t="str">
        <f t="shared" si="6"/>
        <v>Reuben Morgan</v>
      </c>
      <c r="F358" t="str">
        <f t="shared" si="7"/>
        <v>Darlene Zschech</v>
      </c>
      <c r="I358" t="s">
        <v>470</v>
      </c>
      <c r="J358" t="str">
        <f t="shared" si="8"/>
        <v>14. All the Heavens</v>
      </c>
      <c r="K358" t="str">
        <f t="shared" si="9"/>
        <v>Reuben Morgan) - lead vocals: Darlene Zschech</v>
      </c>
    </row>
    <row r="359" spans="1:11" x14ac:dyDescent="0.25">
      <c r="A359" s="1">
        <v>2001</v>
      </c>
      <c r="B359" t="s">
        <v>9</v>
      </c>
      <c r="C359">
        <v>1</v>
      </c>
      <c r="D359" t="str">
        <f t="shared" si="5"/>
        <v>Your Love Is Beautiful</v>
      </c>
      <c r="E359" t="str">
        <f t="shared" si="6"/>
        <v>Reuben Morgan, Raymond Badham, Steve McPherson, Nigel Hendroff</v>
      </c>
      <c r="F359" t="str">
        <f t="shared" si="7"/>
        <v>Darlene Zschech - 4:38</v>
      </c>
      <c r="I359" t="s">
        <v>528</v>
      </c>
      <c r="J359" t="str">
        <f t="shared" si="8"/>
        <v>1. Your Love Is Beautiful</v>
      </c>
      <c r="K359" t="str">
        <f t="shared" si="9"/>
        <v>Reuben Morgan, Raymond Badham, Steve McPherson, Nigel Hendroff) - worship leader: Darlene Zschech - 4:38</v>
      </c>
    </row>
    <row r="360" spans="1:11" x14ac:dyDescent="0.25">
      <c r="A360" s="1">
        <v>2001</v>
      </c>
      <c r="B360" t="s">
        <v>9</v>
      </c>
      <c r="C360">
        <v>2</v>
      </c>
      <c r="D360" t="str">
        <f t="shared" si="5"/>
        <v>God Is Great</v>
      </c>
      <c r="E360" t="str">
        <f t="shared" si="6"/>
        <v>Marty Sampson</v>
      </c>
      <c r="F360" t="str">
        <f t="shared" si="7"/>
        <v>Marty Sampson, b. Darlene Zschech - 4:56</v>
      </c>
      <c r="I360" t="s">
        <v>527</v>
      </c>
      <c r="J360" t="str">
        <f t="shared" si="8"/>
        <v>2. God Is Great</v>
      </c>
      <c r="K360" t="str">
        <f t="shared" si="9"/>
        <v>Marty Sampson) - worship leader: Marty Sampson, b. Darlene Zschech - 4:56</v>
      </c>
    </row>
    <row r="361" spans="1:11" x14ac:dyDescent="0.25">
      <c r="A361" s="1">
        <v>2001</v>
      </c>
      <c r="B361" t="s">
        <v>9</v>
      </c>
      <c r="C361">
        <v>3</v>
      </c>
      <c r="D361" t="str">
        <f t="shared" ref="D361:D385" si="10">RIGHT(J361, LEN(J361)-FIND(". ",J361)-1)</f>
        <v>All of My Days</v>
      </c>
      <c r="E361" t="str">
        <f t="shared" ref="E361:E385" si="11">LEFT(K361,FIND(") ",K361) - 1)</f>
        <v>Mark Stevens</v>
      </c>
      <c r="F361" t="str">
        <f t="shared" ref="F361:F385" si="12">RIGHT(I361,LEN(I361)-FIND(": ", I361)-1)</f>
        <v>Mark Stevens - 5:02</v>
      </c>
      <c r="I361" t="s">
        <v>471</v>
      </c>
      <c r="J361" t="str">
        <f t="shared" ref="J361:J392" si="13">LEFT(I361,FIND(" (",I361)-1)</f>
        <v>3. All of My Days</v>
      </c>
      <c r="K361" t="str">
        <f t="shared" ref="K361:K385" si="14">RIGHT(I361, LEN(I361)-FIND(" (",I361) - 1)</f>
        <v>Mark Stevens) - worship leader: Mark Stevens - 5:02</v>
      </c>
    </row>
    <row r="362" spans="1:11" x14ac:dyDescent="0.25">
      <c r="A362" s="1">
        <v>2001</v>
      </c>
      <c r="B362" t="s">
        <v>9</v>
      </c>
      <c r="C362">
        <v>4</v>
      </c>
      <c r="D362" t="str">
        <f t="shared" si="10"/>
        <v>Emmanuel</v>
      </c>
      <c r="E362" t="str">
        <f t="shared" si="11"/>
        <v>Badham</v>
      </c>
      <c r="F362" t="str">
        <f t="shared" si="12"/>
        <v>Darlene Zschech - 6:48</v>
      </c>
      <c r="I362" t="s">
        <v>472</v>
      </c>
      <c r="J362" t="str">
        <f t="shared" si="13"/>
        <v>4. Emmanuel</v>
      </c>
      <c r="K362" t="str">
        <f t="shared" si="14"/>
        <v>Badham) - worship leader: Darlene Zschech - 6:48</v>
      </c>
    </row>
    <row r="363" spans="1:11" x14ac:dyDescent="0.25">
      <c r="A363" s="1">
        <v>2001</v>
      </c>
      <c r="B363" t="s">
        <v>9</v>
      </c>
      <c r="C363">
        <v>5</v>
      </c>
      <c r="D363" t="str">
        <f t="shared" si="10"/>
        <v>You Stand Alone</v>
      </c>
      <c r="E363" t="str">
        <f t="shared" si="11"/>
        <v>Stevens, McPherson</v>
      </c>
      <c r="F363" t="str">
        <f t="shared" si="12"/>
        <v>Steve McPherson, Mark Stevens - 4:48</v>
      </c>
      <c r="I363" t="s">
        <v>473</v>
      </c>
      <c r="J363" t="str">
        <f t="shared" si="13"/>
        <v>5. You Stand Alone</v>
      </c>
      <c r="K363" t="str">
        <f t="shared" si="14"/>
        <v>Stevens, McPherson) - worship leaders: Steve McPherson, Mark Stevens - 4:48</v>
      </c>
    </row>
    <row r="364" spans="1:11" x14ac:dyDescent="0.25">
      <c r="A364" s="1">
        <v>2001</v>
      </c>
      <c r="B364" t="s">
        <v>9</v>
      </c>
      <c r="C364">
        <v>6</v>
      </c>
      <c r="D364" t="str">
        <f t="shared" si="10"/>
        <v>Irresistible</v>
      </c>
      <c r="E364" t="str">
        <f t="shared" si="11"/>
        <v>Darlene Zschech</v>
      </c>
      <c r="F364" t="str">
        <f t="shared" si="12"/>
        <v>Darlene Zschech - 6:05</v>
      </c>
      <c r="I364" t="s">
        <v>474</v>
      </c>
      <c r="J364" t="str">
        <f t="shared" si="13"/>
        <v>6. Irresistible</v>
      </c>
      <c r="K364" t="str">
        <f t="shared" si="14"/>
        <v>Darlene Zschech) - worship leader: Darlene Zschech - 6:05</v>
      </c>
    </row>
    <row r="365" spans="1:11" x14ac:dyDescent="0.25">
      <c r="A365" s="1">
        <v>2001</v>
      </c>
      <c r="B365" t="s">
        <v>9</v>
      </c>
      <c r="C365">
        <v>7</v>
      </c>
      <c r="D365" t="str">
        <f t="shared" si="10"/>
        <v>You Are My World</v>
      </c>
      <c r="E365" t="str">
        <f t="shared" si="11"/>
        <v>Sampson</v>
      </c>
      <c r="F365" t="str">
        <f t="shared" si="12"/>
        <v>Marty Sampson, b. Darlene Zschech - 6:31</v>
      </c>
      <c r="I365" t="s">
        <v>475</v>
      </c>
      <c r="J365" t="str">
        <f t="shared" si="13"/>
        <v>7. You Are My World</v>
      </c>
      <c r="K365" t="str">
        <f t="shared" si="14"/>
        <v>Sampson) - worship leader: Marty Sampson, b. Darlene Zschech - 6:31</v>
      </c>
    </row>
    <row r="366" spans="1:11" x14ac:dyDescent="0.25">
      <c r="A366" s="1">
        <v>2001</v>
      </c>
      <c r="B366" t="s">
        <v>9</v>
      </c>
      <c r="C366">
        <v>8</v>
      </c>
      <c r="D366" t="str">
        <f t="shared" si="10"/>
        <v>Everything That Has Breath</v>
      </c>
      <c r="E366" t="str">
        <f t="shared" si="11"/>
        <v>Morgan</v>
      </c>
      <c r="F366" t="str">
        <f t="shared" si="12"/>
        <v>Darlene Zschech - 4:22</v>
      </c>
      <c r="I366" t="s">
        <v>476</v>
      </c>
      <c r="J366" t="str">
        <f t="shared" si="13"/>
        <v>8. Everything That Has Breath</v>
      </c>
      <c r="K366" t="str">
        <f t="shared" si="14"/>
        <v>Morgan) - worship leader: Darlene Zschech - 4:22</v>
      </c>
    </row>
    <row r="367" spans="1:11" x14ac:dyDescent="0.25">
      <c r="A367" s="1">
        <v>2001</v>
      </c>
      <c r="B367" t="s">
        <v>9</v>
      </c>
      <c r="C367">
        <v>9</v>
      </c>
      <c r="D367" t="str">
        <f t="shared" si="10"/>
        <v>God So Loved</v>
      </c>
      <c r="E367" t="str">
        <f t="shared" si="11"/>
        <v>Morgan</v>
      </c>
      <c r="F367" t="str">
        <f t="shared" si="12"/>
        <v>Darlene Zschech - 5:54</v>
      </c>
      <c r="I367" t="s">
        <v>477</v>
      </c>
      <c r="J367" t="str">
        <f t="shared" si="13"/>
        <v>9. God So Loved</v>
      </c>
      <c r="K367" t="str">
        <f t="shared" si="14"/>
        <v>Morgan) - worship leader: Darlene Zschech - 5:54</v>
      </c>
    </row>
    <row r="368" spans="1:11" x14ac:dyDescent="0.25">
      <c r="A368" s="1">
        <v>2001</v>
      </c>
      <c r="B368" t="s">
        <v>9</v>
      </c>
      <c r="C368">
        <v>10</v>
      </c>
      <c r="D368" t="str">
        <f t="shared" si="10"/>
        <v>To You</v>
      </c>
      <c r="E368" t="str">
        <f t="shared" si="11"/>
        <v>Zschech</v>
      </c>
      <c r="F368" t="str">
        <f t="shared" si="12"/>
        <v>Darlene Zschech - 7:00</v>
      </c>
      <c r="I368" t="s">
        <v>478</v>
      </c>
      <c r="J368" t="str">
        <f t="shared" si="13"/>
        <v>10. To You</v>
      </c>
      <c r="K368" t="str">
        <f t="shared" si="14"/>
        <v>Zschech) - worship leader: Darlene Zschech - 7:00</v>
      </c>
    </row>
    <row r="369" spans="1:11" x14ac:dyDescent="0.25">
      <c r="A369" s="1">
        <v>2001</v>
      </c>
      <c r="B369" t="s">
        <v>9</v>
      </c>
      <c r="C369">
        <v>11</v>
      </c>
      <c r="D369" t="str">
        <f t="shared" si="10"/>
        <v>Worthy Is the Lamb</v>
      </c>
      <c r="E369" t="str">
        <f t="shared" si="11"/>
        <v>Zschech</v>
      </c>
      <c r="F369" t="str">
        <f t="shared" si="12"/>
        <v>Miriam Webster - 7:16</v>
      </c>
      <c r="I369" t="s">
        <v>526</v>
      </c>
      <c r="J369" t="str">
        <f t="shared" si="13"/>
        <v>11. Worthy Is the Lamb</v>
      </c>
      <c r="K369" t="str">
        <f t="shared" si="14"/>
        <v>Zschech) - worship leader: Miriam Webster - 7:16</v>
      </c>
    </row>
    <row r="370" spans="1:11" x14ac:dyDescent="0.25">
      <c r="A370" s="1">
        <v>2001</v>
      </c>
      <c r="B370" t="s">
        <v>9</v>
      </c>
      <c r="C370">
        <v>12</v>
      </c>
      <c r="D370" t="str">
        <f t="shared" si="10"/>
        <v>Forever</v>
      </c>
      <c r="E370" t="str">
        <f t="shared" si="11"/>
        <v>Sampson</v>
      </c>
      <c r="F370" t="str">
        <f t="shared" si="12"/>
        <v>Mark Stevens - 4:45</v>
      </c>
      <c r="I370" t="s">
        <v>479</v>
      </c>
      <c r="J370" t="str">
        <f t="shared" si="13"/>
        <v>12. Forever</v>
      </c>
      <c r="K370" t="str">
        <f t="shared" si="14"/>
        <v>Sampson) - worship leader: Mark Stevens - 4:45</v>
      </c>
    </row>
    <row r="371" spans="1:11" x14ac:dyDescent="0.25">
      <c r="A371" s="1">
        <v>2001</v>
      </c>
      <c r="B371" t="s">
        <v>9</v>
      </c>
      <c r="C371">
        <v>13</v>
      </c>
      <c r="D371" t="str">
        <f t="shared" si="10"/>
        <v>My Best Friend</v>
      </c>
      <c r="E371" t="str">
        <f t="shared" si="11"/>
        <v>Joel Houston, Sampson</v>
      </c>
      <c r="F371" t="str">
        <f t="shared" si="12"/>
        <v>Marty Sampson, b. Darlene Zschech - 5:19</v>
      </c>
      <c r="I371" t="s">
        <v>480</v>
      </c>
      <c r="J371" t="str">
        <f t="shared" si="13"/>
        <v>13. My Best Friend</v>
      </c>
      <c r="K371" t="str">
        <f t="shared" si="14"/>
        <v>Joel Houston, Sampson) - worship leader: Marty Sampson, b. Darlene Zschech - 5:19</v>
      </c>
    </row>
    <row r="372" spans="1:11" x14ac:dyDescent="0.25">
      <c r="A372" s="1">
        <v>2000</v>
      </c>
      <c r="B372" t="s">
        <v>8</v>
      </c>
      <c r="C372">
        <v>1</v>
      </c>
      <c r="D372" t="str">
        <f t="shared" si="10"/>
        <v>One Day</v>
      </c>
      <c r="E372" t="str">
        <f t="shared" si="11"/>
        <v>Reuben Morgan</v>
      </c>
      <c r="F372" t="str">
        <f t="shared" si="12"/>
        <v>Darlene Zschech &amp; Reuben Morgan</v>
      </c>
      <c r="I372" t="s">
        <v>525</v>
      </c>
      <c r="J372" t="str">
        <f t="shared" si="13"/>
        <v>1. One Day</v>
      </c>
      <c r="K372" t="str">
        <f t="shared" si="14"/>
        <v>Reuben Morgan) Worship leaders: Darlene Zschech &amp; Reuben Morgan</v>
      </c>
    </row>
    <row r="373" spans="1:11" x14ac:dyDescent="0.25">
      <c r="A373" s="1">
        <v>2000</v>
      </c>
      <c r="B373" t="s">
        <v>8</v>
      </c>
      <c r="C373">
        <v>2</v>
      </c>
      <c r="D373" t="str">
        <f t="shared" si="10"/>
        <v>Faith</v>
      </c>
      <c r="E373" t="str">
        <f t="shared" si="11"/>
        <v>Reuben Morgan</v>
      </c>
      <c r="F373" t="str">
        <f t="shared" si="12"/>
        <v>Darlene Zschech</v>
      </c>
      <c r="I373" t="s">
        <v>524</v>
      </c>
      <c r="J373" t="str">
        <f t="shared" si="13"/>
        <v>2. Faith</v>
      </c>
      <c r="K373" t="str">
        <f t="shared" si="14"/>
        <v>Reuben Morgan) Worship leader: Darlene Zschech</v>
      </c>
    </row>
    <row r="374" spans="1:11" x14ac:dyDescent="0.25">
      <c r="A374" s="1">
        <v>2000</v>
      </c>
      <c r="B374" t="s">
        <v>8</v>
      </c>
      <c r="C374">
        <v>3</v>
      </c>
      <c r="D374" t="str">
        <f t="shared" si="10"/>
        <v>Awesome in This Place</v>
      </c>
      <c r="E374" t="str">
        <f t="shared" si="11"/>
        <v>Ned Davies</v>
      </c>
      <c r="F374" t="str">
        <f t="shared" si="12"/>
        <v>Darlene Zschech b. Steve McPherson</v>
      </c>
      <c r="I374" t="s">
        <v>523</v>
      </c>
      <c r="J374" t="str">
        <f t="shared" si="13"/>
        <v>3. Awesome in This Place</v>
      </c>
      <c r="K374" t="str">
        <f t="shared" si="14"/>
        <v>Ned Davies) Worship leader: Darlene Zschech b. Steve McPherson</v>
      </c>
    </row>
    <row r="375" spans="1:11" x14ac:dyDescent="0.25">
      <c r="A375" s="1">
        <v>2000</v>
      </c>
      <c r="B375" t="s">
        <v>8</v>
      </c>
      <c r="C375">
        <v>4</v>
      </c>
      <c r="D375" t="str">
        <f t="shared" si="10"/>
        <v>Dwell in Your House</v>
      </c>
      <c r="E375" t="str">
        <f t="shared" si="11"/>
        <v>Paul Ewing</v>
      </c>
      <c r="F375" t="str">
        <f t="shared" si="12"/>
        <v>Darlene Zschech &amp; Mark Stevens</v>
      </c>
      <c r="I375" t="s">
        <v>522</v>
      </c>
      <c r="J375" t="str">
        <f t="shared" si="13"/>
        <v>4. Dwell in Your House</v>
      </c>
      <c r="K375" t="str">
        <f t="shared" si="14"/>
        <v>Paul Ewing) Worship leaders: Darlene Zschech &amp; Mark Stevens</v>
      </c>
    </row>
    <row r="376" spans="1:11" x14ac:dyDescent="0.25">
      <c r="A376" s="1">
        <v>2000</v>
      </c>
      <c r="B376" t="s">
        <v>8</v>
      </c>
      <c r="C376">
        <v>5</v>
      </c>
      <c r="D376" t="str">
        <f t="shared" si="10"/>
        <v>You Are Near</v>
      </c>
      <c r="E376" t="str">
        <f t="shared" si="11"/>
        <v>Reuben Morgan</v>
      </c>
      <c r="F376" t="str">
        <f t="shared" si="12"/>
        <v>Darlene Zschech</v>
      </c>
      <c r="I376" t="s">
        <v>521</v>
      </c>
      <c r="J376" t="str">
        <f t="shared" si="13"/>
        <v>5. You Are Near</v>
      </c>
      <c r="K376" t="str">
        <f t="shared" si="14"/>
        <v>Reuben Morgan) Worship leader: Darlene Zschech</v>
      </c>
    </row>
    <row r="377" spans="1:11" x14ac:dyDescent="0.25">
      <c r="A377" s="1">
        <v>2000</v>
      </c>
      <c r="B377" t="s">
        <v>8</v>
      </c>
      <c r="C377">
        <v>6</v>
      </c>
      <c r="D377" t="str">
        <f t="shared" si="10"/>
        <v>I Simply Live for You</v>
      </c>
      <c r="E377" t="str">
        <f t="shared" si="11"/>
        <v>Russell Fragar</v>
      </c>
      <c r="F377" t="str">
        <f t="shared" si="12"/>
        <v>Miriam Webster</v>
      </c>
      <c r="I377" t="s">
        <v>520</v>
      </c>
      <c r="J377" t="str">
        <f t="shared" si="13"/>
        <v>6. I Simply Live for You</v>
      </c>
      <c r="K377" t="str">
        <f t="shared" si="14"/>
        <v>Russell Fragar) Worship leader: Miriam Webster</v>
      </c>
    </row>
    <row r="378" spans="1:11" x14ac:dyDescent="0.25">
      <c r="A378" s="1">
        <v>2000</v>
      </c>
      <c r="B378" t="s">
        <v>8</v>
      </c>
      <c r="C378">
        <v>7</v>
      </c>
      <c r="D378" t="str">
        <f t="shared" si="10"/>
        <v>Carry Me</v>
      </c>
      <c r="E378" t="str">
        <f t="shared" si="11"/>
        <v>Marty Sampson</v>
      </c>
      <c r="F378" t="str">
        <f t="shared" si="12"/>
        <v>Marty Sampson</v>
      </c>
      <c r="I378" t="s">
        <v>519</v>
      </c>
      <c r="J378" t="str">
        <f t="shared" si="13"/>
        <v>7. Carry Me</v>
      </c>
      <c r="K378" t="str">
        <f t="shared" si="14"/>
        <v>Marty Sampson) Worship leader: Marty Sampson</v>
      </c>
    </row>
    <row r="379" spans="1:11" x14ac:dyDescent="0.25">
      <c r="A379" s="1">
        <v>2000</v>
      </c>
      <c r="B379" t="s">
        <v>8</v>
      </c>
      <c r="C379">
        <v>8</v>
      </c>
      <c r="D379" t="str">
        <f t="shared" si="10"/>
        <v>Lifted Me High Again</v>
      </c>
      <c r="E379" t="str">
        <f t="shared" si="11"/>
        <v>Reuben Morgan</v>
      </c>
      <c r="F379" t="str">
        <f t="shared" si="12"/>
        <v>Darlene Zschech</v>
      </c>
      <c r="I379" t="s">
        <v>518</v>
      </c>
      <c r="J379" t="str">
        <f t="shared" si="13"/>
        <v>8. Lifted Me High Again</v>
      </c>
      <c r="K379" t="str">
        <f t="shared" si="14"/>
        <v>Reuben Morgan) Worship leader: Darlene Zschech</v>
      </c>
    </row>
    <row r="380" spans="1:11" x14ac:dyDescent="0.25">
      <c r="A380" s="1">
        <v>2000</v>
      </c>
      <c r="B380" t="s">
        <v>8</v>
      </c>
      <c r="C380">
        <v>9</v>
      </c>
      <c r="D380" t="str">
        <f t="shared" si="10"/>
        <v>Here to Eternity</v>
      </c>
      <c r="E380" t="str">
        <f t="shared" si="11"/>
        <v>Darlene Zschech, David Moyse</v>
      </c>
      <c r="F380" t="str">
        <f t="shared" si="12"/>
        <v>Darlene Zschech</v>
      </c>
      <c r="I380" t="s">
        <v>517</v>
      </c>
      <c r="J380" t="str">
        <f t="shared" si="13"/>
        <v>9. Here to Eternity</v>
      </c>
      <c r="K380" t="str">
        <f t="shared" si="14"/>
        <v>Darlene Zschech, David Moyse) Worship leader: Darlene Zschech</v>
      </c>
    </row>
    <row r="381" spans="1:11" x14ac:dyDescent="0.25">
      <c r="A381" s="1">
        <v>2000</v>
      </c>
      <c r="B381" t="s">
        <v>8</v>
      </c>
      <c r="C381">
        <v>10</v>
      </c>
      <c r="D381" t="str">
        <f t="shared" si="10"/>
        <v>For This Cause</v>
      </c>
      <c r="E381" t="str">
        <f t="shared" si="11"/>
        <v>Joel Houston</v>
      </c>
      <c r="F381" t="str">
        <f t="shared" si="12"/>
        <v>Darlene Zschech &amp; Reuben Morgan</v>
      </c>
      <c r="I381" t="s">
        <v>516</v>
      </c>
      <c r="J381" t="str">
        <f t="shared" si="13"/>
        <v>10. For This Cause</v>
      </c>
      <c r="K381" t="str">
        <f t="shared" si="14"/>
        <v>Joel Houston) Worship leaders: Darlene Zschech &amp; Reuben Morgan</v>
      </c>
    </row>
    <row r="382" spans="1:11" x14ac:dyDescent="0.25">
      <c r="A382" s="1">
        <v>2000</v>
      </c>
      <c r="B382" t="s">
        <v>8</v>
      </c>
      <c r="C382">
        <v>11</v>
      </c>
      <c r="D382" t="str">
        <f t="shared" si="10"/>
        <v>Reaching for You</v>
      </c>
      <c r="E382" t="str">
        <f t="shared" si="11"/>
        <v>Raymond Badham</v>
      </c>
      <c r="F382" t="str">
        <f t="shared" si="12"/>
        <v>Rob Eastwood</v>
      </c>
      <c r="I382" t="s">
        <v>515</v>
      </c>
      <c r="J382" t="str">
        <f t="shared" si="13"/>
        <v>11. Reaching for You</v>
      </c>
      <c r="K382" t="str">
        <f t="shared" si="14"/>
        <v>Raymond Badham) Worship leader: Rob Eastwood</v>
      </c>
    </row>
    <row r="383" spans="1:11" x14ac:dyDescent="0.25">
      <c r="A383" s="1">
        <v>2000</v>
      </c>
      <c r="B383" t="s">
        <v>8</v>
      </c>
      <c r="C383">
        <v>12</v>
      </c>
      <c r="D383" t="str">
        <f t="shared" si="10"/>
        <v>It Is You</v>
      </c>
      <c r="E383" t="str">
        <f t="shared" si="11"/>
        <v>Darlene Zschech</v>
      </c>
      <c r="F383" t="str">
        <f t="shared" si="12"/>
        <v>Darlene Zschech</v>
      </c>
      <c r="I383" t="s">
        <v>514</v>
      </c>
      <c r="J383" t="str">
        <f t="shared" si="13"/>
        <v>12. It Is You</v>
      </c>
      <c r="K383" t="str">
        <f t="shared" si="14"/>
        <v>Darlene Zschech) Worship leader: Darlene Zschech</v>
      </c>
    </row>
    <row r="384" spans="1:11" x14ac:dyDescent="0.25">
      <c r="A384" s="1">
        <v>2000</v>
      </c>
      <c r="B384" t="s">
        <v>8</v>
      </c>
      <c r="C384">
        <v>13</v>
      </c>
      <c r="D384" t="str">
        <f t="shared" si="10"/>
        <v>Believe</v>
      </c>
      <c r="E384" t="str">
        <f t="shared" si="11"/>
        <v>Donna Lasit</v>
      </c>
      <c r="F384" t="str">
        <f t="shared" si="12"/>
        <v>Darlene Zschech &amp; Katrina Peoples</v>
      </c>
      <c r="I384" t="s">
        <v>513</v>
      </c>
      <c r="J384" t="str">
        <f t="shared" si="13"/>
        <v>13. Believe</v>
      </c>
      <c r="K384" t="str">
        <f t="shared" si="14"/>
        <v>Donna Lasit) Worship leader: Darlene Zschech &amp; Katrina Peoples</v>
      </c>
    </row>
    <row r="385" spans="1:11" x14ac:dyDescent="0.25">
      <c r="A385" s="1">
        <v>2000</v>
      </c>
      <c r="B385" t="s">
        <v>8</v>
      </c>
      <c r="C385">
        <v>14</v>
      </c>
      <c r="D385" t="str">
        <f t="shared" si="10"/>
        <v>Everyday</v>
      </c>
      <c r="E385" t="str">
        <f t="shared" si="11"/>
        <v>Joel Houston</v>
      </c>
      <c r="F385" t="str">
        <f t="shared" si="12"/>
        <v>Mark Stevens b. Darlene Zschech</v>
      </c>
      <c r="I385" t="s">
        <v>512</v>
      </c>
      <c r="J385" t="str">
        <f t="shared" si="13"/>
        <v>14. Everyday</v>
      </c>
      <c r="K385" t="str">
        <f t="shared" si="14"/>
        <v>Joel Houston) Worship leader: Mark Stevens b. Darlene Zschech</v>
      </c>
    </row>
    <row r="386" spans="1:11" x14ac:dyDescent="0.25">
      <c r="A386">
        <v>1999</v>
      </c>
      <c r="B386" t="s">
        <v>7</v>
      </c>
      <c r="D386" t="s">
        <v>551</v>
      </c>
    </row>
    <row r="387" spans="1:11" x14ac:dyDescent="0.25">
      <c r="A387">
        <v>1999</v>
      </c>
      <c r="B387" t="s">
        <v>7</v>
      </c>
      <c r="D387" t="s">
        <v>552</v>
      </c>
    </row>
    <row r="388" spans="1:11" x14ac:dyDescent="0.25">
      <c r="A388">
        <v>1999</v>
      </c>
      <c r="B388" t="s">
        <v>7</v>
      </c>
      <c r="D388" t="s">
        <v>553</v>
      </c>
    </row>
    <row r="389" spans="1:11" x14ac:dyDescent="0.25">
      <c r="A389">
        <v>1999</v>
      </c>
      <c r="B389" t="s">
        <v>7</v>
      </c>
      <c r="D389" t="s">
        <v>554</v>
      </c>
    </row>
    <row r="390" spans="1:11" x14ac:dyDescent="0.25">
      <c r="A390">
        <v>1999</v>
      </c>
      <c r="B390" t="s">
        <v>7</v>
      </c>
      <c r="D390" t="s">
        <v>555</v>
      </c>
    </row>
    <row r="391" spans="1:11" x14ac:dyDescent="0.25">
      <c r="A391">
        <v>1999</v>
      </c>
      <c r="B391" t="s">
        <v>7</v>
      </c>
      <c r="D391" t="s">
        <v>556</v>
      </c>
    </row>
    <row r="392" spans="1:11" x14ac:dyDescent="0.25">
      <c r="A392">
        <v>1999</v>
      </c>
      <c r="B392" t="s">
        <v>7</v>
      </c>
      <c r="D392" t="s">
        <v>557</v>
      </c>
    </row>
    <row r="393" spans="1:11" x14ac:dyDescent="0.25">
      <c r="A393">
        <v>1999</v>
      </c>
      <c r="B393" t="s">
        <v>7</v>
      </c>
      <c r="D393" t="s">
        <v>558</v>
      </c>
    </row>
    <row r="394" spans="1:11" x14ac:dyDescent="0.25">
      <c r="A394">
        <v>1999</v>
      </c>
      <c r="B394" t="s">
        <v>7</v>
      </c>
      <c r="D394" t="s">
        <v>559</v>
      </c>
    </row>
    <row r="395" spans="1:11" x14ac:dyDescent="0.25">
      <c r="A395">
        <v>1999</v>
      </c>
      <c r="B395" t="s">
        <v>7</v>
      </c>
      <c r="D395" t="s">
        <v>560</v>
      </c>
    </row>
    <row r="396" spans="1:11" x14ac:dyDescent="0.25">
      <c r="A396">
        <v>1999</v>
      </c>
      <c r="B396" t="s">
        <v>7</v>
      </c>
      <c r="D396" t="s">
        <v>561</v>
      </c>
    </row>
    <row r="397" spans="1:11" x14ac:dyDescent="0.25">
      <c r="A397">
        <v>1999</v>
      </c>
      <c r="B397" t="s">
        <v>7</v>
      </c>
      <c r="D397" t="s">
        <v>562</v>
      </c>
    </row>
    <row r="398" spans="1:11" x14ac:dyDescent="0.25">
      <c r="A398">
        <v>1999</v>
      </c>
      <c r="B398" t="s">
        <v>7</v>
      </c>
      <c r="D398" t="s">
        <v>563</v>
      </c>
    </row>
    <row r="399" spans="1:11" x14ac:dyDescent="0.25">
      <c r="A399">
        <v>1999</v>
      </c>
      <c r="B399" t="s">
        <v>7</v>
      </c>
      <c r="D399" t="s">
        <v>564</v>
      </c>
    </row>
    <row r="400" spans="1:11" x14ac:dyDescent="0.25">
      <c r="A400">
        <v>1998</v>
      </c>
      <c r="B400" t="s">
        <v>6</v>
      </c>
      <c r="D400" t="s">
        <v>565</v>
      </c>
    </row>
    <row r="401" spans="1:5" x14ac:dyDescent="0.25">
      <c r="A401">
        <v>1998</v>
      </c>
      <c r="B401" t="s">
        <v>6</v>
      </c>
      <c r="D401" t="s">
        <v>566</v>
      </c>
    </row>
    <row r="402" spans="1:5" x14ac:dyDescent="0.25">
      <c r="A402">
        <v>1998</v>
      </c>
      <c r="B402" t="s">
        <v>6</v>
      </c>
      <c r="D402" t="s">
        <v>567</v>
      </c>
    </row>
    <row r="403" spans="1:5" x14ac:dyDescent="0.25">
      <c r="A403">
        <v>1998</v>
      </c>
      <c r="B403" t="s">
        <v>6</v>
      </c>
      <c r="D403" t="s">
        <v>568</v>
      </c>
    </row>
    <row r="404" spans="1:5" x14ac:dyDescent="0.25">
      <c r="A404">
        <v>1998</v>
      </c>
      <c r="B404" t="s">
        <v>6</v>
      </c>
      <c r="D404" t="s">
        <v>569</v>
      </c>
    </row>
    <row r="405" spans="1:5" x14ac:dyDescent="0.25">
      <c r="A405">
        <v>1998</v>
      </c>
      <c r="B405" t="s">
        <v>6</v>
      </c>
      <c r="D405" t="s">
        <v>570</v>
      </c>
    </row>
    <row r="406" spans="1:5" x14ac:dyDescent="0.25">
      <c r="A406">
        <v>1998</v>
      </c>
      <c r="B406" t="s">
        <v>6</v>
      </c>
      <c r="D406" t="s">
        <v>571</v>
      </c>
    </row>
    <row r="407" spans="1:5" x14ac:dyDescent="0.25">
      <c r="A407">
        <v>1998</v>
      </c>
      <c r="B407" t="s">
        <v>6</v>
      </c>
      <c r="D407" t="s">
        <v>572</v>
      </c>
    </row>
    <row r="408" spans="1:5" x14ac:dyDescent="0.25">
      <c r="A408">
        <v>1998</v>
      </c>
      <c r="B408" t="s">
        <v>6</v>
      </c>
      <c r="D408" t="s">
        <v>573</v>
      </c>
    </row>
    <row r="409" spans="1:5" x14ac:dyDescent="0.25">
      <c r="A409">
        <v>1998</v>
      </c>
      <c r="B409" t="s">
        <v>6</v>
      </c>
      <c r="D409" t="s">
        <v>574</v>
      </c>
    </row>
    <row r="410" spans="1:5" x14ac:dyDescent="0.25">
      <c r="A410">
        <v>1998</v>
      </c>
      <c r="B410" t="s">
        <v>6</v>
      </c>
      <c r="D410" t="s">
        <v>575</v>
      </c>
    </row>
    <row r="411" spans="1:5" x14ac:dyDescent="0.25">
      <c r="A411">
        <v>1998</v>
      </c>
      <c r="B411" t="s">
        <v>6</v>
      </c>
      <c r="D411" t="s">
        <v>576</v>
      </c>
    </row>
    <row r="412" spans="1:5" x14ac:dyDescent="0.25">
      <c r="A412">
        <v>1998</v>
      </c>
      <c r="B412" t="s">
        <v>6</v>
      </c>
      <c r="D412" t="s">
        <v>577</v>
      </c>
    </row>
    <row r="413" spans="1:5" x14ac:dyDescent="0.25">
      <c r="A413">
        <v>1998</v>
      </c>
      <c r="B413" t="s">
        <v>6</v>
      </c>
      <c r="D413" t="s">
        <v>578</v>
      </c>
    </row>
    <row r="414" spans="1:5" x14ac:dyDescent="0.25">
      <c r="A414">
        <v>1998</v>
      </c>
      <c r="B414" t="s">
        <v>6</v>
      </c>
      <c r="D414" t="s">
        <v>579</v>
      </c>
    </row>
    <row r="415" spans="1:5" x14ac:dyDescent="0.25">
      <c r="A415">
        <v>1997</v>
      </c>
      <c r="B415" t="s">
        <v>5</v>
      </c>
      <c r="C415">
        <v>1</v>
      </c>
      <c r="D415" t="s">
        <v>5</v>
      </c>
      <c r="E415" s="2">
        <v>0.19027777777777777</v>
      </c>
    </row>
    <row r="416" spans="1:5" x14ac:dyDescent="0.25">
      <c r="A416">
        <v>1997</v>
      </c>
      <c r="B416" t="s">
        <v>5</v>
      </c>
      <c r="C416">
        <v>2</v>
      </c>
      <c r="D416" t="s">
        <v>580</v>
      </c>
      <c r="E416" s="2">
        <v>0.13125000000000001</v>
      </c>
    </row>
    <row r="417" spans="1:5" x14ac:dyDescent="0.25">
      <c r="A417">
        <v>1997</v>
      </c>
      <c r="B417" t="s">
        <v>5</v>
      </c>
      <c r="C417">
        <v>3</v>
      </c>
      <c r="D417" t="s">
        <v>581</v>
      </c>
      <c r="E417" s="2">
        <v>0.1986111111111111</v>
      </c>
    </row>
    <row r="418" spans="1:5" x14ac:dyDescent="0.25">
      <c r="A418">
        <v>1997</v>
      </c>
      <c r="B418" t="s">
        <v>5</v>
      </c>
      <c r="C418">
        <v>4</v>
      </c>
      <c r="D418" t="s">
        <v>582</v>
      </c>
      <c r="E418" s="2">
        <v>0.22361111111111109</v>
      </c>
    </row>
    <row r="419" spans="1:5" x14ac:dyDescent="0.25">
      <c r="A419">
        <v>1997</v>
      </c>
      <c r="B419" t="s">
        <v>5</v>
      </c>
      <c r="C419">
        <v>5</v>
      </c>
      <c r="D419" t="s">
        <v>583</v>
      </c>
      <c r="E419" s="2">
        <v>0.19999999999999998</v>
      </c>
    </row>
    <row r="420" spans="1:5" x14ac:dyDescent="0.25">
      <c r="A420">
        <v>1997</v>
      </c>
      <c r="B420" t="s">
        <v>5</v>
      </c>
      <c r="C420">
        <v>6</v>
      </c>
      <c r="D420" t="s">
        <v>584</v>
      </c>
      <c r="E420" s="2">
        <v>0.25555555555555559</v>
      </c>
    </row>
    <row r="421" spans="1:5" x14ac:dyDescent="0.25">
      <c r="A421">
        <v>1997</v>
      </c>
      <c r="B421" t="s">
        <v>5</v>
      </c>
      <c r="C421">
        <v>7</v>
      </c>
      <c r="D421" t="s">
        <v>585</v>
      </c>
      <c r="E421" s="2">
        <v>0.21527777777777779</v>
      </c>
    </row>
    <row r="422" spans="1:5" x14ac:dyDescent="0.25">
      <c r="A422">
        <v>1997</v>
      </c>
      <c r="B422" t="s">
        <v>5</v>
      </c>
      <c r="C422">
        <v>8</v>
      </c>
      <c r="D422" t="s">
        <v>586</v>
      </c>
      <c r="E422" s="2">
        <v>7.4999999999999997E-2</v>
      </c>
    </row>
    <row r="423" spans="1:5" x14ac:dyDescent="0.25">
      <c r="A423">
        <v>1997</v>
      </c>
      <c r="B423" t="s">
        <v>5</v>
      </c>
      <c r="C423">
        <v>9</v>
      </c>
      <c r="D423" t="s">
        <v>587</v>
      </c>
      <c r="E423" s="2">
        <v>0.11319444444444444</v>
      </c>
    </row>
    <row r="424" spans="1:5" x14ac:dyDescent="0.25">
      <c r="A424">
        <v>1997</v>
      </c>
      <c r="B424" t="s">
        <v>5</v>
      </c>
      <c r="C424">
        <v>10</v>
      </c>
      <c r="D424" t="s">
        <v>588</v>
      </c>
      <c r="E424" s="2">
        <v>0.1076388888888889</v>
      </c>
    </row>
    <row r="425" spans="1:5" x14ac:dyDescent="0.25">
      <c r="A425">
        <v>1997</v>
      </c>
      <c r="B425" t="s">
        <v>5</v>
      </c>
      <c r="C425">
        <v>11</v>
      </c>
      <c r="D425" t="s">
        <v>589</v>
      </c>
      <c r="E425" s="2">
        <v>0.22083333333333333</v>
      </c>
    </row>
    <row r="426" spans="1:5" x14ac:dyDescent="0.25">
      <c r="A426">
        <v>1997</v>
      </c>
      <c r="B426" t="s">
        <v>5</v>
      </c>
      <c r="C426">
        <v>12</v>
      </c>
      <c r="D426" t="s">
        <v>590</v>
      </c>
      <c r="E426" s="2">
        <v>0.27569444444444446</v>
      </c>
    </row>
    <row r="427" spans="1:5" x14ac:dyDescent="0.25">
      <c r="A427">
        <v>1997</v>
      </c>
      <c r="B427" t="s">
        <v>5</v>
      </c>
      <c r="C427">
        <v>13</v>
      </c>
      <c r="D427" t="s">
        <v>591</v>
      </c>
      <c r="E427" s="2">
        <v>0.23402777777777781</v>
      </c>
    </row>
    <row r="428" spans="1:5" x14ac:dyDescent="0.25">
      <c r="A428">
        <v>1997</v>
      </c>
      <c r="B428" t="s">
        <v>5</v>
      </c>
      <c r="C428">
        <v>14</v>
      </c>
      <c r="D428" t="s">
        <v>592</v>
      </c>
      <c r="E428" s="2">
        <v>0.18819444444444444</v>
      </c>
    </row>
    <row r="429" spans="1:5" x14ac:dyDescent="0.25">
      <c r="A429">
        <v>1997</v>
      </c>
      <c r="B429" t="s">
        <v>5</v>
      </c>
      <c r="C429">
        <v>15</v>
      </c>
      <c r="D429" t="s">
        <v>593</v>
      </c>
      <c r="E429" s="2">
        <v>0.12222222222222223</v>
      </c>
    </row>
    <row r="430" spans="1:5" x14ac:dyDescent="0.25">
      <c r="A430">
        <v>1996</v>
      </c>
      <c r="B430" t="s">
        <v>4</v>
      </c>
      <c r="C430">
        <v>1</v>
      </c>
      <c r="D430" t="s">
        <v>594</v>
      </c>
    </row>
    <row r="431" spans="1:5" x14ac:dyDescent="0.25">
      <c r="A431">
        <v>1996</v>
      </c>
      <c r="B431" t="s">
        <v>4</v>
      </c>
      <c r="C431">
        <v>2</v>
      </c>
      <c r="D431" t="s">
        <v>595</v>
      </c>
    </row>
    <row r="432" spans="1:5" x14ac:dyDescent="0.25">
      <c r="A432">
        <v>1996</v>
      </c>
      <c r="B432" t="s">
        <v>4</v>
      </c>
      <c r="C432">
        <v>3</v>
      </c>
      <c r="D432" t="s">
        <v>596</v>
      </c>
    </row>
    <row r="433" spans="1:4" x14ac:dyDescent="0.25">
      <c r="A433">
        <v>1996</v>
      </c>
      <c r="B433" t="s">
        <v>4</v>
      </c>
      <c r="C433">
        <v>4</v>
      </c>
      <c r="D433" t="s">
        <v>597</v>
      </c>
    </row>
    <row r="434" spans="1:4" x14ac:dyDescent="0.25">
      <c r="A434">
        <v>1996</v>
      </c>
      <c r="B434" t="s">
        <v>4</v>
      </c>
      <c r="C434">
        <v>5</v>
      </c>
      <c r="D434" t="s">
        <v>598</v>
      </c>
    </row>
    <row r="435" spans="1:4" x14ac:dyDescent="0.25">
      <c r="A435">
        <v>1996</v>
      </c>
      <c r="B435" t="s">
        <v>4</v>
      </c>
      <c r="C435">
        <v>6</v>
      </c>
      <c r="D435" t="s">
        <v>599</v>
      </c>
    </row>
    <row r="436" spans="1:4" x14ac:dyDescent="0.25">
      <c r="A436">
        <v>1996</v>
      </c>
      <c r="B436" t="s">
        <v>4</v>
      </c>
      <c r="C436">
        <v>7</v>
      </c>
      <c r="D436" t="s">
        <v>600</v>
      </c>
    </row>
    <row r="437" spans="1:4" x14ac:dyDescent="0.25">
      <c r="A437">
        <v>1996</v>
      </c>
      <c r="B437" t="s">
        <v>4</v>
      </c>
      <c r="C437">
        <v>8</v>
      </c>
      <c r="D437" t="s">
        <v>601</v>
      </c>
    </row>
    <row r="438" spans="1:4" x14ac:dyDescent="0.25">
      <c r="A438">
        <v>1996</v>
      </c>
      <c r="B438" t="s">
        <v>4</v>
      </c>
      <c r="C438">
        <v>9</v>
      </c>
      <c r="D438" t="s">
        <v>602</v>
      </c>
    </row>
    <row r="439" spans="1:4" x14ac:dyDescent="0.25">
      <c r="A439">
        <v>1996</v>
      </c>
      <c r="B439" t="s">
        <v>4</v>
      </c>
      <c r="C439">
        <v>10</v>
      </c>
      <c r="D439" t="s">
        <v>603</v>
      </c>
    </row>
    <row r="440" spans="1:4" x14ac:dyDescent="0.25">
      <c r="A440">
        <v>1996</v>
      </c>
      <c r="B440" t="s">
        <v>4</v>
      </c>
      <c r="C440">
        <v>11</v>
      </c>
      <c r="D440" t="s">
        <v>604</v>
      </c>
    </row>
    <row r="441" spans="1:4" x14ac:dyDescent="0.25">
      <c r="A441">
        <v>1996</v>
      </c>
      <c r="B441" t="s">
        <v>4</v>
      </c>
      <c r="C441">
        <v>12</v>
      </c>
      <c r="D441" t="s">
        <v>605</v>
      </c>
    </row>
    <row r="442" spans="1:4" x14ac:dyDescent="0.25">
      <c r="A442">
        <v>1996</v>
      </c>
      <c r="B442" t="s">
        <v>4</v>
      </c>
      <c r="C442">
        <v>13</v>
      </c>
      <c r="D442" t="s">
        <v>606</v>
      </c>
    </row>
    <row r="443" spans="1:4" x14ac:dyDescent="0.25">
      <c r="A443">
        <v>1996</v>
      </c>
      <c r="B443" t="s">
        <v>4</v>
      </c>
      <c r="C443">
        <v>14</v>
      </c>
      <c r="D443" t="s">
        <v>607</v>
      </c>
    </row>
    <row r="444" spans="1:4" x14ac:dyDescent="0.25">
      <c r="A444">
        <v>1996</v>
      </c>
      <c r="B444" t="s">
        <v>4</v>
      </c>
      <c r="C444">
        <v>15</v>
      </c>
      <c r="D444" t="s">
        <v>608</v>
      </c>
    </row>
    <row r="445" spans="1:4" x14ac:dyDescent="0.25">
      <c r="A445">
        <v>1995</v>
      </c>
      <c r="B445" t="s">
        <v>3</v>
      </c>
      <c r="C445">
        <v>1</v>
      </c>
      <c r="D445" t="s">
        <v>609</v>
      </c>
    </row>
    <row r="446" spans="1:4" x14ac:dyDescent="0.25">
      <c r="A446">
        <v>1995</v>
      </c>
      <c r="B446" t="s">
        <v>3</v>
      </c>
      <c r="C446">
        <v>2</v>
      </c>
      <c r="D446" t="s">
        <v>610</v>
      </c>
    </row>
    <row r="447" spans="1:4" x14ac:dyDescent="0.25">
      <c r="A447">
        <v>1995</v>
      </c>
      <c r="B447" t="s">
        <v>3</v>
      </c>
      <c r="C447">
        <v>3</v>
      </c>
      <c r="D447" t="s">
        <v>611</v>
      </c>
    </row>
    <row r="448" spans="1:4" x14ac:dyDescent="0.25">
      <c r="A448">
        <v>1995</v>
      </c>
      <c r="B448" t="s">
        <v>3</v>
      </c>
      <c r="C448">
        <v>4</v>
      </c>
      <c r="D448" t="s">
        <v>612</v>
      </c>
    </row>
    <row r="449" spans="1:4" x14ac:dyDescent="0.25">
      <c r="A449">
        <v>1995</v>
      </c>
      <c r="B449" t="s">
        <v>3</v>
      </c>
      <c r="C449">
        <v>5</v>
      </c>
      <c r="D449" t="s">
        <v>613</v>
      </c>
    </row>
    <row r="450" spans="1:4" x14ac:dyDescent="0.25">
      <c r="A450">
        <v>1995</v>
      </c>
      <c r="B450" t="s">
        <v>3</v>
      </c>
      <c r="C450">
        <v>6</v>
      </c>
      <c r="D450" t="s">
        <v>614</v>
      </c>
    </row>
    <row r="451" spans="1:4" x14ac:dyDescent="0.25">
      <c r="A451">
        <v>1995</v>
      </c>
      <c r="B451" t="s">
        <v>3</v>
      </c>
      <c r="C451">
        <v>7</v>
      </c>
      <c r="D451" t="s">
        <v>615</v>
      </c>
    </row>
    <row r="452" spans="1:4" x14ac:dyDescent="0.25">
      <c r="A452">
        <v>1995</v>
      </c>
      <c r="B452" t="s">
        <v>3</v>
      </c>
      <c r="C452">
        <v>8</v>
      </c>
      <c r="D452" t="s">
        <v>616</v>
      </c>
    </row>
    <row r="453" spans="1:4" x14ac:dyDescent="0.25">
      <c r="A453">
        <v>1995</v>
      </c>
      <c r="B453" t="s">
        <v>3</v>
      </c>
      <c r="C453">
        <v>9</v>
      </c>
      <c r="D453" t="s">
        <v>617</v>
      </c>
    </row>
    <row r="454" spans="1:4" x14ac:dyDescent="0.25">
      <c r="A454">
        <v>1995</v>
      </c>
      <c r="B454" t="s">
        <v>3</v>
      </c>
      <c r="C454">
        <v>10</v>
      </c>
      <c r="D454" t="s">
        <v>618</v>
      </c>
    </row>
    <row r="455" spans="1:4" x14ac:dyDescent="0.25">
      <c r="A455">
        <v>1995</v>
      </c>
      <c r="B455" t="s">
        <v>3</v>
      </c>
      <c r="C455">
        <v>11</v>
      </c>
      <c r="D455" t="s">
        <v>619</v>
      </c>
    </row>
    <row r="456" spans="1:4" x14ac:dyDescent="0.25">
      <c r="A456">
        <v>1995</v>
      </c>
      <c r="B456" t="s">
        <v>3</v>
      </c>
      <c r="C456">
        <v>12</v>
      </c>
      <c r="D456" t="s">
        <v>620</v>
      </c>
    </row>
    <row r="457" spans="1:4" x14ac:dyDescent="0.25">
      <c r="A457">
        <v>1995</v>
      </c>
      <c r="B457" t="s">
        <v>3</v>
      </c>
      <c r="C457">
        <v>13</v>
      </c>
      <c r="D457" t="s">
        <v>621</v>
      </c>
    </row>
    <row r="458" spans="1:4" x14ac:dyDescent="0.25">
      <c r="A458">
        <v>1995</v>
      </c>
      <c r="B458" t="s">
        <v>3</v>
      </c>
      <c r="C458">
        <v>14</v>
      </c>
      <c r="D458" t="s">
        <v>622</v>
      </c>
    </row>
    <row r="459" spans="1:4" x14ac:dyDescent="0.25">
      <c r="A459">
        <v>1995</v>
      </c>
      <c r="B459" t="s">
        <v>3</v>
      </c>
      <c r="C459">
        <v>15</v>
      </c>
      <c r="D459" t="s">
        <v>623</v>
      </c>
    </row>
    <row r="460" spans="1:4" x14ac:dyDescent="0.25">
      <c r="A460">
        <v>1994</v>
      </c>
      <c r="B460" t="s">
        <v>2</v>
      </c>
      <c r="C460">
        <v>1</v>
      </c>
      <c r="D460" t="s">
        <v>624</v>
      </c>
    </row>
    <row r="461" spans="1:4" x14ac:dyDescent="0.25">
      <c r="A461">
        <v>1994</v>
      </c>
      <c r="B461" t="s">
        <v>2</v>
      </c>
      <c r="C461">
        <v>2</v>
      </c>
      <c r="D461" t="s">
        <v>625</v>
      </c>
    </row>
    <row r="462" spans="1:4" x14ac:dyDescent="0.25">
      <c r="A462">
        <v>1994</v>
      </c>
      <c r="B462" t="s">
        <v>2</v>
      </c>
      <c r="C462">
        <v>3</v>
      </c>
      <c r="D462" t="s">
        <v>626</v>
      </c>
    </row>
    <row r="463" spans="1:4" x14ac:dyDescent="0.25">
      <c r="A463">
        <v>1994</v>
      </c>
      <c r="B463" t="s">
        <v>2</v>
      </c>
      <c r="C463">
        <v>4</v>
      </c>
      <c r="D463" t="s">
        <v>627</v>
      </c>
    </row>
    <row r="464" spans="1:4" x14ac:dyDescent="0.25">
      <c r="A464">
        <v>1994</v>
      </c>
      <c r="B464" t="s">
        <v>2</v>
      </c>
      <c r="C464">
        <v>5</v>
      </c>
      <c r="D464" t="s">
        <v>628</v>
      </c>
    </row>
    <row r="465" spans="1:4" x14ac:dyDescent="0.25">
      <c r="A465">
        <v>1994</v>
      </c>
      <c r="B465" t="s">
        <v>2</v>
      </c>
      <c r="C465">
        <v>6</v>
      </c>
      <c r="D465" t="s">
        <v>629</v>
      </c>
    </row>
    <row r="466" spans="1:4" x14ac:dyDescent="0.25">
      <c r="A466">
        <v>1994</v>
      </c>
      <c r="B466" t="s">
        <v>2</v>
      </c>
      <c r="C466">
        <v>7</v>
      </c>
      <c r="D466" t="s">
        <v>630</v>
      </c>
    </row>
    <row r="467" spans="1:4" x14ac:dyDescent="0.25">
      <c r="A467">
        <v>1994</v>
      </c>
      <c r="B467" t="s">
        <v>2</v>
      </c>
      <c r="C467">
        <v>8</v>
      </c>
      <c r="D467" t="s">
        <v>631</v>
      </c>
    </row>
    <row r="468" spans="1:4" x14ac:dyDescent="0.25">
      <c r="A468">
        <v>1994</v>
      </c>
      <c r="B468" t="s">
        <v>2</v>
      </c>
      <c r="C468">
        <v>9</v>
      </c>
      <c r="D468" t="s">
        <v>632</v>
      </c>
    </row>
    <row r="469" spans="1:4" x14ac:dyDescent="0.25">
      <c r="A469">
        <v>1994</v>
      </c>
      <c r="B469" t="s">
        <v>2</v>
      </c>
      <c r="C469">
        <v>10</v>
      </c>
      <c r="D469" t="s">
        <v>633</v>
      </c>
    </row>
    <row r="470" spans="1:4" x14ac:dyDescent="0.25">
      <c r="A470">
        <v>1994</v>
      </c>
      <c r="B470" t="s">
        <v>2</v>
      </c>
      <c r="C470">
        <v>11</v>
      </c>
      <c r="D470" t="s">
        <v>634</v>
      </c>
    </row>
    <row r="471" spans="1:4" x14ac:dyDescent="0.25">
      <c r="A471">
        <v>1994</v>
      </c>
      <c r="B471" t="s">
        <v>2</v>
      </c>
      <c r="C471">
        <v>12</v>
      </c>
      <c r="D471" t="s">
        <v>635</v>
      </c>
    </row>
    <row r="472" spans="1:4" x14ac:dyDescent="0.25">
      <c r="A472">
        <v>1994</v>
      </c>
      <c r="B472" t="s">
        <v>2</v>
      </c>
      <c r="C472">
        <v>13</v>
      </c>
      <c r="D472" t="s">
        <v>636</v>
      </c>
    </row>
    <row r="473" spans="1:4" x14ac:dyDescent="0.25">
      <c r="A473">
        <v>1994</v>
      </c>
      <c r="B473" t="s">
        <v>2</v>
      </c>
      <c r="C473">
        <v>14</v>
      </c>
      <c r="D473" t="s">
        <v>637</v>
      </c>
    </row>
    <row r="474" spans="1:4" x14ac:dyDescent="0.25">
      <c r="A474">
        <v>1993</v>
      </c>
      <c r="B474" t="s">
        <v>1</v>
      </c>
      <c r="C474">
        <v>1</v>
      </c>
      <c r="D474" t="s">
        <v>638</v>
      </c>
    </row>
    <row r="475" spans="1:4" x14ac:dyDescent="0.25">
      <c r="A475">
        <v>1993</v>
      </c>
      <c r="B475" t="s">
        <v>1</v>
      </c>
      <c r="C475">
        <v>2</v>
      </c>
      <c r="D475" t="s">
        <v>639</v>
      </c>
    </row>
    <row r="476" spans="1:4" x14ac:dyDescent="0.25">
      <c r="A476">
        <v>1993</v>
      </c>
      <c r="B476" t="s">
        <v>1</v>
      </c>
      <c r="C476">
        <v>3</v>
      </c>
      <c r="D476" t="s">
        <v>640</v>
      </c>
    </row>
    <row r="477" spans="1:4" x14ac:dyDescent="0.25">
      <c r="A477">
        <v>1993</v>
      </c>
      <c r="B477" t="s">
        <v>1</v>
      </c>
      <c r="C477">
        <v>4</v>
      </c>
      <c r="D477" t="s">
        <v>641</v>
      </c>
    </row>
    <row r="478" spans="1:4" x14ac:dyDescent="0.25">
      <c r="A478">
        <v>1993</v>
      </c>
      <c r="B478" t="s">
        <v>1</v>
      </c>
      <c r="C478">
        <v>5</v>
      </c>
      <c r="D478" t="s">
        <v>642</v>
      </c>
    </row>
    <row r="479" spans="1:4" x14ac:dyDescent="0.25">
      <c r="A479">
        <v>1993</v>
      </c>
      <c r="B479" t="s">
        <v>1</v>
      </c>
      <c r="C479">
        <v>6</v>
      </c>
      <c r="D479" t="s">
        <v>643</v>
      </c>
    </row>
    <row r="480" spans="1:4" x14ac:dyDescent="0.25">
      <c r="A480">
        <v>1993</v>
      </c>
      <c r="B480" t="s">
        <v>1</v>
      </c>
      <c r="C480">
        <v>7</v>
      </c>
      <c r="D480" t="s">
        <v>644</v>
      </c>
    </row>
    <row r="481" spans="1:4" x14ac:dyDescent="0.25">
      <c r="A481">
        <v>1993</v>
      </c>
      <c r="B481" t="s">
        <v>1</v>
      </c>
      <c r="C481">
        <v>8</v>
      </c>
      <c r="D481" t="s">
        <v>645</v>
      </c>
    </row>
    <row r="482" spans="1:4" x14ac:dyDescent="0.25">
      <c r="A482">
        <v>1993</v>
      </c>
      <c r="B482" t="s">
        <v>1</v>
      </c>
      <c r="C482">
        <v>9</v>
      </c>
      <c r="D482" t="s">
        <v>646</v>
      </c>
    </row>
    <row r="483" spans="1:4" x14ac:dyDescent="0.25">
      <c r="A483">
        <v>1993</v>
      </c>
      <c r="B483" t="s">
        <v>1</v>
      </c>
      <c r="C483">
        <v>10</v>
      </c>
      <c r="D483" t="s">
        <v>647</v>
      </c>
    </row>
    <row r="484" spans="1:4" x14ac:dyDescent="0.25">
      <c r="A484">
        <v>1993</v>
      </c>
      <c r="B484" t="s">
        <v>1</v>
      </c>
      <c r="C484">
        <v>11</v>
      </c>
      <c r="D484" t="s">
        <v>648</v>
      </c>
    </row>
    <row r="485" spans="1:4" x14ac:dyDescent="0.25">
      <c r="A485">
        <v>1993</v>
      </c>
      <c r="B485" t="s">
        <v>1</v>
      </c>
      <c r="C485">
        <v>12</v>
      </c>
      <c r="D485" t="s">
        <v>649</v>
      </c>
    </row>
    <row r="486" spans="1:4" x14ac:dyDescent="0.25">
      <c r="A486">
        <v>1993</v>
      </c>
      <c r="B486" t="s">
        <v>1</v>
      </c>
      <c r="C486">
        <v>13</v>
      </c>
      <c r="D486" t="s">
        <v>650</v>
      </c>
    </row>
    <row r="487" spans="1:4" x14ac:dyDescent="0.25">
      <c r="A487">
        <v>1993</v>
      </c>
      <c r="B487" t="s">
        <v>1</v>
      </c>
      <c r="C487">
        <v>14</v>
      </c>
      <c r="D487" t="s">
        <v>651</v>
      </c>
    </row>
    <row r="488" spans="1:4" x14ac:dyDescent="0.25">
      <c r="A488">
        <v>1992</v>
      </c>
      <c r="B488" t="s">
        <v>0</v>
      </c>
      <c r="C488">
        <v>1</v>
      </c>
      <c r="D488" t="s">
        <v>652</v>
      </c>
    </row>
    <row r="489" spans="1:4" x14ac:dyDescent="0.25">
      <c r="A489">
        <v>1992</v>
      </c>
      <c r="B489" t="s">
        <v>0</v>
      </c>
      <c r="C489">
        <v>2</v>
      </c>
      <c r="D489" t="s">
        <v>653</v>
      </c>
    </row>
    <row r="490" spans="1:4" x14ac:dyDescent="0.25">
      <c r="A490">
        <v>1992</v>
      </c>
      <c r="B490" t="s">
        <v>0</v>
      </c>
      <c r="C490">
        <v>3</v>
      </c>
      <c r="D490" t="s">
        <v>654</v>
      </c>
    </row>
    <row r="491" spans="1:4" x14ac:dyDescent="0.25">
      <c r="A491">
        <v>1992</v>
      </c>
      <c r="B491" t="s">
        <v>0</v>
      </c>
      <c r="C491">
        <v>4</v>
      </c>
      <c r="D491" t="s">
        <v>655</v>
      </c>
    </row>
    <row r="492" spans="1:4" x14ac:dyDescent="0.25">
      <c r="A492">
        <v>1992</v>
      </c>
      <c r="B492" t="s">
        <v>0</v>
      </c>
      <c r="C492">
        <v>5</v>
      </c>
      <c r="D492" t="s">
        <v>656</v>
      </c>
    </row>
    <row r="493" spans="1:4" x14ac:dyDescent="0.25">
      <c r="A493">
        <v>1992</v>
      </c>
      <c r="B493" t="s">
        <v>0</v>
      </c>
      <c r="C493">
        <v>6</v>
      </c>
      <c r="D493" t="s">
        <v>657</v>
      </c>
    </row>
    <row r="494" spans="1:4" x14ac:dyDescent="0.25">
      <c r="A494">
        <v>1992</v>
      </c>
      <c r="B494" t="s">
        <v>0</v>
      </c>
      <c r="C494">
        <v>7</v>
      </c>
      <c r="D494" t="s">
        <v>658</v>
      </c>
    </row>
    <row r="495" spans="1:4" x14ac:dyDescent="0.25">
      <c r="A495">
        <v>1992</v>
      </c>
      <c r="B495" t="s">
        <v>0</v>
      </c>
      <c r="C495">
        <v>8</v>
      </c>
      <c r="D495" t="s">
        <v>659</v>
      </c>
    </row>
    <row r="496" spans="1:4" x14ac:dyDescent="0.25">
      <c r="A496">
        <v>1992</v>
      </c>
      <c r="B496" t="s">
        <v>0</v>
      </c>
      <c r="C496">
        <v>9</v>
      </c>
      <c r="D496" t="s">
        <v>660</v>
      </c>
    </row>
    <row r="497" spans="1:5" x14ac:dyDescent="0.25">
      <c r="A497">
        <v>1992</v>
      </c>
      <c r="B497" t="s">
        <v>0</v>
      </c>
      <c r="C497">
        <v>10</v>
      </c>
      <c r="D497" t="s">
        <v>661</v>
      </c>
    </row>
    <row r="498" spans="1:5" x14ac:dyDescent="0.25">
      <c r="A498">
        <v>1992</v>
      </c>
      <c r="B498" t="s">
        <v>0</v>
      </c>
      <c r="C498">
        <v>11</v>
      </c>
      <c r="D498" t="s">
        <v>662</v>
      </c>
    </row>
    <row r="499" spans="1:5" x14ac:dyDescent="0.25">
      <c r="A499">
        <v>1992</v>
      </c>
      <c r="B499" t="s">
        <v>0</v>
      </c>
      <c r="C499">
        <v>12</v>
      </c>
      <c r="D499" t="s">
        <v>663</v>
      </c>
    </row>
    <row r="500" spans="1:5" x14ac:dyDescent="0.25">
      <c r="A500">
        <v>1992</v>
      </c>
      <c r="B500" t="s">
        <v>0</v>
      </c>
      <c r="C500">
        <v>13</v>
      </c>
      <c r="D500" t="s">
        <v>664</v>
      </c>
    </row>
    <row r="501" spans="1:5" x14ac:dyDescent="0.25">
      <c r="A501">
        <v>1992</v>
      </c>
      <c r="B501" t="s">
        <v>0</v>
      </c>
      <c r="C501">
        <v>14</v>
      </c>
      <c r="D501" t="s">
        <v>665</v>
      </c>
    </row>
    <row r="502" spans="1:5" x14ac:dyDescent="0.25">
      <c r="A502">
        <v>1992</v>
      </c>
      <c r="B502" t="s">
        <v>0</v>
      </c>
      <c r="C502">
        <v>15</v>
      </c>
      <c r="D502" t="s">
        <v>666</v>
      </c>
    </row>
    <row r="503" spans="1:5" x14ac:dyDescent="0.25">
      <c r="A503">
        <v>1992</v>
      </c>
      <c r="B503" t="s">
        <v>0</v>
      </c>
      <c r="C503">
        <v>16</v>
      </c>
      <c r="D503" t="s">
        <v>667</v>
      </c>
    </row>
    <row r="504" spans="1:5" x14ac:dyDescent="0.25">
      <c r="A504">
        <v>1990</v>
      </c>
      <c r="B504" t="s">
        <v>31</v>
      </c>
      <c r="C504">
        <v>1</v>
      </c>
      <c r="D504" t="s">
        <v>668</v>
      </c>
      <c r="E504" s="2">
        <v>0.18819444444444444</v>
      </c>
    </row>
    <row r="505" spans="1:5" x14ac:dyDescent="0.25">
      <c r="A505">
        <v>1990</v>
      </c>
      <c r="B505" t="s">
        <v>31</v>
      </c>
      <c r="C505">
        <v>2</v>
      </c>
      <c r="D505" t="s">
        <v>669</v>
      </c>
      <c r="E505" s="2">
        <v>0.12430555555555556</v>
      </c>
    </row>
    <row r="506" spans="1:5" x14ac:dyDescent="0.25">
      <c r="A506">
        <v>1990</v>
      </c>
      <c r="B506" t="s">
        <v>31</v>
      </c>
      <c r="C506">
        <v>3</v>
      </c>
      <c r="D506" t="s">
        <v>670</v>
      </c>
      <c r="E506" s="2">
        <v>0.17152777777777775</v>
      </c>
    </row>
    <row r="507" spans="1:5" x14ac:dyDescent="0.25">
      <c r="A507">
        <v>1990</v>
      </c>
      <c r="B507" t="s">
        <v>31</v>
      </c>
      <c r="C507">
        <v>4</v>
      </c>
      <c r="D507" t="s">
        <v>671</v>
      </c>
      <c r="E507" s="2">
        <v>0.1013888888888889</v>
      </c>
    </row>
    <row r="508" spans="1:5" x14ac:dyDescent="0.25">
      <c r="A508">
        <v>1990</v>
      </c>
      <c r="B508" t="s">
        <v>31</v>
      </c>
      <c r="C508">
        <v>5</v>
      </c>
      <c r="D508" t="s">
        <v>672</v>
      </c>
      <c r="E508" s="2">
        <v>0.1173611111111111</v>
      </c>
    </row>
    <row r="509" spans="1:5" x14ac:dyDescent="0.25">
      <c r="A509">
        <v>1990</v>
      </c>
      <c r="B509" t="s">
        <v>31</v>
      </c>
      <c r="C509">
        <v>6</v>
      </c>
      <c r="D509" t="s">
        <v>673</v>
      </c>
      <c r="E509" s="2">
        <v>0.15138888888888888</v>
      </c>
    </row>
    <row r="510" spans="1:5" x14ac:dyDescent="0.25">
      <c r="A510">
        <v>1990</v>
      </c>
      <c r="B510" t="s">
        <v>31</v>
      </c>
      <c r="C510">
        <v>7</v>
      </c>
      <c r="D510" t="s">
        <v>674</v>
      </c>
      <c r="E510" s="2">
        <v>0.1277777777777778</v>
      </c>
    </row>
    <row r="511" spans="1:5" x14ac:dyDescent="0.25">
      <c r="A511">
        <v>1990</v>
      </c>
      <c r="B511" t="s">
        <v>31</v>
      </c>
      <c r="C511">
        <v>8</v>
      </c>
      <c r="D511" t="s">
        <v>31</v>
      </c>
      <c r="E511" s="2">
        <v>0.23333333333333331</v>
      </c>
    </row>
    <row r="512" spans="1:5" x14ac:dyDescent="0.25">
      <c r="A512">
        <v>1990</v>
      </c>
      <c r="B512" t="s">
        <v>31</v>
      </c>
      <c r="C512">
        <v>9</v>
      </c>
      <c r="D512" t="s">
        <v>675</v>
      </c>
      <c r="E512" s="2">
        <v>0.19166666666666665</v>
      </c>
    </row>
    <row r="513" spans="1:5" x14ac:dyDescent="0.25">
      <c r="A513">
        <v>1990</v>
      </c>
      <c r="B513" t="s">
        <v>31</v>
      </c>
      <c r="C513">
        <v>10</v>
      </c>
      <c r="D513" t="s">
        <v>676</v>
      </c>
      <c r="E513" s="2">
        <v>0.16666666666666666</v>
      </c>
    </row>
    <row r="514" spans="1:5" x14ac:dyDescent="0.25">
      <c r="A514">
        <v>1990</v>
      </c>
      <c r="B514" t="s">
        <v>31</v>
      </c>
      <c r="C514">
        <v>11</v>
      </c>
      <c r="D514" t="s">
        <v>677</v>
      </c>
      <c r="E514" s="2">
        <v>0.24930555555555556</v>
      </c>
    </row>
    <row r="515" spans="1:5" x14ac:dyDescent="0.25">
      <c r="A515">
        <v>1990</v>
      </c>
      <c r="B515" t="s">
        <v>31</v>
      </c>
      <c r="C515">
        <v>12</v>
      </c>
      <c r="D515" t="s">
        <v>678</v>
      </c>
      <c r="E515" s="2">
        <v>0.21180555555555555</v>
      </c>
    </row>
    <row r="516" spans="1:5" x14ac:dyDescent="0.25">
      <c r="A516">
        <v>1990</v>
      </c>
      <c r="B516" t="s">
        <v>31</v>
      </c>
      <c r="C516">
        <v>13</v>
      </c>
      <c r="D516" t="s">
        <v>679</v>
      </c>
      <c r="E516" s="2">
        <v>0.30069444444444443</v>
      </c>
    </row>
    <row r="517" spans="1:5" x14ac:dyDescent="0.25">
      <c r="A517">
        <v>1990</v>
      </c>
      <c r="B517" t="s">
        <v>31</v>
      </c>
      <c r="C517">
        <v>14</v>
      </c>
      <c r="D517" t="s">
        <v>680</v>
      </c>
      <c r="E517" s="2">
        <v>0.23402777777777781</v>
      </c>
    </row>
    <row r="518" spans="1:5" x14ac:dyDescent="0.25">
      <c r="A518">
        <v>1988</v>
      </c>
      <c r="B518" t="s">
        <v>30</v>
      </c>
      <c r="C518">
        <v>1</v>
      </c>
      <c r="D518" t="s">
        <v>681</v>
      </c>
      <c r="E518" t="s">
        <v>682</v>
      </c>
    </row>
    <row r="519" spans="1:5" x14ac:dyDescent="0.25">
      <c r="A519">
        <v>1988</v>
      </c>
      <c r="B519" t="s">
        <v>30</v>
      </c>
      <c r="C519">
        <v>2</v>
      </c>
      <c r="D519" t="s">
        <v>683</v>
      </c>
      <c r="E519" t="s">
        <v>684</v>
      </c>
    </row>
    <row r="520" spans="1:5" x14ac:dyDescent="0.25">
      <c r="A520">
        <v>1988</v>
      </c>
      <c r="B520" t="s">
        <v>30</v>
      </c>
      <c r="C520">
        <v>3</v>
      </c>
      <c r="D520" t="s">
        <v>685</v>
      </c>
      <c r="E520" t="s">
        <v>684</v>
      </c>
    </row>
    <row r="521" spans="1:5" x14ac:dyDescent="0.25">
      <c r="A521">
        <v>1988</v>
      </c>
      <c r="B521" t="s">
        <v>30</v>
      </c>
      <c r="C521">
        <v>4</v>
      </c>
      <c r="D521" t="s">
        <v>686</v>
      </c>
      <c r="E521" t="s">
        <v>684</v>
      </c>
    </row>
    <row r="522" spans="1:5" x14ac:dyDescent="0.25">
      <c r="A522">
        <v>1988</v>
      </c>
      <c r="B522" t="s">
        <v>30</v>
      </c>
      <c r="C522">
        <v>5</v>
      </c>
      <c r="D522" t="s">
        <v>687</v>
      </c>
      <c r="E522" t="s">
        <v>684</v>
      </c>
    </row>
    <row r="523" spans="1:5" x14ac:dyDescent="0.25">
      <c r="A523">
        <v>1988</v>
      </c>
      <c r="B523" t="s">
        <v>30</v>
      </c>
      <c r="C523">
        <v>6</v>
      </c>
      <c r="D523" t="s">
        <v>688</v>
      </c>
      <c r="E523" t="s">
        <v>684</v>
      </c>
    </row>
    <row r="524" spans="1:5" x14ac:dyDescent="0.25">
      <c r="A524">
        <v>1988</v>
      </c>
      <c r="B524" t="s">
        <v>30</v>
      </c>
      <c r="C524">
        <v>7</v>
      </c>
      <c r="D524" t="s">
        <v>689</v>
      </c>
      <c r="E524" t="s">
        <v>690</v>
      </c>
    </row>
    <row r="525" spans="1:5" x14ac:dyDescent="0.25">
      <c r="A525">
        <v>1988</v>
      </c>
      <c r="B525" t="s">
        <v>30</v>
      </c>
      <c r="C525">
        <v>8</v>
      </c>
      <c r="D525" t="s">
        <v>691</v>
      </c>
      <c r="E525" t="s">
        <v>684</v>
      </c>
    </row>
    <row r="526" spans="1:5" x14ac:dyDescent="0.25">
      <c r="A526">
        <v>1988</v>
      </c>
      <c r="B526" t="s">
        <v>30</v>
      </c>
      <c r="C526">
        <v>9</v>
      </c>
      <c r="D526" t="s">
        <v>692</v>
      </c>
      <c r="E526" t="s">
        <v>690</v>
      </c>
    </row>
    <row r="527" spans="1:5" x14ac:dyDescent="0.25">
      <c r="A527">
        <v>1988</v>
      </c>
      <c r="B527" t="s">
        <v>30</v>
      </c>
      <c r="C527">
        <v>10</v>
      </c>
      <c r="D527" t="s">
        <v>693</v>
      </c>
      <c r="E527" t="s">
        <v>684</v>
      </c>
    </row>
    <row r="528" spans="1:5" x14ac:dyDescent="0.25">
      <c r="A528">
        <v>1988</v>
      </c>
      <c r="B528" t="s">
        <v>30</v>
      </c>
      <c r="C528">
        <v>11</v>
      </c>
      <c r="D528" t="s">
        <v>322</v>
      </c>
      <c r="E528" t="s">
        <v>694</v>
      </c>
    </row>
  </sheetData>
  <autoFilter ref="A1:G385" xr:uid="{D8DEFADC-E8E3-4F79-AB30-05360213D315}"/>
  <conditionalFormatting sqref="D1:D296 D529:D1048576">
    <cfRule type="duplicateValues" dxfId="3" priority="4"/>
  </conditionalFormatting>
  <conditionalFormatting sqref="I297:I385">
    <cfRule type="duplicateValues" dxfId="2" priority="3"/>
  </conditionalFormatting>
  <conditionalFormatting sqref="D386:D528">
    <cfRule type="duplicateValues" dxfId="1" priority="1"/>
  </conditionalFormatting>
  <conditionalFormatting sqref="H386:H528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2021-01-06T17:14:05Z</dcterms:created>
  <dcterms:modified xsi:type="dcterms:W3CDTF">2021-01-07T06:04:11Z</dcterms:modified>
</cp:coreProperties>
</file>