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HillsongWorship\"/>
    </mc:Choice>
  </mc:AlternateContent>
  <xr:revisionPtr revIDLastSave="0" documentId="13_ncr:1_{41659274-62F6-4D45-BCF7-FFB1D33197E5}" xr6:coauthVersionLast="45" xr6:coauthVersionMax="45" xr10:uidLastSave="{00000000-0000-0000-0000-000000000000}"/>
  <bookViews>
    <workbookView xWindow="28680" yWindow="-120" windowWidth="29040" windowHeight="15990" activeTab="1" xr2:uid="{EEB768F0-7332-49A7-8FEF-956E745C1135}"/>
  </bookViews>
  <sheets>
    <sheet name="Statistics" sheetId="3" r:id="rId1"/>
    <sheet name="Albums" sheetId="1" r:id="rId2"/>
    <sheet name="Songs" sheetId="2" r:id="rId3"/>
    <sheet name="Rejected (Compilations)" sheetId="6" r:id="rId4"/>
  </sheets>
  <externalReferences>
    <externalReference r:id="rId5"/>
  </externalReferences>
  <definedNames>
    <definedName name="_xlnm._FilterDatabase" localSheetId="1" hidden="1">Albums!$A$1:$K$70</definedName>
    <definedName name="_xlnm._FilterDatabase" localSheetId="3" hidden="1">'Rejected (Compilations)'!$A$1:$L$77</definedName>
    <definedName name="_xlnm._FilterDatabase" localSheetId="2" hidden="1">Songs!$A$1:$L$766</definedName>
    <definedName name="_xlnm._FilterDatabase" localSheetId="0" hidden="1">Statistics!$A$1:$D$1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2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55" i="2"/>
  <c r="H255" i="2"/>
  <c r="L77" i="6" l="1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743" i="2"/>
  <c r="L744" i="2"/>
  <c r="L745" i="2"/>
  <c r="L746" i="2"/>
  <c r="L747" i="2"/>
  <c r="L748" i="2"/>
  <c r="L749" i="2"/>
  <c r="L750" i="2"/>
  <c r="L751" i="2"/>
  <c r="L752" i="2"/>
  <c r="L753" i="2"/>
  <c r="L754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269" i="2"/>
  <c r="L270" i="2"/>
  <c r="L271" i="2"/>
  <c r="L272" i="2"/>
  <c r="L273" i="2"/>
  <c r="L274" i="2"/>
  <c r="L275" i="2"/>
  <c r="L276" i="2"/>
  <c r="L277" i="2"/>
  <c r="L278" i="2"/>
  <c r="L279" i="2"/>
  <c r="L219" i="2"/>
  <c r="L220" i="2"/>
  <c r="L221" i="2"/>
  <c r="L222" i="2"/>
  <c r="L223" i="2"/>
  <c r="L224" i="2"/>
  <c r="L225" i="2"/>
  <c r="L226" i="2"/>
  <c r="L227" i="2"/>
  <c r="L228" i="2"/>
  <c r="L209" i="2"/>
  <c r="L210" i="2"/>
  <c r="L211" i="2"/>
  <c r="L212" i="2"/>
  <c r="L213" i="2"/>
  <c r="L214" i="2"/>
  <c r="L215" i="2"/>
  <c r="L216" i="2"/>
  <c r="L217" i="2"/>
  <c r="L218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E46" i="1"/>
  <c r="E48" i="1"/>
  <c r="E49" i="1"/>
  <c r="E51" i="1"/>
  <c r="E52" i="1"/>
  <c r="E53" i="1"/>
  <c r="E55" i="1"/>
  <c r="E56" i="1"/>
  <c r="E59" i="1"/>
  <c r="E62" i="1"/>
  <c r="E63" i="1"/>
  <c r="E65" i="1"/>
  <c r="E67" i="1"/>
  <c r="E68" i="1"/>
  <c r="E70" i="1"/>
  <c r="E17" i="1"/>
  <c r="E19" i="1"/>
  <c r="E23" i="1"/>
  <c r="E28" i="1"/>
  <c r="E33" i="1"/>
  <c r="E36" i="1"/>
  <c r="E41" i="1"/>
  <c r="E42" i="1"/>
  <c r="E44" i="1"/>
  <c r="E47" i="1"/>
  <c r="E50" i="1"/>
  <c r="E54" i="1"/>
  <c r="E57" i="1"/>
  <c r="E60" i="1"/>
  <c r="E58" i="1"/>
  <c r="E61" i="1"/>
  <c r="E64" i="1"/>
  <c r="E66" i="1"/>
  <c r="E69" i="1"/>
  <c r="L756" i="2" l="1"/>
  <c r="L757" i="2"/>
  <c r="L758" i="2"/>
  <c r="L759" i="2"/>
  <c r="L760" i="2"/>
  <c r="L761" i="2"/>
  <c r="L762" i="2"/>
  <c r="L763" i="2"/>
  <c r="L764" i="2"/>
  <c r="L765" i="2"/>
  <c r="L766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45" i="2"/>
  <c r="L646" i="2"/>
  <c r="L647" i="2"/>
  <c r="L648" i="2"/>
  <c r="L649" i="2"/>
  <c r="L650" i="2"/>
  <c r="L651" i="2"/>
  <c r="L652" i="2"/>
  <c r="L653" i="2"/>
  <c r="L654" i="2"/>
  <c r="L655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" i="2"/>
  <c r="L3" i="2"/>
  <c r="L4" i="2"/>
  <c r="L5" i="2"/>
  <c r="L6" i="2"/>
  <c r="L7" i="2"/>
  <c r="L8" i="2"/>
  <c r="L9" i="2"/>
  <c r="L10" i="2"/>
  <c r="L11" i="2"/>
  <c r="L12" i="2"/>
  <c r="L755" i="2"/>
  <c r="E3" i="1" l="1"/>
  <c r="E4" i="1"/>
  <c r="E5" i="1"/>
  <c r="E6" i="1"/>
  <c r="E7" i="1"/>
  <c r="E9" i="1"/>
  <c r="E8" i="1"/>
  <c r="E12" i="1"/>
  <c r="E10" i="1"/>
  <c r="E11" i="1"/>
  <c r="E15" i="1"/>
  <c r="E13" i="1"/>
  <c r="E14" i="1"/>
  <c r="E16" i="1"/>
  <c r="E18" i="1"/>
  <c r="E21" i="1"/>
  <c r="E20" i="1"/>
  <c r="E22" i="1"/>
  <c r="E24" i="1"/>
  <c r="E27" i="1"/>
  <c r="E26" i="1"/>
  <c r="E25" i="1"/>
  <c r="E29" i="1"/>
  <c r="E30" i="1"/>
  <c r="E31" i="1"/>
  <c r="E32" i="1"/>
  <c r="E34" i="1"/>
  <c r="E35" i="1"/>
  <c r="E37" i="1"/>
  <c r="E40" i="1"/>
  <c r="E39" i="1"/>
  <c r="E38" i="1"/>
  <c r="E43" i="1"/>
  <c r="E45" i="1"/>
  <c r="E2" i="1"/>
  <c r="E11" i="3" l="1"/>
  <c r="E21" i="3"/>
  <c r="E32" i="3"/>
</calcChain>
</file>

<file path=xl/sharedStrings.xml><?xml version="1.0" encoding="utf-8"?>
<sst xmlns="http://schemas.openxmlformats.org/spreadsheetml/2006/main" count="3850" uniqueCount="1313">
  <si>
    <t>The Power of Your Love</t>
  </si>
  <si>
    <t>Stone's Been Rolled Away</t>
  </si>
  <si>
    <t>People Just Like Us</t>
  </si>
  <si>
    <t>Friends in High Places</t>
  </si>
  <si>
    <t>God Is in the House</t>
  </si>
  <si>
    <t>All Things Are Possible</t>
  </si>
  <si>
    <t>Touching Heaven Changing Earth</t>
  </si>
  <si>
    <t>By Your Side</t>
  </si>
  <si>
    <t>For This Cause</t>
  </si>
  <si>
    <t>You Are My World</t>
  </si>
  <si>
    <t>Blessed</t>
  </si>
  <si>
    <t>Hope</t>
  </si>
  <si>
    <t>For All You've Done</t>
  </si>
  <si>
    <t>God He Reigns</t>
  </si>
  <si>
    <t>Mighty to Save</t>
  </si>
  <si>
    <t>Saviour King</t>
  </si>
  <si>
    <t>This Is Our God</t>
  </si>
  <si>
    <t>Faith + Hope + Love</t>
  </si>
  <si>
    <t>A Beautiful Exchange</t>
  </si>
  <si>
    <t>God Is Able</t>
  </si>
  <si>
    <t>Cornerstone</t>
  </si>
  <si>
    <t>Glorious Ruins</t>
  </si>
  <si>
    <t>No Other Name</t>
  </si>
  <si>
    <t>Open Heaven / River Wild</t>
  </si>
  <si>
    <t>Let There Be Light</t>
  </si>
  <si>
    <t>There Is More</t>
  </si>
  <si>
    <t>Album</t>
  </si>
  <si>
    <t>Publication Date</t>
  </si>
  <si>
    <t>Awake</t>
  </si>
  <si>
    <t>Spirit and Truth</t>
  </si>
  <si>
    <t>Show Your Glory</t>
  </si>
  <si>
    <t>The Peace Project</t>
  </si>
  <si>
    <t>Take Heart (Again)</t>
  </si>
  <si>
    <t>We Have A Savior</t>
  </si>
  <si>
    <t>Born Is The King</t>
  </si>
  <si>
    <t>Ultimate Worship 2</t>
  </si>
  <si>
    <t>Songs For Communion</t>
  </si>
  <si>
    <t>Faithful</t>
  </si>
  <si>
    <t>Forever</t>
  </si>
  <si>
    <t>Extravagant Worship: The Songs Of Reuben Morgan</t>
  </si>
  <si>
    <t>Extravagant Worship: The Songs Of Darlene Zschech</t>
  </si>
  <si>
    <t>Overwhelmed</t>
  </si>
  <si>
    <t>The Secret Place</t>
  </si>
  <si>
    <t>Simply Worship 3</t>
  </si>
  <si>
    <t>Simply Worship</t>
  </si>
  <si>
    <t>Simply Worship 2</t>
  </si>
  <si>
    <t>Shout To The Lord</t>
  </si>
  <si>
    <t>Type</t>
  </si>
  <si>
    <t>Studio</t>
  </si>
  <si>
    <t>Category</t>
  </si>
  <si>
    <t>Live</t>
  </si>
  <si>
    <t>Song Count</t>
  </si>
  <si>
    <t>Brooke Ligertwood</t>
  </si>
  <si>
    <t>Benjamin Hastings</t>
  </si>
  <si>
    <t>Ben Fielding</t>
  </si>
  <si>
    <t>Reuben Morgan</t>
  </si>
  <si>
    <t>David Ware</t>
  </si>
  <si>
    <t>Aodhan King</t>
  </si>
  <si>
    <t>Joel Houston</t>
  </si>
  <si>
    <t>Dylan Thomas</t>
  </si>
  <si>
    <t>Matt Crocker</t>
  </si>
  <si>
    <t>Chris Davenport</t>
  </si>
  <si>
    <t>Jad Gillies</t>
  </si>
  <si>
    <t>Hannah Hobbs</t>
  </si>
  <si>
    <t>Taya Gaukrodger</t>
  </si>
  <si>
    <t>Title</t>
  </si>
  <si>
    <t>Worship leader(s)</t>
  </si>
  <si>
    <t>Length</t>
  </si>
  <si>
    <t>Karina Wykes</t>
  </si>
  <si>
    <t>Marty Sampson</t>
  </si>
  <si>
    <t>Morgan</t>
  </si>
  <si>
    <t>Davenport</t>
  </si>
  <si>
    <t>Michelle Cook</t>
  </si>
  <si>
    <t>B. Ligertwood</t>
  </si>
  <si>
    <t>Taya Smith</t>
  </si>
  <si>
    <t>Laura Toggs</t>
  </si>
  <si>
    <t>Sampson</t>
  </si>
  <si>
    <t>Renee Sieff</t>
  </si>
  <si>
    <t>Mia Fieldes</t>
  </si>
  <si>
    <t>Jared Haschek</t>
  </si>
  <si>
    <t>Jonathon Douglass</t>
  </si>
  <si>
    <t>Annie Garratt</t>
  </si>
  <si>
    <t>Dean Ussher</t>
  </si>
  <si>
    <t>Aryel Murphy</t>
  </si>
  <si>
    <t>Tarryn Stokes</t>
  </si>
  <si>
    <t>Matt Crocker, Ben Fielding</t>
  </si>
  <si>
    <t>Fielding, Sam Knock</t>
  </si>
  <si>
    <t>Houston, Myrin</t>
  </si>
  <si>
    <t>Reuben Morgan, Myrin, Mrs. Walter G. Taylor</t>
  </si>
  <si>
    <t>Crocker, Hannah Hobbs</t>
  </si>
  <si>
    <t>Fielding, Dean Ussher</t>
  </si>
  <si>
    <t>Morgan, Jarrad Rogers</t>
  </si>
  <si>
    <t>Fraser, Scott Ligertwood, Myrin</t>
  </si>
  <si>
    <t>Crocker, Houston</t>
  </si>
  <si>
    <t>Joel Houston, Jonas Myrin</t>
  </si>
  <si>
    <t>Brooke Fraser, Marty Sampson</t>
  </si>
  <si>
    <t>Jay Cook, Jarred Rogers, Jamie Snell</t>
  </si>
  <si>
    <t>Jay Cook</t>
  </si>
  <si>
    <t>Brandon Carter, Chris Davenport, Joel Houston</t>
  </si>
  <si>
    <t>Reuben Morgan, Jonas Myrin</t>
  </si>
  <si>
    <t>Matt Crocker, Houston</t>
  </si>
  <si>
    <t>Joel Davies, Jason Ingram, Braden Lang, Morgan</t>
  </si>
  <si>
    <t>Sam Knock</t>
  </si>
  <si>
    <t>Crocker, Brooke Fraser</t>
  </si>
  <si>
    <t>Crocker, Fraser</t>
  </si>
  <si>
    <t>Jad Gillies, Annie Garratt</t>
  </si>
  <si>
    <t>Reuben Morgan, Juliet Adekambi</t>
  </si>
  <si>
    <t>Fraser, Morgan</t>
  </si>
  <si>
    <t>Laura Toggs, Reuben Morgan</t>
  </si>
  <si>
    <t>Ed Cash, Ingram, Matt Maher, Morgan, Chris Tomlin</t>
  </si>
  <si>
    <t>Karl Cashwell, Dean Ussher</t>
  </si>
  <si>
    <t>Brooke Fraser, Scott Ligertwood</t>
  </si>
  <si>
    <t>Eric Liljero, Reuben Morgan, Edward Mote, Jonas Myrin</t>
  </si>
  <si>
    <t>Matthew Bronleewee, Jason Ingram, Morgan</t>
  </si>
  <si>
    <t>Ingram, Morgan</t>
  </si>
  <si>
    <t>Ben Fielding, Ussher</t>
  </si>
  <si>
    <t>Crocker, Ligertwood</t>
  </si>
  <si>
    <t>Fielding, Morgan</t>
  </si>
  <si>
    <t>Fielding, Morgan, Harrison Wood</t>
  </si>
  <si>
    <t>Autumn Hardman, Dave Hodgson</t>
  </si>
  <si>
    <t>Bronleewee, Ingram, Morgan</t>
  </si>
  <si>
    <t>Darlene Zschech</t>
  </si>
  <si>
    <t>Harrison J. Wood</t>
  </si>
  <si>
    <t>Chantel Norman</t>
  </si>
  <si>
    <t>Braden Lang</t>
  </si>
  <si>
    <t>Our God Is Love</t>
  </si>
  <si>
    <t>Joel Houston, Scott Ligertwood</t>
  </si>
  <si>
    <t>Open My Eyes</t>
  </si>
  <si>
    <t>Reuben Morgan, Braden Lang</t>
  </si>
  <si>
    <t>Forever Reign</t>
  </si>
  <si>
    <t>Jason Ingram, Reuben Morgan</t>
  </si>
  <si>
    <t>The One Who Saves</t>
  </si>
  <si>
    <t>Like Incense / Sometimes by Step</t>
  </si>
  <si>
    <t>Brooke Fraser / David Strasser, Rich Mullins</t>
  </si>
  <si>
    <t>Brooke Fraser</t>
  </si>
  <si>
    <t>The Greatness Of Our God</t>
  </si>
  <si>
    <t>Jason Ingram, Stu Garrard, Reuben Morgan</t>
  </si>
  <si>
    <t>The Father's Heart</t>
  </si>
  <si>
    <t>Jorim Kelly, Gio Galanti</t>
  </si>
  <si>
    <t>Jorim Kelly</t>
  </si>
  <si>
    <t>You</t>
  </si>
  <si>
    <t>Love Like Fire</t>
  </si>
  <si>
    <t>Believe</t>
  </si>
  <si>
    <t>Reuben Morgan, Darlene Zschech</t>
  </si>
  <si>
    <t>Beautiful Exchange</t>
  </si>
  <si>
    <t>Joel Houston, Annie Garratt</t>
  </si>
  <si>
    <t>Thank You</t>
  </si>
  <si>
    <t>Ben Fielding, Reuben Morgan</t>
  </si>
  <si>
    <t>Forever Reign (Radio Version)</t>
  </si>
  <si>
    <t>The First and the Last</t>
  </si>
  <si>
    <t>For Your Name</t>
  </si>
  <si>
    <t>Glow</t>
  </si>
  <si>
    <t>It's Your Love</t>
  </si>
  <si>
    <t>I Will Exalt You</t>
  </si>
  <si>
    <t>Brooke Fraser-Ligertwood</t>
  </si>
  <si>
    <t>Yahweh</t>
  </si>
  <si>
    <t>Reuben Morgan and JD, Dave Ware</t>
  </si>
  <si>
    <t>No Reason To Hide</t>
  </si>
  <si>
    <t>God One And Only</t>
  </si>
  <si>
    <t>The Wonder Of Your Love</t>
  </si>
  <si>
    <t>His Glory Appears</t>
  </si>
  <si>
    <t>We The Redeemed</t>
  </si>
  <si>
    <t>Jill McCloghry</t>
  </si>
  <si>
    <t>We Will See Him</t>
  </si>
  <si>
    <t>You Hold Me Now</t>
  </si>
  <si>
    <t>Joel Houston, Kevin Curiel, Jad Gillies and Reuben Morgan</t>
  </si>
  <si>
    <t>Brooke Fraser, Jill McCloghry</t>
  </si>
  <si>
    <t>Reuben Morgan, Jill McCloghry</t>
  </si>
  <si>
    <t>Darlene Zschech, Mike Guglielmucci</t>
  </si>
  <si>
    <t>Reuben Morgan, Ben Fielding</t>
  </si>
  <si>
    <t>Mike Guglielmucci</t>
  </si>
  <si>
    <t>Mike Guglielmucci, Darlene Zschech</t>
  </si>
  <si>
    <t>Dave George, Grant Pankratz</t>
  </si>
  <si>
    <t>Joel Houston, Darlene Zschech</t>
  </si>
  <si>
    <t>Matt Crocker, James Dunlop</t>
  </si>
  <si>
    <t>Reuben Morgan, Matt Crocker</t>
  </si>
  <si>
    <t>Reuben Morgan, Joel Davies</t>
  </si>
  <si>
    <t>Joel Davies</t>
  </si>
  <si>
    <t>Mike Guglielmucci, Matt Crocker</t>
  </si>
  <si>
    <t>Brooke Fraser, Darlene Zschech</t>
  </si>
  <si>
    <t>Helen Howarth Lemmel</t>
  </si>
  <si>
    <t>Paul Andrew, Dylan Thomas</t>
  </si>
  <si>
    <t>Joel Houston, Matt Crocker, Scott Ligertwood</t>
  </si>
  <si>
    <t>Marty Sampson, Raymond Badham</t>
  </si>
  <si>
    <t>Marty Sampson, Darlene Zschech</t>
  </si>
  <si>
    <t>Darlene Zschech, Reuben Morgan</t>
  </si>
  <si>
    <t>Reuben Morgan, Ben Fielding, Mia Fieldes</t>
  </si>
  <si>
    <t>Miriam Webster</t>
  </si>
  <si>
    <t>Marty Sampson, Mia Fieldes</t>
  </si>
  <si>
    <t>Take It All</t>
  </si>
  <si>
    <t>The Freedom We Know</t>
  </si>
  <si>
    <t>Marty Sampson, Joel Houston, Matt Tennikoff</t>
  </si>
  <si>
    <t>For Who You Are</t>
  </si>
  <si>
    <t>You Alone Are God</t>
  </si>
  <si>
    <t>At the Cross</t>
  </si>
  <si>
    <t>From The Inside Out</t>
  </si>
  <si>
    <t>Found</t>
  </si>
  <si>
    <t>Dave George</t>
  </si>
  <si>
    <t>More To See</t>
  </si>
  <si>
    <t>Adonai</t>
  </si>
  <si>
    <t>Paul Andrew</t>
  </si>
  <si>
    <t>I Believe</t>
  </si>
  <si>
    <t>Follow the Son</t>
  </si>
  <si>
    <t>Oceans Will Part</t>
  </si>
  <si>
    <t>None But Jesus</t>
  </si>
  <si>
    <t>Higher/I Believe in You</t>
  </si>
  <si>
    <t>Mia Fieldes / Darlene Zschech</t>
  </si>
  <si>
    <t>Song #</t>
  </si>
  <si>
    <t>Dawn</t>
  </si>
  <si>
    <t>Awake My Soul</t>
  </si>
  <si>
    <t>Come Alive</t>
  </si>
  <si>
    <t>See the Light</t>
  </si>
  <si>
    <t>No One but You</t>
  </si>
  <si>
    <t>King of Kings</t>
  </si>
  <si>
    <t>I Will Praise You</t>
  </si>
  <si>
    <t>From Whom All Blessings Flow (Doxology)</t>
  </si>
  <si>
    <t>Every Breath</t>
  </si>
  <si>
    <t>Bright as the Sun</t>
  </si>
  <si>
    <t>Upper Room</t>
  </si>
  <si>
    <t>He Shall Reign</t>
  </si>
  <si>
    <t>See the Light (live)</t>
  </si>
  <si>
    <t>King of Kings (live)</t>
  </si>
  <si>
    <t>No One but You (live)</t>
  </si>
  <si>
    <t>Who You Say I Am</t>
  </si>
  <si>
    <t>You Are Life</t>
  </si>
  <si>
    <t>The Passion</t>
  </si>
  <si>
    <t>God So Loved</t>
  </si>
  <si>
    <t>Be Still</t>
  </si>
  <si>
    <t>Remembrance</t>
  </si>
  <si>
    <t>Valentine</t>
  </si>
  <si>
    <t>Touch of Heaven</t>
  </si>
  <si>
    <t>Lettered Love</t>
  </si>
  <si>
    <t>The Lord's Prayer</t>
  </si>
  <si>
    <t>New Wine</t>
  </si>
  <si>
    <t>So Will I (100 Billion X)</t>
  </si>
  <si>
    <t>Joy to the World</t>
  </si>
  <si>
    <t>Hark</t>
  </si>
  <si>
    <t>Seasons</t>
  </si>
  <si>
    <t>Prince of Heaven</t>
  </si>
  <si>
    <t>O Come All Ye Faithful</t>
  </si>
  <si>
    <t>Noel</t>
  </si>
  <si>
    <t>When I Think Upon Christmas</t>
  </si>
  <si>
    <t>Silent Night (with Saviour King)</t>
  </si>
  <si>
    <t>Arrival</t>
  </si>
  <si>
    <t>Theme of the Eastern Star</t>
  </si>
  <si>
    <t>O Holy Night</t>
  </si>
  <si>
    <t>Peace Upon the Earth</t>
  </si>
  <si>
    <t>Behold (Then Sings My Soul)</t>
  </si>
  <si>
    <t>Love So Great</t>
  </si>
  <si>
    <t>Look To the Son</t>
  </si>
  <si>
    <t>Crowns</t>
  </si>
  <si>
    <t>What a Beautiful Name</t>
  </si>
  <si>
    <t>Your Word</t>
  </si>
  <si>
    <t>In Control</t>
  </si>
  <si>
    <t>Grace To Grace</t>
  </si>
  <si>
    <t>Elohim</t>
  </si>
  <si>
    <t>I Will Boast in Christ</t>
  </si>
  <si>
    <t>As It Is (In Heaven)</t>
  </si>
  <si>
    <t>O Praise the Name (Anástasis)</t>
  </si>
  <si>
    <t>Love on the Line</t>
  </si>
  <si>
    <t>One Thing</t>
  </si>
  <si>
    <t>Open Heaven (River Wild)</t>
  </si>
  <si>
    <t>Transfiguration</t>
  </si>
  <si>
    <t>What a Saviour</t>
  </si>
  <si>
    <t>Heart Like Heaven</t>
  </si>
  <si>
    <t>Jesus I Need You</t>
  </si>
  <si>
    <t>Here with You</t>
  </si>
  <si>
    <t>In God We Trust</t>
  </si>
  <si>
    <t>Faithfulness</t>
  </si>
  <si>
    <t>Never Forsaken</t>
  </si>
  <si>
    <t>This I Believe (The Creed)</t>
  </si>
  <si>
    <t>Heaven and Earth</t>
  </si>
  <si>
    <t>Broken Vessels (Amazing Grace)</t>
  </si>
  <si>
    <t>Depths</t>
  </si>
  <si>
    <t>Calvary</t>
  </si>
  <si>
    <t>Thank You Jesus</t>
  </si>
  <si>
    <t>All Things New</t>
  </si>
  <si>
    <t>My Story</t>
  </si>
  <si>
    <t>Our Father</t>
  </si>
  <si>
    <t>Mountain</t>
  </si>
  <si>
    <t>Always Will</t>
  </si>
  <si>
    <t>You Never Fail</t>
  </si>
  <si>
    <t>Christ Is Enough</t>
  </si>
  <si>
    <t>Where the Spirit of the Lord Is</t>
  </si>
  <si>
    <t>Closer</t>
  </si>
  <si>
    <t>God Who Saves</t>
  </si>
  <si>
    <t>To Be Like You</t>
  </si>
  <si>
    <t>Man of Sorrows</t>
  </si>
  <si>
    <t>We Glorify Your Name</t>
  </si>
  <si>
    <t>You Crown the Year (Psalm 65:11)</t>
  </si>
  <si>
    <t>Anchor</t>
  </si>
  <si>
    <t>Endless Light</t>
  </si>
  <si>
    <t>Beneath the Waters (I Will Rise)</t>
  </si>
  <si>
    <t>I Surrender</t>
  </si>
  <si>
    <t>Hope of the World</t>
  </si>
  <si>
    <t>All My Hope</t>
  </si>
  <si>
    <t>Grace Abounds</t>
  </si>
  <si>
    <t>Running</t>
  </si>
  <si>
    <t>Children of the Light</t>
  </si>
  <si>
    <t>Stand in Awe</t>
  </si>
  <si>
    <t>Love Knows No End</t>
  </si>
  <si>
    <t>Greater Than All</t>
  </si>
  <si>
    <t>Hope of the World (studio version; bonus track)</t>
  </si>
  <si>
    <t>Rise</t>
  </si>
  <si>
    <t>With Us</t>
  </si>
  <si>
    <t>Unending Love</t>
  </si>
  <si>
    <t>The Lost Are Found</t>
  </si>
  <si>
    <t>The Difference</t>
  </si>
  <si>
    <t>Alive In Us</t>
  </si>
  <si>
    <t>You Are More</t>
  </si>
  <si>
    <t>Narrow Road</t>
  </si>
  <si>
    <t>My Heart Is Overwhelmed</t>
  </si>
  <si>
    <t>Cry of the Broken</t>
  </si>
  <si>
    <t>Yours Forever</t>
  </si>
  <si>
    <t>Your Name High</t>
  </si>
  <si>
    <t>Run</t>
  </si>
  <si>
    <t>Desert Song</t>
  </si>
  <si>
    <t>He Is Lord</t>
  </si>
  <si>
    <t>High and Lifted Up</t>
  </si>
  <si>
    <t>Stronger</t>
  </si>
  <si>
    <t>Healer</t>
  </si>
  <si>
    <t>You Are Here (The Same Power)</t>
  </si>
  <si>
    <t>You Deserve</t>
  </si>
  <si>
    <t>Across the Earth</t>
  </si>
  <si>
    <t>Where We Belong</t>
  </si>
  <si>
    <t>Sing to the Lord</t>
  </si>
  <si>
    <t>You'll Come</t>
  </si>
  <si>
    <t>Turn Your Eyes Upon Jesus</t>
  </si>
  <si>
    <t>With Everything</t>
  </si>
  <si>
    <t>I'm Not Ashamed</t>
  </si>
  <si>
    <t>Break Free</t>
  </si>
  <si>
    <t>In Your Freedom</t>
  </si>
  <si>
    <t>You Are My Strength</t>
  </si>
  <si>
    <t>Lord of Lords</t>
  </si>
  <si>
    <t>To Know Your Name</t>
  </si>
  <si>
    <t>God of Ages</t>
  </si>
  <si>
    <t>In the Mystery</t>
  </si>
  <si>
    <t>You Saw Me</t>
  </si>
  <si>
    <t>Hosanna</t>
  </si>
  <si>
    <t>Here In My Life</t>
  </si>
  <si>
    <t>You are Faithful</t>
  </si>
  <si>
    <t>Go</t>
  </si>
  <si>
    <t>Awakening</t>
  </si>
  <si>
    <t>Joel Houston, Brooke Ligertwood</t>
  </si>
  <si>
    <t>For Those Who Are To Come</t>
  </si>
  <si>
    <t>Heart of God</t>
  </si>
  <si>
    <t>Selah / All My Life</t>
  </si>
  <si>
    <t>Take Heart (MMXX)</t>
  </si>
  <si>
    <t>Broken Vessels (Amazing Grace) / Life</t>
  </si>
  <si>
    <t>Eagle's Wings</t>
  </si>
  <si>
    <t>Still / P E A C E</t>
  </si>
  <si>
    <t>In List?</t>
  </si>
  <si>
    <t>Compilation</t>
  </si>
  <si>
    <t>Christmas</t>
  </si>
  <si>
    <t>CCLI#</t>
  </si>
  <si>
    <t>D</t>
  </si>
  <si>
    <t>G</t>
  </si>
  <si>
    <t>F</t>
  </si>
  <si>
    <t>C</t>
  </si>
  <si>
    <t>A</t>
  </si>
  <si>
    <t>E</t>
  </si>
  <si>
    <t>N/A</t>
  </si>
  <si>
    <t>B</t>
  </si>
  <si>
    <t>Bb</t>
  </si>
  <si>
    <t>Section</t>
  </si>
  <si>
    <t>2010-2020</t>
  </si>
  <si>
    <t>2000-2009</t>
  </si>
  <si>
    <t>1990-1999</t>
  </si>
  <si>
    <t>Eb</t>
  </si>
  <si>
    <t>Db</t>
  </si>
  <si>
    <t>Hastings, Hannah Hobbs</t>
  </si>
  <si>
    <t>Ben Fielding, Eric Liljero, Morgan</t>
  </si>
  <si>
    <t>Ben Fielding, Annie Garratt</t>
  </si>
  <si>
    <t>Joshua Grimmett, Johannes Shore, Jamie Snell</t>
  </si>
  <si>
    <t>Chris Davenport, Houston</t>
  </si>
  <si>
    <t>King, B. Ligertwood, S. Ligertwood, Taya Smith</t>
  </si>
  <si>
    <t xml:space="preserve">Matt Crocker, </t>
  </si>
  <si>
    <t>Matt Crocker, Hannah Hobbs</t>
  </si>
  <si>
    <t>Joel Houston, Aodhan King, Dylan Thomas</t>
  </si>
  <si>
    <t>Brooke Ligertwood, Scott Ligertwood, Aryel Murphy</t>
  </si>
  <si>
    <t>Benjamin Hastings, Marty Sampson, Dean Ussher</t>
  </si>
  <si>
    <t>Houston, Fielding</t>
  </si>
  <si>
    <t>Davenport, Houston</t>
  </si>
  <si>
    <t>Fielding, Aodhan King</t>
  </si>
  <si>
    <t>Michael Guy Chislett, Crocker, Houston, B. Ligertwood, S. Ligertwood, Jonas Myrin</t>
  </si>
  <si>
    <t>Ben Fielding, Brooke Ligertwood</t>
  </si>
  <si>
    <t>Michael Fatkin, Scott Groom, Benjamin Hastings</t>
  </si>
  <si>
    <t>Matt Crocker, Houston, Scott Ligertwood, Morgan, Marty Sampson</t>
  </si>
  <si>
    <t>Joshua Grimmett, Reuben Morgan, Jamie Snell</t>
  </si>
  <si>
    <t>Frédéric Chopin, Sampson</t>
  </si>
  <si>
    <t>Placide Cappeau, Adolphe Adam, John Sullivan Dwight</t>
  </si>
  <si>
    <t>Michael Guy Chislett, Hastings, Dylan Thomas</t>
  </si>
  <si>
    <t>Aodhan King, Tan, Renee Sieff</t>
  </si>
  <si>
    <t>Davenport, Benjamin Hastings</t>
  </si>
  <si>
    <t>William Sandys, Davies Gilbert, John Stainer, Davenport, Benjamin Hastings</t>
  </si>
  <si>
    <t>John Francis Wade, Frederick Oakeley</t>
  </si>
  <si>
    <t>Chris Davenport, Ben Tan, Benjamin Hastings</t>
  </si>
  <si>
    <t>Felix Mendelssohn, Charles Wesley, George Whitefield, William H. Cummings</t>
  </si>
  <si>
    <t>Isaac Watts, Lowell Mason</t>
  </si>
  <si>
    <t>Houston, Fatkin, Hastings</t>
  </si>
  <si>
    <t>Morgan, Sampson, Hastings, Fielding</t>
  </si>
  <si>
    <t>S. Ligertwood, Nathan Hughes</t>
  </si>
  <si>
    <t>B. Ligertwood, S. Ligertwood, Joel Houston</t>
  </si>
  <si>
    <t>Jad Gillies, Michelle Cook</t>
  </si>
  <si>
    <t>Morgan, Fielding</t>
  </si>
  <si>
    <t>Matt Crocker, Marty Sampson</t>
  </si>
  <si>
    <t>Brooke Ligertwood, S. Ligertwood, Chris Davenport</t>
  </si>
  <si>
    <t>Brooke Ligertwood, Jad Gillies</t>
  </si>
  <si>
    <t>Matt Crocker, Karina Wykes</t>
  </si>
  <si>
    <t>Scott Ligertwood, Aodhan King, Ben Tan, Michael Guy Chislett</t>
  </si>
  <si>
    <t>Brooke Ligertwood, Reuben Morgan</t>
  </si>
  <si>
    <t>Aodhan King, Brooke Ligertwood</t>
  </si>
  <si>
    <t>Jason Ingram, Brooke Ligertwood, Scott Ligertwood</t>
  </si>
  <si>
    <t>David Ware, Brooke Ligertwood</t>
  </si>
  <si>
    <t>Benjamin Hastings, Joel Houston</t>
  </si>
  <si>
    <t>Hannah Hobbs, Ben Tan</t>
  </si>
  <si>
    <t>Chris Davenport, Brooke Ligertwood, Scott Ligertwood</t>
  </si>
  <si>
    <t>Joel Houston, Ben Fielding, Dylan Thomas, Matt Crocker</t>
  </si>
  <si>
    <t>Michael Fatkin, Benjamin Hastings, Scott Ligertwood</t>
  </si>
  <si>
    <t>Scott Ligertwood, Brooke Ligertwood</t>
  </si>
  <si>
    <t>Brooke Ligertwood, Matt Crocker</t>
  </si>
  <si>
    <t>Franz Xaver Gruber, Joseph Mohr, Marty Sampson, Mia Fieldes</t>
  </si>
  <si>
    <t>Kris Hodge, Laura Toggs, Gloria Mati-Leifi</t>
  </si>
  <si>
    <t>S. Ligertwood, Morgan</t>
  </si>
  <si>
    <t>Reuben Morgan, Annie Garratt</t>
  </si>
  <si>
    <t>B. Ligertwood, S. Ligertwood, Reuben Morgan, Jarred Rogers</t>
  </si>
  <si>
    <t>David Ware, Reuben Morgan</t>
  </si>
  <si>
    <t>Scott Ligertwood, Aodhan King, Brooke Ligertwood</t>
  </si>
  <si>
    <t>King, Hannah Hobbs, Michael Fatkin</t>
  </si>
  <si>
    <t>Let Creation Sing</t>
  </si>
  <si>
    <t>Darlene Zschech b. Reuben Morgan</t>
  </si>
  <si>
    <t>Salvation Is Here</t>
  </si>
  <si>
    <t>Joel Houston, b. Darlene Zschech</t>
  </si>
  <si>
    <t>His Love</t>
  </si>
  <si>
    <t>Raymond Badham</t>
  </si>
  <si>
    <t>Emmanuel</t>
  </si>
  <si>
    <t>Saviour</t>
  </si>
  <si>
    <t>Miriam Webster b Darlene Zschech</t>
  </si>
  <si>
    <t>Wonderful God</t>
  </si>
  <si>
    <t>Ned Davies</t>
  </si>
  <si>
    <t>Darlene Zschech, b. Joel Houston</t>
  </si>
  <si>
    <t>God He Reigns/All I Need Is You</t>
  </si>
  <si>
    <t>chorus</t>
  </si>
  <si>
    <t>Yours Is the Kingdom</t>
  </si>
  <si>
    <t>Marty Sampson, b. Darlene Zschech</t>
  </si>
  <si>
    <t>Welcome in This Place</t>
  </si>
  <si>
    <t>Let Us Adore</t>
  </si>
  <si>
    <t>All for Love</t>
  </si>
  <si>
    <t>Marcus Temu, Tulele Faletolu, Barry Southgate</t>
  </si>
  <si>
    <t>Know You More</t>
  </si>
  <si>
    <t>There Is Nothing Like</t>
  </si>
  <si>
    <t>What the World Will Never Take</t>
  </si>
  <si>
    <t>Tell the World</t>
  </si>
  <si>
    <t>One Way</t>
  </si>
  <si>
    <t>Evermore</t>
  </si>
  <si>
    <t>With All I Am</t>
  </si>
  <si>
    <t>Your Love</t>
  </si>
  <si>
    <t>Hallelujah</t>
  </si>
  <si>
    <t>You Are Worthy</t>
  </si>
  <si>
    <t>Home</t>
  </si>
  <si>
    <t>Forever and a Day</t>
  </si>
  <si>
    <t>Jesus the Same</t>
  </si>
  <si>
    <t>I Will Love</t>
  </si>
  <si>
    <t>Take All of Me</t>
  </si>
  <si>
    <t>More Than Life</t>
  </si>
  <si>
    <t>Glorify Your Name</t>
  </si>
  <si>
    <t>To You Alone</t>
  </si>
  <si>
    <t>Better Than Life</t>
  </si>
  <si>
    <t>Glory</t>
  </si>
  <si>
    <t>Ever Living God</t>
  </si>
  <si>
    <t>Need You Here</t>
  </si>
  <si>
    <t>My Hope</t>
  </si>
  <si>
    <t>Still</t>
  </si>
  <si>
    <t>Tulele Faletolu</t>
  </si>
  <si>
    <t>Angels</t>
  </si>
  <si>
    <t>Can't Stop Praising</t>
  </si>
  <si>
    <t>You Are/You Are Lord</t>
  </si>
  <si>
    <t>Darlene Zschech, Jennifer Va'a</t>
  </si>
  <si>
    <t>Here I Am to Worship/Call</t>
  </si>
  <si>
    <t>Tim Hughes, Darlene Zschech</t>
  </si>
  <si>
    <t>Highest</t>
  </si>
  <si>
    <t>Song of Freedom</t>
  </si>
  <si>
    <t>Shout Your Fame</t>
  </si>
  <si>
    <t>Steve McPherson</t>
  </si>
  <si>
    <t>Exceeding Joy</t>
  </si>
  <si>
    <t>King of Love</t>
  </si>
  <si>
    <t>Tanya Riches</t>
  </si>
  <si>
    <t>To the Ends of the Earth</t>
  </si>
  <si>
    <t>Free</t>
  </si>
  <si>
    <t>Tulele Faletolu, Joel Houston</t>
  </si>
  <si>
    <t>reprise</t>
  </si>
  <si>
    <t>Darlene Zschech, Reuben Morgan</t>
  </si>
  <si>
    <t>Now That You're Near</t>
  </si>
  <si>
    <t>Shout of the King</t>
  </si>
  <si>
    <t>Made Me Glad</t>
  </si>
  <si>
    <t>Through It All</t>
  </si>
  <si>
    <t>Darlene Zschech, b. Reuben Morgan</t>
  </si>
  <si>
    <t>Son of God</t>
  </si>
  <si>
    <t>One Desire</t>
  </si>
  <si>
    <t>Marty Sampson, Darlene Zschech</t>
  </si>
  <si>
    <t>Magnificent</t>
  </si>
  <si>
    <t>I Adore</t>
  </si>
  <si>
    <t>All I Do</t>
  </si>
  <si>
    <t>Gio Galanti, Natasha Bedingfield</t>
  </si>
  <si>
    <t>With You</t>
  </si>
  <si>
    <t>Most High</t>
  </si>
  <si>
    <t>Reuben Morgan, b. Darlene Zschech</t>
  </si>
  <si>
    <t>King of Majesty</t>
  </si>
  <si>
    <t>Tulele Faletolu, b. Darlene Zschech</t>
  </si>
  <si>
    <t>All the Heavens</t>
  </si>
  <si>
    <t>Your Love Is Beautiful</t>
  </si>
  <si>
    <t>Reuben Morgan, Raymond Badham, Steve McPherson, Nigel Hendroff</t>
  </si>
  <si>
    <t>God Is Great</t>
  </si>
  <si>
    <t>All of My Days</t>
  </si>
  <si>
    <t>Mark Stevens</t>
  </si>
  <si>
    <t>Badham</t>
  </si>
  <si>
    <t>You Stand Alone</t>
  </si>
  <si>
    <t>Stevens, McPherson</t>
  </si>
  <si>
    <t>Irresistible</t>
  </si>
  <si>
    <t>Everything That Has Breath</t>
  </si>
  <si>
    <t>To You</t>
  </si>
  <si>
    <t>Zschech</t>
  </si>
  <si>
    <t>Worthy Is the Lamb</t>
  </si>
  <si>
    <t>My Best Friend</t>
  </si>
  <si>
    <t>Joel Houston, Sampson</t>
  </si>
  <si>
    <t>One Day</t>
  </si>
  <si>
    <t>Faith</t>
  </si>
  <si>
    <t>Awesome in This Place</t>
  </si>
  <si>
    <t>Darlene Zschech b. Steve McPherson</t>
  </si>
  <si>
    <t>Dwell in Your House</t>
  </si>
  <si>
    <t>Paul Ewing</t>
  </si>
  <si>
    <t>You Are Near</t>
  </si>
  <si>
    <t>I Simply Live for You</t>
  </si>
  <si>
    <t>Russell Fragar</t>
  </si>
  <si>
    <t>Carry Me</t>
  </si>
  <si>
    <t>Lifted Me High Again</t>
  </si>
  <si>
    <t>Here to Eternity</t>
  </si>
  <si>
    <t>Darlene Zschech, David Moyse</t>
  </si>
  <si>
    <t>Reaching for You</t>
  </si>
  <si>
    <t>Rob Eastwood</t>
  </si>
  <si>
    <t>It Is You</t>
  </si>
  <si>
    <t>Donna Lasit</t>
  </si>
  <si>
    <t>Everyday</t>
  </si>
  <si>
    <t>Mark Stevens b. Darlene Zschech</t>
  </si>
  <si>
    <t>Jonas Myrin b. Darlene Zschech</t>
  </si>
  <si>
    <t>Darlene Zschech, b. Marty Sampson</t>
  </si>
  <si>
    <t>Steve McPherson, Mark Stevens</t>
  </si>
  <si>
    <t>Jonathan Douglass</t>
  </si>
  <si>
    <t>Darlene Zschech, Debbie-Ann Bax, Miriam Webster</t>
  </si>
  <si>
    <t>Ray Badham, Mia Fieldes</t>
  </si>
  <si>
    <t>Darlene Zschech, Paul Andrew</t>
  </si>
  <si>
    <t>Highs, Lows</t>
  </si>
  <si>
    <t>Reuben Morgan, Dylan Thomas</t>
  </si>
  <si>
    <t>Jill McCloghry, Sam Knock</t>
  </si>
  <si>
    <t>Annie Garratt, Jad Gillies</t>
  </si>
  <si>
    <t>Sam Knock, Ben Fielding</t>
  </si>
  <si>
    <t>Joel Davies, Ben Fielding</t>
  </si>
  <si>
    <t>Reuben Morgan, Jason Ingram</t>
  </si>
  <si>
    <t>Roman Kasevich, Jad Gillies,, JD</t>
  </si>
  <si>
    <t>Reuben Morgan, Chris Tomlin</t>
  </si>
  <si>
    <t>Joel Davies, Braden Lang</t>
  </si>
  <si>
    <t>Joel Houston, Matt Crocker</t>
  </si>
  <si>
    <t>Matt Crocker, Joel Houston</t>
  </si>
  <si>
    <t>Jonathon Douglass, Sam Knock</t>
  </si>
  <si>
    <t>Robert Fergusson, Reuben Morgan</t>
  </si>
  <si>
    <t>Matt Crocker, Reuben Morgan</t>
  </si>
  <si>
    <t>Jad Gillies, Joel Houston</t>
  </si>
  <si>
    <t>Darlene Zschech, Marcus Temu</t>
  </si>
  <si>
    <t>Dee Uluirewa, Darlene Zschech</t>
  </si>
  <si>
    <t>Matt Crocker, Scott Ligertwood, Marty Sampson</t>
  </si>
  <si>
    <t>Marty Sampson, Tulele Faletolu</t>
  </si>
  <si>
    <t>Jonathan Douglass, Joel Houston, Marty Sampson</t>
  </si>
  <si>
    <t>Joel Houston, Jonathan Douglass, b. Darlene Zschech</t>
  </si>
  <si>
    <t>Tulele Faletolu, Darlene Zschech</t>
  </si>
  <si>
    <t>Darlene Zschech, David Holmes</t>
  </si>
  <si>
    <t>Holly Dawson, Darlene Zschech</t>
  </si>
  <si>
    <t>Reuben Morgan, Darlene Zschech</t>
  </si>
  <si>
    <t>Jonas Myrin, Natasha Bedingfield, Gio Galanti, Paul Nevison</t>
  </si>
  <si>
    <t>Miriam Webster, Darlene Zschech</t>
  </si>
  <si>
    <t>Steve McPherson, Darlene Zschech</t>
  </si>
  <si>
    <t>Darlene Zschech, Mark Stevens</t>
  </si>
  <si>
    <t>Darlene Zschech, Katrina Peoples</t>
  </si>
  <si>
    <t>Jack Mooring, Leeland Dayton Mooring,, Marty Sampson</t>
  </si>
  <si>
    <t>Marty Sampson, Jonas Myrin</t>
  </si>
  <si>
    <t>Jonathon Douglass, Joel Houston</t>
  </si>
  <si>
    <t>Jonathon Douglass, Marty Sampson, b. Darlene Zschech</t>
  </si>
  <si>
    <t>Darlene Zschech, Marty Sampson</t>
  </si>
  <si>
    <t>Tulele Faletolu, Sampson</t>
  </si>
  <si>
    <t>Joel Houston, Marty Sampson</t>
  </si>
  <si>
    <t>Benjamin Hastings, Melodie Wagner, Michael Fatkin, Reuben Morgan</t>
  </si>
  <si>
    <t>Aodhan King, Ben Tan, Joel Houston</t>
  </si>
  <si>
    <t>Bede Benjamin-Korporaal, Ben Tan, Hannah Hobbs, Renee Sieff</t>
  </si>
  <si>
    <t>Aodhan King, Jonas Myrin</t>
  </si>
  <si>
    <t>Original Key</t>
  </si>
  <si>
    <t>Ab</t>
  </si>
  <si>
    <t>Bm</t>
  </si>
  <si>
    <t>F#</t>
  </si>
  <si>
    <t>Jad Gillies, Joel Houston, Reuben Morgan</t>
  </si>
  <si>
    <t>F#m</t>
  </si>
  <si>
    <t>Marty Sampson, Matt Crocker, Scott Ligertwood</t>
  </si>
  <si>
    <t>Dm</t>
  </si>
  <si>
    <t>Darlene Zschech, Mia Fieldes, Deborah Ezzy, Donia Makedonez, Nigel Hendroff</t>
  </si>
  <si>
    <t>Jay Cook, Gio Galanti</t>
  </si>
  <si>
    <t>Em</t>
  </si>
  <si>
    <t>4645889 (Combo 4462402/4455213)</t>
  </si>
  <si>
    <t>A,E</t>
  </si>
  <si>
    <t>4042279 (Combo 3266032/4149770)</t>
  </si>
  <si>
    <t>A,C</t>
  </si>
  <si>
    <t>D,G</t>
  </si>
  <si>
    <t>Lincoln Brewster, Marty Sampson</t>
  </si>
  <si>
    <t>duplicate</t>
  </si>
  <si>
    <t>combo</t>
  </si>
  <si>
    <t>Sing (Your Love)</t>
  </si>
  <si>
    <t>Fm</t>
  </si>
  <si>
    <t>C#m</t>
  </si>
  <si>
    <t>A,D</t>
  </si>
  <si>
    <t>Notes</t>
  </si>
  <si>
    <t>Shelter House</t>
  </si>
  <si>
    <t>People Get Free</t>
  </si>
  <si>
    <t>Love You So Much</t>
  </si>
  <si>
    <t>I Live To Know You</t>
  </si>
  <si>
    <t>In Your Hands</t>
  </si>
  <si>
    <t>Lord Of All</t>
  </si>
  <si>
    <t>Before The Throne</t>
  </si>
  <si>
    <t>Can't Stop Talking</t>
  </si>
  <si>
    <t>The Love Of God Can Do</t>
  </si>
  <si>
    <t>I Know It</t>
  </si>
  <si>
    <t>Glory To The King</t>
  </si>
  <si>
    <t>So You Would Come</t>
  </si>
  <si>
    <t>All Things Are Possible (Reprise)</t>
  </si>
  <si>
    <t>Without Him</t>
  </si>
  <si>
    <t>The Enemy's Defeated</t>
  </si>
  <si>
    <t>Revival</t>
  </si>
  <si>
    <t>Sanctify</t>
  </si>
  <si>
    <t>Armed And Dangerous</t>
  </si>
  <si>
    <t>Fire</t>
  </si>
  <si>
    <t>Praise Him</t>
  </si>
  <si>
    <t>I Am Not Ashamed</t>
  </si>
  <si>
    <t>Lord Take My Eyes</t>
  </si>
  <si>
    <t>Blessing</t>
  </si>
  <si>
    <t>Holy</t>
  </si>
  <si>
    <t>I'm Your Child/I'll Take This Time</t>
  </si>
  <si>
    <t>Show Your Glory (Alternate Mix)</t>
  </si>
  <si>
    <t>Heaven Suffers Violence</t>
  </si>
  <si>
    <t>With Your Love</t>
  </si>
  <si>
    <t>We're Not Looking Back</t>
  </si>
  <si>
    <t>I Will Lift My Voice</t>
  </si>
  <si>
    <t>We've Come To Worship The Lord</t>
  </si>
  <si>
    <t>Lift High His Name</t>
  </si>
  <si>
    <t>The Power Of God</t>
  </si>
  <si>
    <t>He Is The King</t>
  </si>
  <si>
    <t>We Will Not Bow To The World</t>
  </si>
  <si>
    <t>The Heavens Shall Declare</t>
  </si>
  <si>
    <t>Geoff Bullock</t>
  </si>
  <si>
    <t>Brian Houston</t>
  </si>
  <si>
    <t>Brian Houston, Geoff Bullock</t>
  </si>
  <si>
    <t>Uncertain</t>
  </si>
  <si>
    <t>Intro</t>
  </si>
  <si>
    <t>Author</t>
  </si>
  <si>
    <t>Best Friend</t>
  </si>
  <si>
    <t>Look to You</t>
  </si>
  <si>
    <t>United We Stand</t>
  </si>
  <si>
    <t>The I Heart Revolution: With Hearts as One</t>
  </si>
  <si>
    <t>Live in Miami: Welcome to the Aftermath</t>
  </si>
  <si>
    <t>Zion Acoustic Sessions</t>
  </si>
  <si>
    <t>Of Dirt and Grace: Live from the Land</t>
  </si>
  <si>
    <t>People</t>
  </si>
  <si>
    <t>All of the Above</t>
  </si>
  <si>
    <t>Aftermath</t>
  </si>
  <si>
    <t>Zion</t>
  </si>
  <si>
    <t>Empires</t>
  </si>
  <si>
    <t>Wonder</t>
  </si>
  <si>
    <t>Houston</t>
  </si>
  <si>
    <t>Crocker</t>
  </si>
  <si>
    <t>Joel Houston, Taya Smith, Jad Gillies</t>
  </si>
  <si>
    <t>Houston, Dylan Thomas, Chislett</t>
  </si>
  <si>
    <t>Taya Smith[4]</t>
  </si>
  <si>
    <t>Jonathon Douglass, Taya Smith, Matt Crocker</t>
  </si>
  <si>
    <t>Taya Smith, Matt Crocker</t>
  </si>
  <si>
    <t>Thomas, Houston, Crocker</t>
  </si>
  <si>
    <t>Houston, Thomas, Chris Davenport, Ben Tennikoff</t>
  </si>
  <si>
    <t>Crocker, Houston, Tennikoff</t>
  </si>
  <si>
    <t>Benjamin Hastings, Seth Simmons</t>
  </si>
  <si>
    <t>Houston, Crocker, Chislett</t>
  </si>
  <si>
    <t>Joel Houston, Taya Smith</t>
  </si>
  <si>
    <t>Joel Houston, Michael Guy Chislett</t>
  </si>
  <si>
    <t>Taya Smith[12][4]</t>
  </si>
  <si>
    <t>Joel Houston, Taya Gaukrodger, Jad Gillies</t>
  </si>
  <si>
    <t>Matt Crocker, Houston, Benjamin Hastings, Aodhan King, Dylan Thomas</t>
  </si>
  <si>
    <t xml:space="preserve">Crocker, </t>
  </si>
  <si>
    <t xml:space="preserve">Houston, </t>
  </si>
  <si>
    <t>Taya Gaukrodger, Aodhan King</t>
  </si>
  <si>
    <t>Houston, Crocker, Hastings</t>
  </si>
  <si>
    <t>Tulele Faletolu, Taya Gaukrodger</t>
  </si>
  <si>
    <t xml:space="preserve">Michael Fatkin, Taya Gaukrodger, </t>
  </si>
  <si>
    <t>Houston, Brooke Ligertwood</t>
  </si>
  <si>
    <t>Houston, Hastings</t>
  </si>
  <si>
    <t xml:space="preserve">Crocker, Hastings, </t>
  </si>
  <si>
    <t>Hastings, Houston, Fielding</t>
  </si>
  <si>
    <t xml:space="preserve">Joel Houston, </t>
  </si>
  <si>
    <t>Ready or Not</t>
  </si>
  <si>
    <t>Here's to the One</t>
  </si>
  <si>
    <t>Might Sound Wild</t>
  </si>
  <si>
    <t>Whole Heart (Hold Me Now)</t>
  </si>
  <si>
    <t>As You Find Me</t>
  </si>
  <si>
    <t>Clean</t>
  </si>
  <si>
    <t>Starts and Ends</t>
  </si>
  <si>
    <t>Highlands (Song of Ascent)</t>
  </si>
  <si>
    <t>Holy Ground</t>
  </si>
  <si>
    <t>Another in the Fire</t>
  </si>
  <si>
    <t>Good Grace</t>
  </si>
  <si>
    <t>Jonathon Douglass, Taya Smith</t>
  </si>
  <si>
    <t>Crocker, Houston, Salomon Ligthelm</t>
  </si>
  <si>
    <t>Joel Houston, Jad Gillies</t>
  </si>
  <si>
    <t>Michael Guy Chislett, Crocker, Houston, Ben Tennikoff</t>
  </si>
  <si>
    <t>Scott Ligertwood, Dean Ussher</t>
  </si>
  <si>
    <t>Laura Toggs, Jad Gillies</t>
  </si>
  <si>
    <t>Chislett, Crocker, Houston, Ligertwood, Tennikoff</t>
  </si>
  <si>
    <t>Jad Gillies, Taya Smith</t>
  </si>
  <si>
    <t>Crocker, Ligthelm, Ryan Taubert</t>
  </si>
  <si>
    <t>Hayley Law</t>
  </si>
  <si>
    <t>Joel Houston, Jill McCloghry</t>
  </si>
  <si>
    <t>Jad Gillies / Joel Houston</t>
  </si>
  <si>
    <t>Joel Houston, Dylan Thomas</t>
  </si>
  <si>
    <t>Chris Davenport, Dean Ussher</t>
  </si>
  <si>
    <t>Joel Houston, Matt Crocker, Michael Guy Chislett</t>
  </si>
  <si>
    <t>Reuben Morgan, Scott Ligertwood / Joel Houston, Marty Sampson</t>
  </si>
  <si>
    <t>Matt Crocker, Jonathon Douglass</t>
  </si>
  <si>
    <t>Reuben Morgan, Scott Ligertwood</t>
  </si>
  <si>
    <t>Joel Houston, Jonathon Douglass</t>
  </si>
  <si>
    <t>David Ware, Jonathon Douglass</t>
  </si>
  <si>
    <t>Dylan Thomas, Annie Garratt</t>
  </si>
  <si>
    <t>Jonathon Douglass and Houston</t>
  </si>
  <si>
    <t>Joel Houston and Jad Gillies</t>
  </si>
  <si>
    <t>Joel Houston, Matt Crocker and Scott Ligertwood</t>
  </si>
  <si>
    <t>Michelle Fragar</t>
  </si>
  <si>
    <t>Marty Sampson and Jonas Myrin</t>
  </si>
  <si>
    <t>Jonathon Douglass, Joel Houston and Marty Sampson</t>
  </si>
  <si>
    <t>Marty Sampson, Matt Crocker and Scott Ligertwood</t>
  </si>
  <si>
    <t>Jonathon Douglas and Joel Houston</t>
  </si>
  <si>
    <t>Reuben Morgan and Ben Fielding</t>
  </si>
  <si>
    <t>Traditional hymn</t>
  </si>
  <si>
    <t>Joel Houston and Marty Sampson</t>
  </si>
  <si>
    <t>Braden Lang and Scott Ligertwood</t>
  </si>
  <si>
    <t>Jonathon Douglass and Braden Lang</t>
  </si>
  <si>
    <t>Brooke Fraser and Annie Garratt</t>
  </si>
  <si>
    <t>Joel Houston (Backing Vocal : Annie Garratt)</t>
  </si>
  <si>
    <t>Marty Sampson, Dylan Thomas and Joel Davies</t>
  </si>
  <si>
    <t>Marty Sampson and Mia Fieldes</t>
  </si>
  <si>
    <t>Joel Houston and Matt Crocker</t>
  </si>
  <si>
    <t>Marty Sampson, Matt Crocker and Scott Ligertwood</t>
  </si>
  <si>
    <t>Michael Guy Chislett</t>
  </si>
  <si>
    <t>Jonathon Douglass, Marty Sampson</t>
  </si>
  <si>
    <t>Sampson, Dylan Thomas, Joel Davies</t>
  </si>
  <si>
    <t>Marty Sampson, Annie Garratt</t>
  </si>
  <si>
    <t>Sampson, Thomas, Davies</t>
  </si>
  <si>
    <t>Chislett, Fraser, Houston, Ligertwood, Sampson</t>
  </si>
  <si>
    <t>Holly Dawson</t>
  </si>
  <si>
    <t>Rolf Wam Fjell, Sampson, Matthew Tennikoff</t>
  </si>
  <si>
    <t>Jonathon Douglass, Houston, Marty Sampson</t>
  </si>
  <si>
    <t>Marty Sampson, Jonathon Douglass</t>
  </si>
  <si>
    <t>Holly Dawson, Jad Gillies</t>
  </si>
  <si>
    <t>Houston, Sampson</t>
  </si>
  <si>
    <t>Sampson, Jonas Myrin</t>
  </si>
  <si>
    <t>Matt Crocker, Scott Ligertwood, Sampson</t>
  </si>
  <si>
    <t>Jad Gillies, Houston</t>
  </si>
  <si>
    <t>Fieldes</t>
  </si>
  <si>
    <t>Rich Mullins</t>
  </si>
  <si>
    <t>Joel Houston, Marty Sampson</t>
  </si>
  <si>
    <t>Joel Houston, Tulele Faletolu</t>
  </si>
  <si>
    <t>Michelle Fragar, Tulele Faletolu</t>
  </si>
  <si>
    <t>Jad Gillies, Holly Dawson</t>
  </si>
  <si>
    <t>Tim Hughes</t>
  </si>
  <si>
    <t>Smith</t>
  </si>
  <si>
    <t>Sampson, Tulele Faletolu</t>
  </si>
  <si>
    <t>Martin Smith, Stuart Garrard</t>
  </si>
  <si>
    <t>Houston[44]</t>
  </si>
  <si>
    <t>Joel Houston, Michael Guy Chislett</t>
  </si>
  <si>
    <t>Houston, Michael Guy Chislett</t>
  </si>
  <si>
    <t>Houston, Crocker</t>
  </si>
  <si>
    <t xml:space="preserve">Benjamin Hastings, </t>
  </si>
  <si>
    <t>Houston, Chislett</t>
  </si>
  <si>
    <t xml:space="preserve">Aodhan King, Hastings, </t>
  </si>
  <si>
    <t>Taya Smith, Jad Gillies</t>
  </si>
  <si>
    <t>Hastings, Houston, Fatkin</t>
  </si>
  <si>
    <t>Michelle Cook, Jonathon Douglass</t>
  </si>
  <si>
    <t>Jad Gillies, Courtney Tennikoff</t>
  </si>
  <si>
    <t>Matt Crocker, Joel Houston</t>
  </si>
  <si>
    <t>Matt Crocker[20]</t>
  </si>
  <si>
    <t>Matt Crocker[7]</t>
  </si>
  <si>
    <t>Taya Smith[21]</t>
  </si>
  <si>
    <t>Jad Gillies[20]</t>
  </si>
  <si>
    <t>Michael Guy Chislett, Knock, Ben Tennikoff</t>
  </si>
  <si>
    <t>Chislett, Crocker, Houston, Tennikoff</t>
  </si>
  <si>
    <t>Jonathan Douglass, Taya Smith</t>
  </si>
  <si>
    <t>Joel Houston Jill McCloghry</t>
  </si>
  <si>
    <t>Reuben Morgan, Chris Tomlin</t>
  </si>
  <si>
    <t>Houston, Matt Crocker, Scott Ligertwood</t>
  </si>
  <si>
    <t>Brooke Fraser, Jad Gillies</t>
  </si>
  <si>
    <t>Jonathon Douglass, Houston</t>
  </si>
  <si>
    <t>Dylan Thomas, Paul Andrew</t>
  </si>
  <si>
    <t>Sampson, Mia Fieldes</t>
  </si>
  <si>
    <t>Relentless</t>
  </si>
  <si>
    <t>Up in Arms</t>
  </si>
  <si>
    <t>Scandal of Grace</t>
  </si>
  <si>
    <t>Oceans (Where Feet May Fail)</t>
  </si>
  <si>
    <t>Stay and Wait</t>
  </si>
  <si>
    <t>Mercy Mercy</t>
  </si>
  <si>
    <t>Love Is War</t>
  </si>
  <si>
    <t>Nothing Like Your Love</t>
  </si>
  <si>
    <t>Heartbeats</t>
  </si>
  <si>
    <t>A Million Suns</t>
  </si>
  <si>
    <t>Tapestry</t>
  </si>
  <si>
    <t>King of Heaven</t>
  </si>
  <si>
    <t>Search My Heart</t>
  </si>
  <si>
    <t>All I Need Is You</t>
  </si>
  <si>
    <t>Bones</t>
  </si>
  <si>
    <t>Nova</t>
  </si>
  <si>
    <t>Freedom Is Here / Shout Unto God</t>
  </si>
  <si>
    <t>Like An Avalanche</t>
  </si>
  <si>
    <t>Rhythms of Grace</t>
  </si>
  <si>
    <t>Oh You Bring</t>
  </si>
  <si>
    <t>The Stand</t>
  </si>
  <si>
    <t>From the Inside Out</t>
  </si>
  <si>
    <t>A Song to Sing...</t>
  </si>
  <si>
    <t>Take Heart</t>
  </si>
  <si>
    <t>Freedom Is Here</t>
  </si>
  <si>
    <t>No Reason to Hide</t>
  </si>
  <si>
    <t>More Than Anything</t>
  </si>
  <si>
    <t>King of All Days</t>
  </si>
  <si>
    <t>Tear Down the Walls</t>
  </si>
  <si>
    <t>Soon</t>
  </si>
  <si>
    <t>Arms Open Wide</t>
  </si>
  <si>
    <t>The Time Has Come</t>
  </si>
  <si>
    <t>Til I See You</t>
  </si>
  <si>
    <t>Where the Love Lasts Forever</t>
  </si>
  <si>
    <t>All Day</t>
  </si>
  <si>
    <t>My Future Decided</t>
  </si>
  <si>
    <t>Nothing But the Blood</t>
  </si>
  <si>
    <t>Fuego De Dios (Fire Fall Down)</t>
  </si>
  <si>
    <t>Shout Unto God</t>
  </si>
  <si>
    <t>Love Enough</t>
  </si>
  <si>
    <t>Came to My Rescue</t>
  </si>
  <si>
    <t>Solution</t>
  </si>
  <si>
    <t>An Introduction</t>
  </si>
  <si>
    <t>From God Above</t>
  </si>
  <si>
    <t>A Reprise</t>
  </si>
  <si>
    <t>None but Jesus</t>
  </si>
  <si>
    <t>Selah</t>
  </si>
  <si>
    <t>Fire Fall Down</t>
  </si>
  <si>
    <t>Revolution</t>
  </si>
  <si>
    <t>Kingdom Come</t>
  </si>
  <si>
    <t>No One Like You</t>
  </si>
  <si>
    <t>Sovereign Hands</t>
  </si>
  <si>
    <t>Salvation is Here</t>
  </si>
  <si>
    <t>All I Need is You</t>
  </si>
  <si>
    <t>There is Nothing Like</t>
  </si>
  <si>
    <t>Only One</t>
  </si>
  <si>
    <t>Deeper</t>
  </si>
  <si>
    <t>Rest in You</t>
  </si>
  <si>
    <t>Awesome God</t>
  </si>
  <si>
    <t>Light</t>
  </si>
  <si>
    <t>Open Up the Heavens</t>
  </si>
  <si>
    <t>Majesty</t>
  </si>
  <si>
    <t>Always</t>
  </si>
  <si>
    <t>Consuming Fire</t>
  </si>
  <si>
    <t>Jesus' Blood</t>
  </si>
  <si>
    <t>Shine for You</t>
  </si>
  <si>
    <t>Soldier</t>
  </si>
  <si>
    <t>Shadow Step</t>
  </si>
  <si>
    <t>Future Marches In</t>
  </si>
  <si>
    <t>Splinters and Stones</t>
  </si>
  <si>
    <t>Glimmer in the Dust</t>
  </si>
  <si>
    <t>Greatest of These</t>
  </si>
  <si>
    <t>Shape of Your Heart</t>
  </si>
  <si>
    <t>Not Today</t>
  </si>
  <si>
    <t>Life</t>
  </si>
  <si>
    <t>Rain / Reign</t>
  </si>
  <si>
    <t>Water to Wine</t>
  </si>
  <si>
    <t>Here Now (Madness)</t>
  </si>
  <si>
    <t>Say the Word</t>
  </si>
  <si>
    <t>Touch the Sky</t>
  </si>
  <si>
    <t>Street Called Mercy</t>
  </si>
  <si>
    <t>When I Lost My Heart to You (Hallelujah)</t>
  </si>
  <si>
    <t>Even When It Hurts (Praise Song)</t>
  </si>
  <si>
    <t>Prince of Peace</t>
  </si>
  <si>
    <t>Rule</t>
  </si>
  <si>
    <t>Captain</t>
  </si>
  <si>
    <t>Closer Than You Know</t>
  </si>
  <si>
    <t>Zion (Interlude)</t>
  </si>
  <si>
    <t>Like an Avalanche</t>
  </si>
  <si>
    <t>B.E. (Interlude)</t>
  </si>
  <si>
    <t>Father</t>
  </si>
  <si>
    <t>Light Will Shine</t>
  </si>
  <si>
    <t>Search My Heart (Radio Version)</t>
  </si>
  <si>
    <t>Point of Difference</t>
  </si>
  <si>
    <t>Desperate People</t>
  </si>
  <si>
    <t>Devotion</t>
  </si>
  <si>
    <t>Draw Me Closer (Interlude)</t>
  </si>
  <si>
    <t>Lead Me to the Cross</t>
  </si>
  <si>
    <t>For All Who Are to Come (Interlude)</t>
  </si>
  <si>
    <t>Never Let Me Go</t>
  </si>
  <si>
    <t>Data</t>
  </si>
  <si>
    <t>introduction</t>
  </si>
  <si>
    <t>All About You</t>
  </si>
  <si>
    <t>Unify</t>
  </si>
  <si>
    <t>5:15</t>
  </si>
  <si>
    <t>All...</t>
  </si>
  <si>
    <t>6:00</t>
  </si>
  <si>
    <t>Houston &amp; Sampson</t>
  </si>
  <si>
    <t>Father, I</t>
  </si>
  <si>
    <t>My God</t>
  </si>
  <si>
    <t>Am I to Believe</t>
  </si>
  <si>
    <t>radio remix</t>
  </si>
  <si>
    <t>Everything to Me</t>
  </si>
  <si>
    <t>Your Spirit</t>
  </si>
  <si>
    <t>Luke Munns</t>
  </si>
  <si>
    <t>Fall</t>
  </si>
  <si>
    <t>Rebecca Mesiti</t>
  </si>
  <si>
    <t>Lift</t>
  </si>
  <si>
    <t>Ben McFall</t>
  </si>
  <si>
    <t>Perfect King</t>
  </si>
  <si>
    <t>Damian Bassett</t>
  </si>
  <si>
    <t>Holy, Holy, Holy</t>
  </si>
  <si>
    <t>traditional</t>
  </si>
  <si>
    <t>Did You Feel the Mountains Tremble?</t>
  </si>
  <si>
    <t>Martin Smith</t>
  </si>
  <si>
    <t>Joel Houston and Marty Sampson</t>
  </si>
  <si>
    <t>Stronger Than</t>
  </si>
  <si>
    <t>Saving Grace</t>
  </si>
  <si>
    <t>God of All Creation</t>
  </si>
  <si>
    <t>Mark Stevens and Paul Iannuzzelli</t>
  </si>
  <si>
    <t>I Live for You</t>
  </si>
  <si>
    <t>Jesus Generation</t>
  </si>
  <si>
    <t>I Will Sing</t>
  </si>
  <si>
    <t>Rebeca Mesiti</t>
  </si>
  <si>
    <t>Jesus, Lover of My Soul</t>
  </si>
  <si>
    <t>Steve McPherson, David Grul and John Ezzy</t>
  </si>
  <si>
    <t>The Reason I Live</t>
  </si>
  <si>
    <t>Jesus I Long</t>
  </si>
  <si>
    <t>On the Lord's Day</t>
  </si>
  <si>
    <t>More</t>
  </si>
  <si>
    <t>Heaven</t>
  </si>
  <si>
    <t>Seeking You</t>
  </si>
  <si>
    <t>You Take Me Higher</t>
  </si>
  <si>
    <t>Hear Our Prayer</t>
  </si>
  <si>
    <t>Prayer to the King</t>
  </si>
  <si>
    <t>God Is Moving</t>
  </si>
  <si>
    <t>The White Album</t>
  </si>
  <si>
    <t>Remix</t>
  </si>
  <si>
    <t>Across The Earth: Tear Down The Walls</t>
  </si>
  <si>
    <t>Echoes</t>
  </si>
  <si>
    <t>Heart Like Heaven (Falling)</t>
  </si>
  <si>
    <t>Popular</t>
  </si>
  <si>
    <t>Cm</t>
  </si>
  <si>
    <t>Duplicate</t>
  </si>
  <si>
    <t>Introduction</t>
  </si>
  <si>
    <t>My Redeemer Lives</t>
  </si>
  <si>
    <t>4:08</t>
  </si>
  <si>
    <t>Great in Power</t>
  </si>
  <si>
    <t>3:24</t>
  </si>
  <si>
    <t>I Feel Like I'm Falling</t>
  </si>
  <si>
    <t>5:28</t>
  </si>
  <si>
    <t>Your Unfailing Love</t>
  </si>
  <si>
    <t>6:27</t>
  </si>
  <si>
    <t>Dwelling Places</t>
  </si>
  <si>
    <t>5:05</t>
  </si>
  <si>
    <t>What the Lord Has Done in Me</t>
  </si>
  <si>
    <t>4:59</t>
  </si>
  <si>
    <t>Sing of Your Great Love</t>
  </si>
  <si>
    <t>8:25</t>
  </si>
  <si>
    <t>4:47</t>
  </si>
  <si>
    <t>In Freedom</t>
  </si>
  <si>
    <t>Aran Puddle</t>
  </si>
  <si>
    <t>3:26</t>
  </si>
  <si>
    <t>You Said</t>
  </si>
  <si>
    <t>4:33</t>
  </si>
  <si>
    <t>Stay</t>
  </si>
  <si>
    <t>8:27</t>
  </si>
  <si>
    <t>6:29</t>
  </si>
  <si>
    <t>Free to Dance</t>
  </si>
  <si>
    <t>4:15</t>
  </si>
  <si>
    <t>This Is How We Overcome</t>
  </si>
  <si>
    <t>3:48</t>
  </si>
  <si>
    <t>That's What We Came Here For</t>
  </si>
  <si>
    <t>Russell Fragar and Darlene Zschech</t>
  </si>
  <si>
    <t>Darlene Zschech - 3:49</t>
  </si>
  <si>
    <t>3:49</t>
  </si>
  <si>
    <t>Touching Heaven, Changing Earth</t>
  </si>
  <si>
    <t>Darlene Zschech - 3:51</t>
  </si>
  <si>
    <t>3:51</t>
  </si>
  <si>
    <t>Church on Fire</t>
  </si>
  <si>
    <t>Fragar</t>
  </si>
  <si>
    <t>Gilbert Clark and Lucy Fisher - 3:23</t>
  </si>
  <si>
    <t>3:23</t>
  </si>
  <si>
    <t>Lord Your Goodness</t>
  </si>
  <si>
    <t>Darlene Zschech - 3:47</t>
  </si>
  <si>
    <t>3:47</t>
  </si>
  <si>
    <t>Holy Spirit Rain Down</t>
  </si>
  <si>
    <t>Darlene Zschech - 6:43</t>
  </si>
  <si>
    <t>6:43</t>
  </si>
  <si>
    <t>You Are Holy</t>
  </si>
  <si>
    <t>Darlene Zschech - 5:27</t>
  </si>
  <si>
    <t>5:27</t>
  </si>
  <si>
    <t>Jesus You Gave it All</t>
  </si>
  <si>
    <t>Craig Gower</t>
  </si>
  <si>
    <t>Darlene Zschech - 6:05</t>
  </si>
  <si>
    <t>6:05</t>
  </si>
  <si>
    <t>Yes and Amen</t>
  </si>
  <si>
    <t>Darlene Zschech and Jayne Denham - 3:59</t>
  </si>
  <si>
    <t>3:59</t>
  </si>
  <si>
    <t>You Gave Me Love</t>
  </si>
  <si>
    <t>Darlene Zschech - 3:59</t>
  </si>
  <si>
    <t>Glorified</t>
  </si>
  <si>
    <t>Darlene Zschech and Steve McPherson - 4:05</t>
  </si>
  <si>
    <t>4:05</t>
  </si>
  <si>
    <t>I Will Bless You Lord</t>
  </si>
  <si>
    <t>Miriam Webster and Rob Eastwood - 5:15</t>
  </si>
  <si>
    <t>My Greatest Love is You</t>
  </si>
  <si>
    <t>Steve McPherson, Mark Stevens, Rob Eastwood, Scott Haslem, and Gilbert Clark - 4:30</t>
  </si>
  <si>
    <t>4:30</t>
  </si>
  <si>
    <t>Jesus You're All I Need</t>
  </si>
  <si>
    <t>Darlene Zschech - 6:00</t>
  </si>
  <si>
    <t>The Potter's Hand</t>
  </si>
  <si>
    <t>Darlene Zschech - 7:37</t>
  </si>
  <si>
    <t>7:37</t>
  </si>
  <si>
    <t>2:50</t>
  </si>
  <si>
    <t>Touching Heaven, Changing Earth (Reprise)</t>
  </si>
  <si>
    <t>Russell Fragar &amp; Darlene Zschech</t>
  </si>
  <si>
    <t>Joy in the Holy Ghost</t>
  </si>
  <si>
    <t>Lucy Fisher</t>
  </si>
  <si>
    <t>Steppin' Out</t>
  </si>
  <si>
    <t>My Heart Sings Praises</t>
  </si>
  <si>
    <t>And That My Soul Knows Very Well</t>
  </si>
  <si>
    <t>Zschech &amp; Fragar</t>
  </si>
  <si>
    <t>Jesus, What a Beautiful Name</t>
  </si>
  <si>
    <t>Lisa Young</t>
  </si>
  <si>
    <t>Let the Peace of God Reign</t>
  </si>
  <si>
    <t>Rob Eastwood &amp; Darlene Zschech</t>
  </si>
  <si>
    <t>I Give You My Heart</t>
  </si>
  <si>
    <t>Walking in the Light</t>
  </si>
  <si>
    <t>Your People Sing Praises</t>
  </si>
  <si>
    <t>I Believe the Promise</t>
  </si>
  <si>
    <t>Erica Crocker &amp; Darlene Zschech</t>
  </si>
  <si>
    <t>Thank You, Lord</t>
  </si>
  <si>
    <t>Dennis Jernigan</t>
  </si>
  <si>
    <t>Darlene Zschech &amp; Donia Gandjou</t>
  </si>
  <si>
    <t>Lord of the Heavens</t>
  </si>
  <si>
    <t>I Will Run to You</t>
  </si>
  <si>
    <t>Debbie Steinhardt, Geoff Bullock &amp; Darlene Zschech</t>
  </si>
  <si>
    <t>Father of Lights</t>
  </si>
  <si>
    <t>Darlene Zschech &amp; David Evans</t>
  </si>
  <si>
    <t>In the Name of the Lord</t>
  </si>
  <si>
    <t>Bullock</t>
  </si>
  <si>
    <t>Darlene Zschech, David Evans &amp; Geoff Bullock</t>
  </si>
  <si>
    <t>You Rescued Me</t>
  </si>
  <si>
    <t>The Power and the Glory</t>
  </si>
  <si>
    <t>David Evans &amp; Darlene Zschech</t>
  </si>
  <si>
    <t>Have Faith in God</t>
  </si>
  <si>
    <t>David Evans, Geoff Bullock &amp; Darlene Zschech</t>
  </si>
  <si>
    <t>Your Love Keeps Following Me</t>
  </si>
  <si>
    <t>I Just Want to Praise the Lord</t>
  </si>
  <si>
    <t>Longin' for Your Touch</t>
  </si>
  <si>
    <t>Paul Iannuzzelli &amp; Tim Uluirewa</t>
  </si>
  <si>
    <t>David Evans</t>
  </si>
  <si>
    <t>In the Silence</t>
  </si>
  <si>
    <t>Iannuzzelli</t>
  </si>
  <si>
    <t>Just Let Me Say</t>
  </si>
  <si>
    <t>Debbie Steinhardt &amp; Geoff Bullock</t>
  </si>
  <si>
    <t>Shout to the Lord</t>
  </si>
  <si>
    <t>The Stone's Been Rolled Away</t>
  </si>
  <si>
    <t>Darlene Zschech, b. Geoff Bullock</t>
  </si>
  <si>
    <t>You Give Me Shelter</t>
  </si>
  <si>
    <t>Sylvia Pettit &amp; Steve McPherson</t>
  </si>
  <si>
    <t>Your Name</t>
  </si>
  <si>
    <t>David Evans, Sylvia Pettit &amp; Darlene Zschech</t>
  </si>
  <si>
    <t>I'll Love You More</t>
  </si>
  <si>
    <t>Robert &amp; Debbie Eastwood</t>
  </si>
  <si>
    <t>Sylvia Pettit &amp; David Evans</t>
  </si>
  <si>
    <t>Let Your Presence Fall</t>
  </si>
  <si>
    <t>David Willersdorf</t>
  </si>
  <si>
    <t>Darlene Zschech, b. David Evans</t>
  </si>
  <si>
    <t>Holy Spirit Come</t>
  </si>
  <si>
    <t>Geoff Bullock, Darlene Zschech, David Evans, Steve McPherson &amp; Sylvia Pettit</t>
  </si>
  <si>
    <t>Holy One of God</t>
  </si>
  <si>
    <t>Darlene Zschech &amp; Steve McPherson</t>
  </si>
  <si>
    <t>Make Me Your Servant</t>
  </si>
  <si>
    <t>Darlene Zschech, David Evans &amp; Steve McPherson</t>
  </si>
  <si>
    <t>Jesus Lover of My Soul</t>
  </si>
  <si>
    <t>Daniel Grul, John Ezzy &amp; Steve McPherson</t>
  </si>
  <si>
    <t>Oh Holy Spirit</t>
  </si>
  <si>
    <t>Darlene Zschech &amp; Geoff Bullock</t>
  </si>
  <si>
    <t>Within Your Love</t>
  </si>
  <si>
    <t>Sylvia Pettit, b. Geoff Bullock</t>
  </si>
  <si>
    <t>Sylvia Pettit, b. Steve McPherson</t>
  </si>
  <si>
    <t>You Are the One</t>
  </si>
  <si>
    <t>We Will Rise</t>
  </si>
  <si>
    <t>You Placed Your Love</t>
  </si>
  <si>
    <t>Blessed Be</t>
  </si>
  <si>
    <t>You Are My Rock</t>
  </si>
  <si>
    <t>Hear Me Calling</t>
  </si>
  <si>
    <t>Refresh My Heart</t>
  </si>
  <si>
    <t>Lord We Come</t>
  </si>
  <si>
    <t>I Will Worship You</t>
  </si>
  <si>
    <t>You Are My God</t>
  </si>
  <si>
    <t>Bullock &amp; Gail Dunshea</t>
  </si>
  <si>
    <t>Holy Spirit Rise</t>
  </si>
  <si>
    <t>Latter Rain</t>
  </si>
  <si>
    <t>The Great Southland</t>
  </si>
  <si>
    <t>He Shall Be Called</t>
  </si>
  <si>
    <t>Praise His Holy Name</t>
  </si>
  <si>
    <t>Rock of the Ages</t>
  </si>
  <si>
    <t>Geoff Bullock, Zschech</t>
  </si>
  <si>
    <t>Donia Makedonez</t>
  </si>
  <si>
    <t>Whenever I See</t>
  </si>
  <si>
    <t>Now Is the Time</t>
  </si>
  <si>
    <t>You're All I Need</t>
  </si>
  <si>
    <t>Geoff Bullock, Darlene Zschech</t>
  </si>
  <si>
    <t>Salvation</t>
  </si>
  <si>
    <t>Holding On</t>
  </si>
  <si>
    <t>Darlene Zschech, Geoff Bullock</t>
  </si>
  <si>
    <t>Because of Your Love</t>
  </si>
  <si>
    <t>Darlene Zschech; Craig Gower</t>
  </si>
  <si>
    <t>Lord I Give Myself</t>
  </si>
  <si>
    <t>I'll Worship You</t>
  </si>
  <si>
    <t>Darlene Zschech; Geoff Bullock</t>
  </si>
  <si>
    <t>This Kingdom</t>
  </si>
  <si>
    <t>Darlene Zschech; Rob Eastwood</t>
  </si>
  <si>
    <t>I Can't Wait</t>
  </si>
  <si>
    <t>Donia Makedonez; Lucy Fisher; Russell Fragar</t>
  </si>
  <si>
    <t>In MC?</t>
  </si>
  <si>
    <t>More Than</t>
  </si>
  <si>
    <t>Chosen As Mine</t>
  </si>
  <si>
    <t>Mercy Endures</t>
  </si>
  <si>
    <t>Angel Of The Lord</t>
  </si>
  <si>
    <t>Love Song</t>
  </si>
  <si>
    <t>All Praises To The King</t>
  </si>
  <si>
    <t>Most Holy</t>
  </si>
  <si>
    <t>Faithful To The End</t>
  </si>
  <si>
    <t>Search Me O God</t>
  </si>
  <si>
    <t>How I Long For You</t>
  </si>
  <si>
    <t>Annie Garratt, Matt Crocker</t>
  </si>
  <si>
    <t>Crocker, Scott Ligertwood</t>
  </si>
  <si>
    <t>Dave Ware</t>
  </si>
  <si>
    <t>Morgan, Ben Glover</t>
  </si>
  <si>
    <t>Traditional</t>
  </si>
  <si>
    <t>Morgan, Ben Fielding</t>
  </si>
  <si>
    <t>Dave Ware, Hayley Law</t>
  </si>
  <si>
    <t>Hardman, Ligertwood, Harrison Wood</t>
  </si>
  <si>
    <t>Traditional, Hardman, Ligertwood, Wood</t>
  </si>
  <si>
    <t>John Francis Wade, Frederick Oakeley, Matt Crocker, Autumn Hardman, Ryan Taubert</t>
  </si>
  <si>
    <t>Isaac Watts, Lowell Mason</t>
  </si>
  <si>
    <t>Adolphe Adam, Placide Cappeau, John Sullivan Dwight</t>
  </si>
  <si>
    <t>Charles Wesley, George Whitefield, Felix Mendelssohn, William H. Cummings</t>
  </si>
  <si>
    <t>James Chadwick, Edward Shippen Barnes</t>
  </si>
  <si>
    <t>Nathan Finochio</t>
  </si>
  <si>
    <t>Robert Lowry</t>
  </si>
  <si>
    <t>Adrian Lewis</t>
  </si>
  <si>
    <t>Amanda Fergusson</t>
  </si>
  <si>
    <t>Peter James</t>
  </si>
  <si>
    <t>Aaron Watson &amp; Mia Fieldes</t>
  </si>
  <si>
    <t>Scott Hopkins &amp; Miriam Webster</t>
  </si>
  <si>
    <t>Hank Williams</t>
  </si>
  <si>
    <t>Darlene Zschech &amp; Miriam Webster</t>
  </si>
  <si>
    <t>I Will Run To You</t>
  </si>
  <si>
    <t>I Bow My Knee (I'll Love You More)</t>
  </si>
  <si>
    <t>Lord Of The Heavens</t>
  </si>
  <si>
    <t>In The Silence</t>
  </si>
  <si>
    <t>Jesus What A Beautiful Name</t>
  </si>
  <si>
    <t>Father Of Creation</t>
  </si>
  <si>
    <t>Show Me Your Ways</t>
  </si>
  <si>
    <t>One Hope</t>
  </si>
  <si>
    <t>Let The Peace Of God Reign</t>
  </si>
  <si>
    <t>I Belong To You</t>
  </si>
  <si>
    <t>Shadow Of Your Wings</t>
  </si>
  <si>
    <t>Jesus, You Gave It All</t>
  </si>
  <si>
    <t>All The Days Of My Life</t>
  </si>
  <si>
    <t>I Draw Near To You</t>
  </si>
  <si>
    <t>Fall Upon Your Knees</t>
  </si>
  <si>
    <t>Thank You Lord</t>
  </si>
  <si>
    <t>River</t>
  </si>
  <si>
    <t>It Is He</t>
  </si>
  <si>
    <t>Have Your Way</t>
  </si>
  <si>
    <t>Jesus I Adore You</t>
  </si>
  <si>
    <t>You Shine</t>
  </si>
  <si>
    <t>Steadfast Love Of The Lord</t>
  </si>
  <si>
    <t>Instrumental</t>
  </si>
  <si>
    <t>1. "Silent Night" (traditional; arranged by Russell Fragar)</t>
  </si>
  <si>
    <t>2. "Hark the Herald Angels Sing" (traditional; arranged by Peter King)</t>
  </si>
  <si>
    <t>3. "Saviour of the World" (Katia Bowley)</t>
  </si>
  <si>
    <t>4. "Jesus, What a Beautiful Name" (Tanya Riches)</t>
  </si>
  <si>
    <t>5. "The Reason Why" (Russell Fragar)</t>
  </si>
  <si>
    <t>6. "Away in a Manger" (traditional; arranged by Russell Fragar)</t>
  </si>
  <si>
    <t>7. "Perfect Love" (Darlene Zschech &amp; Russell Fragar)</t>
  </si>
  <si>
    <t>9. "Rejoice" (Donia Makedonez)</t>
  </si>
  <si>
    <t>10. "Star of Bethlehem" (instrumental; David Moyse)</t>
  </si>
  <si>
    <t>11. "The First Noel" (traditional; arranged by Peter King)</t>
  </si>
  <si>
    <t>12. "O Come, All Ye Faithful"/"Jesus You Are All I Live For" (traditional; arranged by Russell Fragar &amp; Simeon Webster)</t>
  </si>
  <si>
    <t>13. "Hallelujah" (Darlene Zschech)</t>
  </si>
  <si>
    <t>14. "Glory to God" (Reuben Morgan)</t>
  </si>
  <si>
    <t>8. "O Holy Night" (traditional; arranged by Reuben Morgan &amp; Peter King)</t>
  </si>
  <si>
    <t>No More Than A Heartbeat</t>
  </si>
  <si>
    <t>You're In My Heart</t>
  </si>
  <si>
    <t>Jesus, Our Lord Jesus</t>
  </si>
  <si>
    <t>Let Your Kingdom Come</t>
  </si>
  <si>
    <t>Grace</t>
  </si>
  <si>
    <t>Keep Falling In Love</t>
  </si>
  <si>
    <t>Spring Of Life</t>
  </si>
  <si>
    <t>The Lord Is Good</t>
  </si>
  <si>
    <t>Abba, Father</t>
  </si>
  <si>
    <t>Band</t>
  </si>
  <si>
    <t>Worship</t>
  </si>
  <si>
    <t>United</t>
  </si>
  <si>
    <t>Year</t>
  </si>
  <si>
    <t>Tracks</t>
  </si>
  <si>
    <t>Track</t>
  </si>
  <si>
    <t>Key</t>
  </si>
  <si>
    <t>Exclude</t>
  </si>
  <si>
    <t>AlbumArt</t>
  </si>
  <si>
    <t>YES</t>
  </si>
  <si>
    <t>Across The Earth, Tear Down The Walls</t>
  </si>
  <si>
    <t>The I Heart Revolution, With Hearts as One</t>
  </si>
  <si>
    <t>Live in Miami, Welcome to the Aftermath</t>
  </si>
  <si>
    <t>Of Dirt and Grace, Live from the Land</t>
  </si>
  <si>
    <t>Ultimate Worship, Hillsong</t>
  </si>
  <si>
    <t>Unified, Praise</t>
  </si>
  <si>
    <t>Celebrating Christmas</t>
  </si>
  <si>
    <t>Rejected</t>
  </si>
  <si>
    <t>Other</t>
  </si>
  <si>
    <t>Shout to the Lord 2000</t>
  </si>
  <si>
    <t>The Westward Procession (Instrumental)</t>
  </si>
  <si>
    <t>Born Is the King (It's Christmas)</t>
  </si>
  <si>
    <t>We Three Kings</t>
  </si>
  <si>
    <t>O Come Let Us Adore Him</t>
  </si>
  <si>
    <t>Silent Night</t>
  </si>
  <si>
    <t>We Have a Saviour</t>
  </si>
  <si>
    <t>Hark! The Herald Angels Sing</t>
  </si>
  <si>
    <t>God Rest Ye Merry Gentlemen (Tidings)</t>
  </si>
  <si>
    <t>Unto Us</t>
  </si>
  <si>
    <t>Gloria (Angels We Have Heard on High)</t>
  </si>
  <si>
    <t>Our King Has Come</t>
  </si>
  <si>
    <t>The First Noel (Holy Is the Lord)</t>
  </si>
  <si>
    <t>Nothing but the Blood</t>
  </si>
  <si>
    <t>My Hope Is Jesus</t>
  </si>
  <si>
    <t>The Only Name</t>
  </si>
  <si>
    <t>Gift of Love</t>
  </si>
  <si>
    <t>With Christ</t>
  </si>
  <si>
    <t>Oh the Blood</t>
  </si>
  <si>
    <t>Scarlet Hands</t>
  </si>
  <si>
    <t>Redeeming King</t>
  </si>
  <si>
    <t>How Can You Refuse Him Now?</t>
  </si>
  <si>
    <t>Jesus Is Alive</t>
  </si>
  <si>
    <t>Breathe on Me</t>
  </si>
  <si>
    <t>My Heart Will Trust</t>
  </si>
  <si>
    <t>God Is Good</t>
  </si>
  <si>
    <t>Glory to the King</t>
  </si>
  <si>
    <t>Hear Our Praises</t>
  </si>
  <si>
    <t>I Believe the Presence</t>
  </si>
  <si>
    <t>Jesus, Jesus</t>
  </si>
  <si>
    <t>I Will Never Be</t>
  </si>
  <si>
    <t>All the Power You Need (He's Real)</t>
  </si>
  <si>
    <t>Power of Your Love</t>
  </si>
  <si>
    <t>Father of Creation</t>
  </si>
  <si>
    <t>John Ezzy, Daniel Grul, Steve McPherson</t>
  </si>
  <si>
    <t>Robert Eastwood</t>
  </si>
  <si>
    <t>Fragar &amp; Darlene Zschech</t>
  </si>
  <si>
    <t>Ron Kenoly</t>
  </si>
  <si>
    <t>Fragar &amp; Zschech</t>
  </si>
  <si>
    <t>Alvin Slaughter</t>
  </si>
  <si>
    <t>Hark the Herald Angels Sing</t>
  </si>
  <si>
    <t>Saviour of the World</t>
  </si>
  <si>
    <t>The Reason Why</t>
  </si>
  <si>
    <t>Away in a Manger</t>
  </si>
  <si>
    <t>Perfect Love</t>
  </si>
  <si>
    <t>Rejoice</t>
  </si>
  <si>
    <t>Star of Bethlehem</t>
  </si>
  <si>
    <t>The First Noel</t>
  </si>
  <si>
    <t>O Come, All Ye Faithful</t>
  </si>
  <si>
    <t>Glory to God</t>
  </si>
  <si>
    <t>traditional; arranged by Russell Fragar</t>
  </si>
  <si>
    <t>traditional; arranged by Peter King</t>
  </si>
  <si>
    <t>Katia Bowley</t>
  </si>
  <si>
    <t>Darlene Zschech &amp; Russell Fragar</t>
  </si>
  <si>
    <t>aditional; arranged by Reuben Morgan &amp; Peter King</t>
  </si>
  <si>
    <t>instrumental; David Moyse</t>
  </si>
  <si>
    <t>onal; arranged by Russell Fragar &amp; Simeon Webster</t>
  </si>
  <si>
    <t>I Could Sing of Your Love Forever</t>
  </si>
  <si>
    <t>Did You Feel the Mountains Tremble</t>
  </si>
  <si>
    <t>Rain Down</t>
  </si>
  <si>
    <t>Majesty (Here I Am)</t>
  </si>
  <si>
    <t>What a Friend I've Found</t>
  </si>
  <si>
    <t>History Maker</t>
  </si>
  <si>
    <t>Smith &amp; Stuart Garrard</t>
  </si>
  <si>
    <t>Garrard &amp; Smith</t>
  </si>
  <si>
    <t>Angels We Have Heard on High / Gloria</t>
  </si>
  <si>
    <t>Christmas Time Again</t>
  </si>
  <si>
    <t>O Rejoice</t>
  </si>
  <si>
    <t>O Come, O Come, Emmanuel</t>
  </si>
  <si>
    <t>O Little Town of Bethlehem</t>
  </si>
  <si>
    <t>God Rest Ye Merry Gentlemen</t>
  </si>
  <si>
    <t>What Child Is This</t>
  </si>
  <si>
    <t>Can You Hear?</t>
  </si>
  <si>
    <t>Saviour Christ the King</t>
  </si>
  <si>
    <t>Craig Gower &amp; Nigel Hendroff</t>
  </si>
  <si>
    <t>Barry Southgate</t>
  </si>
  <si>
    <t>Hendroff</t>
  </si>
  <si>
    <t>Peter King</t>
  </si>
  <si>
    <t>Ross Irwin</t>
  </si>
  <si>
    <t>Luke-Henri Peipman, Steve McPherson</t>
  </si>
  <si>
    <t>King</t>
  </si>
  <si>
    <t>David Andrew, Fieldes</t>
  </si>
  <si>
    <t>Luke Munns, Reuben Morgan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</si>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</sst>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0" borderId="0" xfId="0" applyFon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MasterCollection/MasterColl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L1" t="str">
            <v>CCLI#</v>
          </cell>
        </row>
        <row r="2">
          <cell r="L2">
            <v>6428767</v>
          </cell>
        </row>
        <row r="3">
          <cell r="L3">
            <v>6333821</v>
          </cell>
        </row>
        <row r="4">
          <cell r="L4">
            <v>5881130</v>
          </cell>
        </row>
        <row r="5">
          <cell r="L5">
            <v>5925687</v>
          </cell>
        </row>
        <row r="6">
          <cell r="L6">
            <v>3350395</v>
          </cell>
        </row>
        <row r="7">
          <cell r="L7">
            <v>5665521</v>
          </cell>
        </row>
        <row r="8">
          <cell r="L8">
            <v>7029505</v>
          </cell>
        </row>
        <row r="9">
          <cell r="L9">
            <v>6016351</v>
          </cell>
        </row>
        <row r="10">
          <cell r="L10">
            <v>6440288</v>
          </cell>
        </row>
        <row r="11">
          <cell r="L11">
            <v>4847027</v>
          </cell>
        </row>
        <row r="12">
          <cell r="L12">
            <v>6578772</v>
          </cell>
        </row>
        <row r="13">
          <cell r="L13">
            <v>4662491</v>
          </cell>
        </row>
        <row r="14">
          <cell r="L14">
            <v>5639997</v>
          </cell>
        </row>
        <row r="15">
          <cell r="L15">
            <v>7000689</v>
          </cell>
        </row>
        <row r="16">
          <cell r="L16">
            <v>4348399</v>
          </cell>
        </row>
        <row r="17">
          <cell r="L17">
            <v>825356</v>
          </cell>
        </row>
        <row r="18">
          <cell r="L18">
            <v>17803</v>
          </cell>
        </row>
        <row r="19">
          <cell r="L19">
            <v>5677416</v>
          </cell>
        </row>
        <row r="20">
          <cell r="L20">
            <v>2298355</v>
          </cell>
        </row>
        <row r="21">
          <cell r="L21">
            <v>1097451</v>
          </cell>
        </row>
        <row r="22">
          <cell r="L22">
            <v>7031125</v>
          </cell>
        </row>
        <row r="23">
          <cell r="L23">
            <v>5806878</v>
          </cell>
        </row>
        <row r="24">
          <cell r="L24">
            <v>6186872</v>
          </cell>
        </row>
        <row r="25">
          <cell r="L25">
            <v>14514</v>
          </cell>
        </row>
        <row r="26">
          <cell r="L26">
            <v>5032549</v>
          </cell>
        </row>
        <row r="27">
          <cell r="L27">
            <v>5997055</v>
          </cell>
        </row>
        <row r="28">
          <cell r="L28">
            <v>1406918</v>
          </cell>
        </row>
        <row r="29">
          <cell r="L29">
            <v>2306412</v>
          </cell>
        </row>
        <row r="30">
          <cell r="L30">
            <v>3915912</v>
          </cell>
        </row>
        <row r="31">
          <cell r="L31">
            <v>3798438</v>
          </cell>
        </row>
        <row r="32">
          <cell r="L32">
            <v>7029507</v>
          </cell>
        </row>
        <row r="33">
          <cell r="L33">
            <v>5636866</v>
          </cell>
        </row>
        <row r="34">
          <cell r="L34">
            <v>4158039</v>
          </cell>
        </row>
        <row r="35">
          <cell r="L35">
            <v>5925649</v>
          </cell>
        </row>
        <row r="36">
          <cell r="L36">
            <v>5881037</v>
          </cell>
        </row>
        <row r="37">
          <cell r="L37">
            <v>3266032</v>
          </cell>
        </row>
        <row r="38">
          <cell r="L38">
            <v>5627772</v>
          </cell>
        </row>
        <row r="39">
          <cell r="L39">
            <v>4873981</v>
          </cell>
        </row>
        <row r="40">
          <cell r="L40">
            <v>7029513</v>
          </cell>
        </row>
        <row r="41">
          <cell r="L41">
            <v>4158022</v>
          </cell>
        </row>
        <row r="42">
          <cell r="L42">
            <v>6158927</v>
          </cell>
        </row>
        <row r="43">
          <cell r="L43">
            <v>5207587</v>
          </cell>
        </row>
        <row r="44">
          <cell r="L44">
            <v>5124055</v>
          </cell>
        </row>
        <row r="45">
          <cell r="L45">
            <v>6590798</v>
          </cell>
        </row>
        <row r="46">
          <cell r="L46">
            <v>3040980</v>
          </cell>
        </row>
        <row r="47">
          <cell r="L47">
            <v>5880784</v>
          </cell>
        </row>
        <row r="48">
          <cell r="L48">
            <v>2060208</v>
          </cell>
        </row>
        <row r="49">
          <cell r="L49">
            <v>4689508</v>
          </cell>
        </row>
        <row r="50">
          <cell r="L50">
            <v>5393329</v>
          </cell>
        </row>
        <row r="51">
          <cell r="L51">
            <v>3148435</v>
          </cell>
        </row>
        <row r="52">
          <cell r="L52">
            <v>16880</v>
          </cell>
        </row>
        <row r="53">
          <cell r="L53">
            <v>7029241</v>
          </cell>
        </row>
        <row r="54">
          <cell r="L54">
            <v>4447960</v>
          </cell>
        </row>
        <row r="55">
          <cell r="L55">
            <v>18723</v>
          </cell>
        </row>
        <row r="56">
          <cell r="L56">
            <v>6521035</v>
          </cell>
        </row>
        <row r="57">
          <cell r="L57">
            <v>4491002</v>
          </cell>
        </row>
        <row r="58">
          <cell r="L58">
            <v>3148428</v>
          </cell>
        </row>
        <row r="59">
          <cell r="L59">
            <v>5508444</v>
          </cell>
        </row>
        <row r="60">
          <cell r="L60">
            <v>4785828</v>
          </cell>
        </row>
        <row r="61">
          <cell r="L61">
            <v>4477026</v>
          </cell>
        </row>
        <row r="62">
          <cell r="L62">
            <v>5124024</v>
          </cell>
        </row>
        <row r="63">
          <cell r="L63">
            <v>4785835</v>
          </cell>
        </row>
        <row r="64">
          <cell r="L64">
            <v>4591782</v>
          </cell>
        </row>
        <row r="65">
          <cell r="L65">
            <v>1383</v>
          </cell>
        </row>
        <row r="66">
          <cell r="L66">
            <v>5060793</v>
          </cell>
        </row>
        <row r="67">
          <cell r="L67">
            <v>164361</v>
          </cell>
        </row>
        <row r="68">
          <cell r="L68">
            <v>5710744</v>
          </cell>
        </row>
        <row r="69">
          <cell r="L69">
            <v>5627758</v>
          </cell>
        </row>
        <row r="70">
          <cell r="L70">
            <v>4556538</v>
          </cell>
        </row>
        <row r="71">
          <cell r="L71">
            <v>5409079</v>
          </cell>
        </row>
        <row r="72">
          <cell r="L72">
            <v>4705248</v>
          </cell>
        </row>
        <row r="73">
          <cell r="L73">
            <v>4403076</v>
          </cell>
        </row>
        <row r="74">
          <cell r="L74">
            <v>1866132</v>
          </cell>
        </row>
        <row r="75">
          <cell r="L75">
            <v>4329411</v>
          </cell>
        </row>
        <row r="76">
          <cell r="L76">
            <v>4447984</v>
          </cell>
        </row>
        <row r="77">
          <cell r="L77">
            <v>4674166</v>
          </cell>
        </row>
        <row r="78">
          <cell r="L78">
            <v>3599479</v>
          </cell>
        </row>
        <row r="79">
          <cell r="L79">
            <v>4768151</v>
          </cell>
        </row>
        <row r="80">
          <cell r="L80">
            <v>5553530</v>
          </cell>
        </row>
        <row r="81">
          <cell r="L81">
            <v>4325556</v>
          </cell>
        </row>
        <row r="82">
          <cell r="L82">
            <v>5295221</v>
          </cell>
        </row>
        <row r="83">
          <cell r="L83">
            <v>7029516</v>
          </cell>
        </row>
        <row r="84">
          <cell r="L84">
            <v>2296522</v>
          </cell>
        </row>
        <row r="85">
          <cell r="L85">
            <v>4705176</v>
          </cell>
        </row>
        <row r="86">
          <cell r="L86">
            <v>5060810</v>
          </cell>
        </row>
        <row r="87">
          <cell r="L87">
            <v>6590839</v>
          </cell>
        </row>
        <row r="88">
          <cell r="L88">
            <v>5242683</v>
          </cell>
        </row>
        <row r="89">
          <cell r="L89">
            <v>17827</v>
          </cell>
        </row>
        <row r="90">
          <cell r="L90">
            <v>5720105</v>
          </cell>
        </row>
        <row r="91">
          <cell r="L91">
            <v>4611679</v>
          </cell>
        </row>
        <row r="92">
          <cell r="L92">
            <v>5894275</v>
          </cell>
        </row>
        <row r="93">
          <cell r="L93">
            <v>5337172</v>
          </cell>
        </row>
        <row r="94">
          <cell r="L94">
            <v>7000686</v>
          </cell>
        </row>
        <row r="95">
          <cell r="L95">
            <v>7029242</v>
          </cell>
        </row>
        <row r="96">
          <cell r="L96">
            <v>4219071</v>
          </cell>
        </row>
        <row r="97">
          <cell r="L97">
            <v>5183443</v>
          </cell>
        </row>
        <row r="98">
          <cell r="L98">
            <v>5183450</v>
          </cell>
        </row>
        <row r="99">
          <cell r="L99">
            <v>3118757</v>
          </cell>
        </row>
        <row r="100">
          <cell r="L100">
            <v>2456623</v>
          </cell>
        </row>
        <row r="101">
          <cell r="L101">
            <v>1558110</v>
          </cell>
        </row>
        <row r="102">
          <cell r="L102">
            <v>7041770</v>
          </cell>
        </row>
        <row r="103">
          <cell r="L103">
            <v>7030072</v>
          </cell>
        </row>
        <row r="104">
          <cell r="L104">
            <v>7018338</v>
          </cell>
        </row>
        <row r="105">
          <cell r="L105">
            <v>6428750</v>
          </cell>
        </row>
        <row r="106">
          <cell r="L106">
            <v>7001228</v>
          </cell>
        </row>
        <row r="107">
          <cell r="L107">
            <v>7028829</v>
          </cell>
        </row>
        <row r="108">
          <cell r="L108">
            <v>7016414</v>
          </cell>
        </row>
        <row r="109">
          <cell r="L109">
            <v>7003306</v>
          </cell>
        </row>
        <row r="110">
          <cell r="L110">
            <v>6460220</v>
          </cell>
        </row>
        <row r="111">
          <cell r="L111">
            <v>6476063</v>
          </cell>
        </row>
        <row r="112">
          <cell r="L112">
            <v>7051511</v>
          </cell>
        </row>
        <row r="113">
          <cell r="L113">
            <v>6304702</v>
          </cell>
        </row>
        <row r="114">
          <cell r="L114">
            <v>7054178</v>
          </cell>
        </row>
        <row r="115">
          <cell r="L115">
            <v>7036612</v>
          </cell>
        </row>
        <row r="116">
          <cell r="L116">
            <v>6087919</v>
          </cell>
        </row>
        <row r="117">
          <cell r="L117">
            <v>6087919</v>
          </cell>
        </row>
        <row r="118">
          <cell r="L118">
            <v>7030123</v>
          </cell>
        </row>
        <row r="119">
          <cell r="L119">
            <v>7017786</v>
          </cell>
        </row>
        <row r="120">
          <cell r="L120">
            <v>7032344</v>
          </cell>
        </row>
        <row r="121">
          <cell r="L121">
            <v>6011370</v>
          </cell>
        </row>
        <row r="122">
          <cell r="L122">
            <v>6327734</v>
          </cell>
        </row>
        <row r="123">
          <cell r="L123">
            <v>7083703</v>
          </cell>
        </row>
        <row r="124">
          <cell r="L124">
            <v>7030068</v>
          </cell>
        </row>
        <row r="125">
          <cell r="L125">
            <v>7038281</v>
          </cell>
        </row>
        <row r="126">
          <cell r="L126">
            <v>6605212</v>
          </cell>
        </row>
        <row r="127">
          <cell r="L127">
            <v>7030065</v>
          </cell>
        </row>
        <row r="128">
          <cell r="L128">
            <v>7030065</v>
          </cell>
        </row>
        <row r="129">
          <cell r="L129">
            <v>7068424</v>
          </cell>
        </row>
        <row r="130">
          <cell r="L130">
            <v>7083710</v>
          </cell>
        </row>
        <row r="131">
          <cell r="L131">
            <v>7017790</v>
          </cell>
        </row>
        <row r="132">
          <cell r="L132">
            <v>6518055</v>
          </cell>
        </row>
        <row r="133">
          <cell r="L133">
            <v>7036288</v>
          </cell>
        </row>
        <row r="134">
          <cell r="L134">
            <v>5881491</v>
          </cell>
        </row>
        <row r="135">
          <cell r="L135">
            <v>7037787</v>
          </cell>
        </row>
        <row r="136">
          <cell r="L136">
            <v>7023294</v>
          </cell>
        </row>
        <row r="137">
          <cell r="L137">
            <v>7068428</v>
          </cell>
        </row>
        <row r="138">
          <cell r="L138">
            <v>7081388</v>
          </cell>
        </row>
        <row r="139">
          <cell r="L139">
            <v>7046145</v>
          </cell>
        </row>
        <row r="140">
          <cell r="L140">
            <v>5858163</v>
          </cell>
        </row>
        <row r="141">
          <cell r="L141">
            <v>7052927</v>
          </cell>
        </row>
        <row r="142">
          <cell r="L142">
            <v>7070345</v>
          </cell>
        </row>
        <row r="143">
          <cell r="L143">
            <v>7032328</v>
          </cell>
        </row>
        <row r="144">
          <cell r="L144">
            <v>6517898</v>
          </cell>
        </row>
        <row r="145">
          <cell r="L145">
            <v>7046448</v>
          </cell>
        </row>
        <row r="146">
          <cell r="L146">
            <v>7089641</v>
          </cell>
        </row>
        <row r="147">
          <cell r="L147">
            <v>7054720</v>
          </cell>
        </row>
        <row r="148">
          <cell r="L148">
            <v>6514035</v>
          </cell>
        </row>
        <row r="149">
          <cell r="L149">
            <v>7065049</v>
          </cell>
        </row>
        <row r="150">
          <cell r="L150">
            <v>7051507</v>
          </cell>
        </row>
        <row r="151">
          <cell r="L151">
            <v>7107554</v>
          </cell>
        </row>
        <row r="152">
          <cell r="L152">
            <v>7067555</v>
          </cell>
        </row>
        <row r="153">
          <cell r="L153">
            <v>7106807</v>
          </cell>
        </row>
        <row r="154">
          <cell r="L154">
            <v>7102401</v>
          </cell>
        </row>
        <row r="155">
          <cell r="L155">
            <v>7060709</v>
          </cell>
        </row>
        <row r="156">
          <cell r="L156">
            <v>7068430</v>
          </cell>
        </row>
        <row r="157">
          <cell r="L157">
            <v>7084123</v>
          </cell>
        </row>
        <row r="158">
          <cell r="L158">
            <v>7017785</v>
          </cell>
        </row>
        <row r="159">
          <cell r="L159">
            <v>7068422</v>
          </cell>
        </row>
        <row r="160">
          <cell r="L160">
            <v>7060031</v>
          </cell>
        </row>
        <row r="161">
          <cell r="L161">
            <v>7117726</v>
          </cell>
        </row>
        <row r="162">
          <cell r="L162">
            <v>7033417</v>
          </cell>
        </row>
        <row r="163">
          <cell r="L163">
            <v>7104907</v>
          </cell>
        </row>
        <row r="164">
          <cell r="L164">
            <v>7080403</v>
          </cell>
        </row>
        <row r="165">
          <cell r="L165">
            <v>7100876</v>
          </cell>
        </row>
        <row r="166">
          <cell r="L166">
            <v>7021972</v>
          </cell>
        </row>
        <row r="167">
          <cell r="L167">
            <v>7006188</v>
          </cell>
        </row>
        <row r="168">
          <cell r="L168">
            <v>7102397</v>
          </cell>
        </row>
        <row r="169">
          <cell r="L169">
            <v>7004369</v>
          </cell>
        </row>
        <row r="170">
          <cell r="L170">
            <v>7078152</v>
          </cell>
        </row>
        <row r="171">
          <cell r="L171">
            <v>7081764</v>
          </cell>
        </row>
        <row r="172">
          <cell r="L172">
            <v>7019974</v>
          </cell>
        </row>
        <row r="173">
          <cell r="L173">
            <v>7097216</v>
          </cell>
        </row>
        <row r="174">
          <cell r="L174">
            <v>7121852</v>
          </cell>
        </row>
        <row r="175">
          <cell r="L175">
            <v>7076958</v>
          </cell>
        </row>
        <row r="176">
          <cell r="L176">
            <v>7127647</v>
          </cell>
        </row>
        <row r="177">
          <cell r="L177">
            <v>7120418</v>
          </cell>
        </row>
        <row r="178">
          <cell r="L178">
            <v>7107821</v>
          </cell>
        </row>
        <row r="179">
          <cell r="L179">
            <v>7089024</v>
          </cell>
        </row>
        <row r="180">
          <cell r="L180">
            <v>7105442</v>
          </cell>
        </row>
        <row r="181">
          <cell r="L181">
            <v>7107551</v>
          </cell>
        </row>
        <row r="182">
          <cell r="L182">
            <v>7111321</v>
          </cell>
        </row>
        <row r="183">
          <cell r="L183">
            <v>7124907</v>
          </cell>
        </row>
        <row r="184">
          <cell r="L184">
            <v>7133375</v>
          </cell>
        </row>
        <row r="185">
          <cell r="L185">
            <v>7048885</v>
          </cell>
        </row>
        <row r="186">
          <cell r="L186">
            <v>7109453</v>
          </cell>
        </row>
        <row r="187">
          <cell r="L187">
            <v>7073332</v>
          </cell>
        </row>
        <row r="188">
          <cell r="L188">
            <v>7036096</v>
          </cell>
        </row>
        <row r="189">
          <cell r="L189">
            <v>5174122</v>
          </cell>
        </row>
        <row r="190">
          <cell r="L190">
            <v>7098243</v>
          </cell>
        </row>
        <row r="191">
          <cell r="L191">
            <v>7011451</v>
          </cell>
        </row>
        <row r="192">
          <cell r="L192">
            <v>7142008</v>
          </cell>
        </row>
        <row r="193">
          <cell r="L193">
            <v>7122996</v>
          </cell>
        </row>
        <row r="194">
          <cell r="L194">
            <v>7102399</v>
          </cell>
        </row>
        <row r="195">
          <cell r="L195">
            <v>7127096</v>
          </cell>
        </row>
        <row r="196">
          <cell r="L196">
            <v>7110696</v>
          </cell>
        </row>
        <row r="197">
          <cell r="L197">
            <v>6517269</v>
          </cell>
        </row>
        <row r="198">
          <cell r="L198">
            <v>7147502</v>
          </cell>
        </row>
        <row r="199">
          <cell r="L199">
            <v>7054548</v>
          </cell>
        </row>
        <row r="200">
          <cell r="L200">
            <v>5638022</v>
          </cell>
        </row>
        <row r="201">
          <cell r="L201">
            <v>7067561</v>
          </cell>
        </row>
        <row r="202">
          <cell r="L202">
            <v>7107548</v>
          </cell>
        </row>
        <row r="203">
          <cell r="L203" t="str">
            <v>N/A</v>
          </cell>
        </row>
        <row r="204">
          <cell r="L204">
            <v>7059306</v>
          </cell>
        </row>
        <row r="205">
          <cell r="L205">
            <v>7138219</v>
          </cell>
        </row>
        <row r="206">
          <cell r="L206">
            <v>27714</v>
          </cell>
        </row>
        <row r="207">
          <cell r="L207">
            <v>3469389</v>
          </cell>
        </row>
        <row r="208">
          <cell r="L208">
            <v>7054172</v>
          </cell>
        </row>
        <row r="209">
          <cell r="L209">
            <v>7138939</v>
          </cell>
        </row>
        <row r="210">
          <cell r="L210">
            <v>23189</v>
          </cell>
        </row>
        <row r="211">
          <cell r="L211">
            <v>7141227</v>
          </cell>
        </row>
        <row r="212">
          <cell r="L212">
            <v>7147007</v>
          </cell>
        </row>
        <row r="213">
          <cell r="L213">
            <v>4582588</v>
          </cell>
        </row>
        <row r="214">
          <cell r="L214">
            <v>7146673</v>
          </cell>
        </row>
        <row r="215">
          <cell r="L215">
            <v>7149439</v>
          </cell>
        </row>
        <row r="216">
          <cell r="L216">
            <v>7079706</v>
          </cell>
        </row>
        <row r="217">
          <cell r="L217">
            <v>7130622</v>
          </cell>
        </row>
        <row r="218">
          <cell r="L218">
            <v>5942543</v>
          </cell>
        </row>
        <row r="219">
          <cell r="L219">
            <v>7126793</v>
          </cell>
        </row>
        <row r="220">
          <cell r="L220">
            <v>7153516</v>
          </cell>
        </row>
        <row r="221">
          <cell r="L221">
            <v>6472799</v>
          </cell>
        </row>
        <row r="222">
          <cell r="L222">
            <v>7068421</v>
          </cell>
        </row>
        <row r="223">
          <cell r="L223">
            <v>7151239</v>
          </cell>
        </row>
        <row r="224">
          <cell r="L224">
            <v>7025708</v>
          </cell>
        </row>
        <row r="225">
          <cell r="L225">
            <v>7133494</v>
          </cell>
        </row>
        <row r="226">
          <cell r="L226">
            <v>7125876</v>
          </cell>
        </row>
        <row r="227">
          <cell r="L227">
            <v>7108556</v>
          </cell>
        </row>
        <row r="228">
          <cell r="L228">
            <v>7108656</v>
          </cell>
        </row>
        <row r="229">
          <cell r="L229">
            <v>19007</v>
          </cell>
        </row>
        <row r="230">
          <cell r="L230">
            <v>7143863</v>
          </cell>
        </row>
        <row r="231">
          <cell r="L231">
            <v>7149237</v>
          </cell>
        </row>
        <row r="232">
          <cell r="L232">
            <v>7122057</v>
          </cell>
        </row>
        <row r="233">
          <cell r="L233">
            <v>7087303</v>
          </cell>
        </row>
        <row r="234">
          <cell r="L234">
            <v>22609</v>
          </cell>
        </row>
        <row r="235">
          <cell r="L235">
            <v>14181</v>
          </cell>
        </row>
        <row r="236">
          <cell r="L236" t="str">
            <v>N/A</v>
          </cell>
        </row>
        <row r="237">
          <cell r="L237">
            <v>7029505</v>
          </cell>
        </row>
        <row r="238">
          <cell r="L238">
            <v>7063694</v>
          </cell>
        </row>
        <row r="239">
          <cell r="L239">
            <v>7118356</v>
          </cell>
        </row>
        <row r="240">
          <cell r="L240">
            <v>7016161</v>
          </cell>
        </row>
        <row r="241">
          <cell r="L241">
            <v>7024758</v>
          </cell>
        </row>
        <row r="242">
          <cell r="L242">
            <v>3350395</v>
          </cell>
        </row>
        <row r="243">
          <cell r="L243">
            <v>7125088</v>
          </cell>
        </row>
        <row r="244">
          <cell r="L244">
            <v>7056332</v>
          </cell>
        </row>
        <row r="245">
          <cell r="L245">
            <v>15960</v>
          </cell>
        </row>
        <row r="246">
          <cell r="L246">
            <v>27817</v>
          </cell>
        </row>
        <row r="247">
          <cell r="L247">
            <v>43073</v>
          </cell>
        </row>
        <row r="248">
          <cell r="L248">
            <v>7128814</v>
          </cell>
        </row>
        <row r="249">
          <cell r="L249">
            <v>4490766</v>
          </cell>
        </row>
        <row r="250">
          <cell r="L250" t="str">
            <v>N/A</v>
          </cell>
        </row>
        <row r="251">
          <cell r="L251">
            <v>7063743</v>
          </cell>
        </row>
        <row r="252">
          <cell r="L252">
            <v>25400</v>
          </cell>
        </row>
        <row r="253">
          <cell r="L253">
            <v>23938</v>
          </cell>
        </row>
        <row r="254">
          <cell r="L254">
            <v>27721</v>
          </cell>
        </row>
        <row r="255">
          <cell r="L255">
            <v>31054</v>
          </cell>
        </row>
        <row r="256">
          <cell r="L256">
            <v>29080</v>
          </cell>
        </row>
        <row r="257">
          <cell r="L257">
            <v>32015</v>
          </cell>
        </row>
        <row r="258">
          <cell r="L258">
            <v>24016</v>
          </cell>
        </row>
        <row r="259">
          <cell r="L259">
            <v>27862</v>
          </cell>
        </row>
        <row r="260">
          <cell r="L260">
            <v>31047</v>
          </cell>
        </row>
        <row r="261">
          <cell r="L261">
            <v>31982</v>
          </cell>
        </row>
        <row r="264">
          <cell r="L264">
            <v>31999</v>
          </cell>
        </row>
        <row r="265">
          <cell r="L265">
            <v>7036006</v>
          </cell>
        </row>
        <row r="266">
          <cell r="L266">
            <v>27738</v>
          </cell>
        </row>
        <row r="267">
          <cell r="L267">
            <v>27879</v>
          </cell>
        </row>
        <row r="270">
          <cell r="L270">
            <v>30983</v>
          </cell>
        </row>
        <row r="271">
          <cell r="L271">
            <v>38583</v>
          </cell>
        </row>
        <row r="273">
          <cell r="L273">
            <v>31078</v>
          </cell>
        </row>
        <row r="274">
          <cell r="L274">
            <v>7053138</v>
          </cell>
        </row>
        <row r="275">
          <cell r="L275">
            <v>7054933</v>
          </cell>
        </row>
        <row r="276">
          <cell r="L276">
            <v>7054932</v>
          </cell>
        </row>
        <row r="277">
          <cell r="L277">
            <v>7054928</v>
          </cell>
        </row>
        <row r="278">
          <cell r="L278">
            <v>7054936</v>
          </cell>
        </row>
        <row r="279">
          <cell r="L279">
            <v>7054935</v>
          </cell>
        </row>
        <row r="280">
          <cell r="L280" t="str">
            <v>N/A</v>
          </cell>
        </row>
        <row r="281">
          <cell r="L281">
            <v>7054927</v>
          </cell>
        </row>
        <row r="282">
          <cell r="L282">
            <v>7054929</v>
          </cell>
        </row>
        <row r="283">
          <cell r="L283">
            <v>7057211</v>
          </cell>
        </row>
        <row r="284">
          <cell r="L284">
            <v>7054931</v>
          </cell>
        </row>
        <row r="285">
          <cell r="L285">
            <v>7054930</v>
          </cell>
        </row>
        <row r="286">
          <cell r="L286">
            <v>7148126</v>
          </cell>
        </row>
        <row r="287">
          <cell r="L287">
            <v>5942543</v>
          </cell>
        </row>
        <row r="288">
          <cell r="L288">
            <v>7119315</v>
          </cell>
        </row>
        <row r="289">
          <cell r="L289">
            <v>7104628</v>
          </cell>
        </row>
        <row r="290">
          <cell r="L290">
            <v>7123203</v>
          </cell>
        </row>
        <row r="291">
          <cell r="L291">
            <v>6605236</v>
          </cell>
        </row>
        <row r="292">
          <cell r="L292">
            <v>3407011</v>
          </cell>
        </row>
        <row r="293">
          <cell r="L293">
            <v>3406988</v>
          </cell>
        </row>
        <row r="294">
          <cell r="L294">
            <v>6590815</v>
          </cell>
        </row>
        <row r="295">
          <cell r="L295">
            <v>5627789</v>
          </cell>
        </row>
        <row r="296">
          <cell r="L296">
            <v>7087777</v>
          </cell>
        </row>
        <row r="297">
          <cell r="L297">
            <v>42964</v>
          </cell>
        </row>
        <row r="298">
          <cell r="L298">
            <v>2672885</v>
          </cell>
        </row>
        <row r="299">
          <cell r="L299">
            <v>7008232</v>
          </cell>
        </row>
        <row r="300">
          <cell r="L300">
            <v>120556</v>
          </cell>
        </row>
        <row r="301">
          <cell r="L301">
            <v>5869860</v>
          </cell>
        </row>
        <row r="302">
          <cell r="L302">
            <v>22025</v>
          </cell>
        </row>
        <row r="303">
          <cell r="L303">
            <v>2986399</v>
          </cell>
        </row>
        <row r="304">
          <cell r="L304">
            <v>25280</v>
          </cell>
        </row>
        <row r="305">
          <cell r="L305">
            <v>21105</v>
          </cell>
        </row>
        <row r="306">
          <cell r="L306">
            <v>1431</v>
          </cell>
        </row>
        <row r="307">
          <cell r="L307">
            <v>29499</v>
          </cell>
        </row>
        <row r="308">
          <cell r="L308">
            <v>30639</v>
          </cell>
        </row>
        <row r="309">
          <cell r="L309">
            <v>5937510</v>
          </cell>
        </row>
        <row r="310">
          <cell r="L310">
            <v>1101763</v>
          </cell>
        </row>
        <row r="311">
          <cell r="L311">
            <v>22324</v>
          </cell>
        </row>
        <row r="312">
          <cell r="L312">
            <v>5910977</v>
          </cell>
        </row>
        <row r="313">
          <cell r="L313">
            <v>6186078</v>
          </cell>
        </row>
        <row r="314">
          <cell r="L314">
            <v>4705190</v>
          </cell>
        </row>
        <row r="315">
          <cell r="L315">
            <v>27965</v>
          </cell>
        </row>
        <row r="316">
          <cell r="L316">
            <v>7019316</v>
          </cell>
        </row>
        <row r="317">
          <cell r="L317">
            <v>2430948</v>
          </cell>
        </row>
        <row r="318">
          <cell r="L318">
            <v>108389</v>
          </cell>
        </row>
        <row r="319">
          <cell r="L319">
            <v>6463818</v>
          </cell>
        </row>
        <row r="320">
          <cell r="L320">
            <v>1537904</v>
          </cell>
        </row>
        <row r="321">
          <cell r="L321">
            <v>7102440</v>
          </cell>
        </row>
        <row r="322">
          <cell r="L322">
            <v>5869877</v>
          </cell>
        </row>
        <row r="323">
          <cell r="L323">
            <v>7068806</v>
          </cell>
        </row>
        <row r="324">
          <cell r="L324">
            <v>5037070</v>
          </cell>
        </row>
        <row r="325">
          <cell r="L325">
            <v>7091509</v>
          </cell>
        </row>
        <row r="326">
          <cell r="L326">
            <v>7109317</v>
          </cell>
        </row>
        <row r="327">
          <cell r="L327">
            <v>6550556</v>
          </cell>
        </row>
        <row r="328">
          <cell r="L328">
            <v>4026635</v>
          </cell>
        </row>
        <row r="329">
          <cell r="L329">
            <v>7111925</v>
          </cell>
        </row>
        <row r="330">
          <cell r="L330">
            <v>3287884</v>
          </cell>
        </row>
        <row r="331">
          <cell r="L331">
            <v>6129798</v>
          </cell>
        </row>
        <row r="332">
          <cell r="L332">
            <v>1156</v>
          </cell>
        </row>
        <row r="333">
          <cell r="L333">
            <v>21545</v>
          </cell>
        </row>
        <row r="334">
          <cell r="L334">
            <v>107816</v>
          </cell>
        </row>
        <row r="335">
          <cell r="L335">
            <v>2978857</v>
          </cell>
        </row>
        <row r="336">
          <cell r="L336">
            <v>31762</v>
          </cell>
        </row>
        <row r="337">
          <cell r="L337">
            <v>5869884</v>
          </cell>
        </row>
        <row r="338">
          <cell r="L338">
            <v>25297</v>
          </cell>
        </row>
        <row r="339">
          <cell r="L339">
            <v>23914</v>
          </cell>
        </row>
        <row r="340">
          <cell r="L340">
            <v>7074703</v>
          </cell>
        </row>
        <row r="341">
          <cell r="L341">
            <v>2328610</v>
          </cell>
        </row>
        <row r="342">
          <cell r="L342">
            <v>26399</v>
          </cell>
        </row>
        <row r="343">
          <cell r="L343">
            <v>25376</v>
          </cell>
        </row>
        <row r="344">
          <cell r="L344">
            <v>148576</v>
          </cell>
        </row>
        <row r="345">
          <cell r="L345">
            <v>7121850</v>
          </cell>
        </row>
        <row r="346">
          <cell r="L346">
            <v>6223539</v>
          </cell>
        </row>
        <row r="347">
          <cell r="L347">
            <v>23206</v>
          </cell>
        </row>
        <row r="348">
          <cell r="L348">
            <v>5635850</v>
          </cell>
        </row>
        <row r="349">
          <cell r="L349">
            <v>1045238</v>
          </cell>
        </row>
        <row r="350">
          <cell r="L350">
            <v>16787</v>
          </cell>
        </row>
        <row r="351">
          <cell r="L351">
            <v>6223577</v>
          </cell>
        </row>
        <row r="352">
          <cell r="L352">
            <v>33935</v>
          </cell>
        </row>
        <row r="353">
          <cell r="L353">
            <v>117947</v>
          </cell>
        </row>
        <row r="354">
          <cell r="L354">
            <v>18448</v>
          </cell>
        </row>
        <row r="355">
          <cell r="L355">
            <v>1527</v>
          </cell>
        </row>
        <row r="356">
          <cell r="L356">
            <v>24133</v>
          </cell>
        </row>
        <row r="357">
          <cell r="L357">
            <v>6428853</v>
          </cell>
        </row>
        <row r="358">
          <cell r="L358">
            <v>7065990</v>
          </cell>
        </row>
        <row r="359">
          <cell r="L359">
            <v>7002032</v>
          </cell>
        </row>
        <row r="360">
          <cell r="L360">
            <v>2397964</v>
          </cell>
        </row>
        <row r="361">
          <cell r="L361">
            <v>78835</v>
          </cell>
        </row>
        <row r="362">
          <cell r="L362">
            <v>4611992</v>
          </cell>
        </row>
        <row r="363">
          <cell r="L363">
            <v>137178</v>
          </cell>
        </row>
        <row r="364">
          <cell r="L364">
            <v>7044259</v>
          </cell>
        </row>
        <row r="365">
          <cell r="L365">
            <v>1564362</v>
          </cell>
        </row>
        <row r="366">
          <cell r="L366">
            <v>47017</v>
          </cell>
        </row>
        <row r="367">
          <cell r="L367">
            <v>917491</v>
          </cell>
        </row>
        <row r="368">
          <cell r="L368">
            <v>4543620</v>
          </cell>
        </row>
        <row r="369">
          <cell r="L369">
            <v>5875153</v>
          </cell>
        </row>
        <row r="370">
          <cell r="L370">
            <v>1352</v>
          </cell>
        </row>
        <row r="371">
          <cell r="L371">
            <v>25417</v>
          </cell>
        </row>
        <row r="372">
          <cell r="L372">
            <v>3940963</v>
          </cell>
        </row>
        <row r="373">
          <cell r="L373">
            <v>4514635</v>
          </cell>
        </row>
        <row r="374">
          <cell r="L374">
            <v>1390</v>
          </cell>
        </row>
        <row r="375">
          <cell r="L375">
            <v>27707</v>
          </cell>
        </row>
        <row r="376">
          <cell r="L376">
            <v>11483</v>
          </cell>
        </row>
        <row r="377">
          <cell r="L377">
            <v>6167640</v>
          </cell>
        </row>
        <row r="378">
          <cell r="L378">
            <v>23426</v>
          </cell>
        </row>
        <row r="379">
          <cell r="L379">
            <v>22094</v>
          </cell>
        </row>
        <row r="380">
          <cell r="L380">
            <v>6454621</v>
          </cell>
        </row>
        <row r="381">
          <cell r="L381">
            <v>1259</v>
          </cell>
        </row>
        <row r="382">
          <cell r="L382">
            <v>7115744</v>
          </cell>
        </row>
        <row r="383">
          <cell r="L383">
            <v>6367165</v>
          </cell>
        </row>
        <row r="384">
          <cell r="L384">
            <v>27893</v>
          </cell>
        </row>
        <row r="385">
          <cell r="L385">
            <v>31315</v>
          </cell>
        </row>
        <row r="386">
          <cell r="L386">
            <v>4196651</v>
          </cell>
        </row>
        <row r="387">
          <cell r="L387">
            <v>106879</v>
          </cell>
        </row>
        <row r="388">
          <cell r="L388">
            <v>4243463</v>
          </cell>
        </row>
        <row r="389">
          <cell r="L389">
            <v>2332149</v>
          </cell>
        </row>
        <row r="390">
          <cell r="L390">
            <v>6214751</v>
          </cell>
        </row>
        <row r="391">
          <cell r="L391">
            <v>31669</v>
          </cell>
        </row>
        <row r="392">
          <cell r="L392">
            <v>39441</v>
          </cell>
        </row>
        <row r="393">
          <cell r="L393">
            <v>85158</v>
          </cell>
        </row>
        <row r="394">
          <cell r="L394">
            <v>839225</v>
          </cell>
        </row>
        <row r="395">
          <cell r="L395">
            <v>38002</v>
          </cell>
        </row>
        <row r="396">
          <cell r="L396">
            <v>32008</v>
          </cell>
        </row>
        <row r="397">
          <cell r="L397">
            <v>3709898</v>
          </cell>
        </row>
        <row r="398">
          <cell r="L398">
            <v>626713</v>
          </cell>
        </row>
        <row r="399">
          <cell r="L399">
            <v>2489542</v>
          </cell>
        </row>
        <row r="400">
          <cell r="L400">
            <v>120824</v>
          </cell>
        </row>
        <row r="401">
          <cell r="L401">
            <v>2650429</v>
          </cell>
        </row>
        <row r="402">
          <cell r="L402">
            <v>2177476</v>
          </cell>
        </row>
        <row r="403">
          <cell r="L403">
            <v>2492216</v>
          </cell>
        </row>
        <row r="404">
          <cell r="L404">
            <v>7027887</v>
          </cell>
        </row>
        <row r="405">
          <cell r="L405">
            <v>5469291</v>
          </cell>
        </row>
        <row r="406">
          <cell r="L406">
            <v>7139866</v>
          </cell>
        </row>
        <row r="407">
          <cell r="L407">
            <v>5232617</v>
          </cell>
        </row>
        <row r="408">
          <cell r="L408">
            <v>4775010</v>
          </cell>
        </row>
        <row r="409">
          <cell r="L409">
            <v>3818569</v>
          </cell>
        </row>
        <row r="410">
          <cell r="L410">
            <v>465840</v>
          </cell>
        </row>
        <row r="411">
          <cell r="L411">
            <v>5384338</v>
          </cell>
        </row>
        <row r="412">
          <cell r="L412">
            <v>7100964</v>
          </cell>
        </row>
        <row r="413">
          <cell r="L413">
            <v>7133285</v>
          </cell>
        </row>
        <row r="414">
          <cell r="L414">
            <v>7138599</v>
          </cell>
        </row>
        <row r="415">
          <cell r="L415">
            <v>7105729</v>
          </cell>
        </row>
        <row r="416">
          <cell r="L416">
            <v>7122177</v>
          </cell>
        </row>
        <row r="417">
          <cell r="L417">
            <v>3373437</v>
          </cell>
        </row>
        <row r="418">
          <cell r="L418">
            <v>10769</v>
          </cell>
        </row>
        <row r="419">
          <cell r="L419">
            <v>18723</v>
          </cell>
        </row>
        <row r="420">
          <cell r="L420">
            <v>7111321</v>
          </cell>
        </row>
        <row r="421">
          <cell r="L421">
            <v>7050416</v>
          </cell>
        </row>
        <row r="422">
          <cell r="L422">
            <v>7016161</v>
          </cell>
        </row>
        <row r="423">
          <cell r="L423">
            <v>4930752</v>
          </cell>
        </row>
        <row r="424">
          <cell r="L424">
            <v>7065053</v>
          </cell>
        </row>
        <row r="425">
          <cell r="L425">
            <v>1540719</v>
          </cell>
        </row>
        <row r="426">
          <cell r="L426">
            <v>4779872</v>
          </cell>
        </row>
        <row r="427">
          <cell r="L427">
            <v>7136448</v>
          </cell>
        </row>
        <row r="428">
          <cell r="L428">
            <v>3540703</v>
          </cell>
        </row>
        <row r="429">
          <cell r="L429">
            <v>4674207</v>
          </cell>
        </row>
        <row r="430">
          <cell r="L430">
            <v>1083764</v>
          </cell>
        </row>
        <row r="431">
          <cell r="L431">
            <v>7108951</v>
          </cell>
        </row>
        <row r="432">
          <cell r="L432">
            <v>7067249</v>
          </cell>
        </row>
        <row r="433">
          <cell r="L433">
            <v>5997804</v>
          </cell>
        </row>
        <row r="434">
          <cell r="L434">
            <v>1581778</v>
          </cell>
        </row>
        <row r="435">
          <cell r="L435">
            <v>7023299</v>
          </cell>
        </row>
        <row r="436">
          <cell r="L436">
            <v>2490706</v>
          </cell>
        </row>
        <row r="437">
          <cell r="L437">
            <v>4572938</v>
          </cell>
        </row>
        <row r="438">
          <cell r="L438">
            <v>4108704</v>
          </cell>
        </row>
        <row r="439">
          <cell r="L439">
            <v>5075025</v>
          </cell>
        </row>
        <row r="440">
          <cell r="L440">
            <v>7123436</v>
          </cell>
        </row>
        <row r="441">
          <cell r="L441">
            <v>5783630</v>
          </cell>
        </row>
        <row r="442">
          <cell r="L442">
            <v>7011438</v>
          </cell>
        </row>
        <row r="443">
          <cell r="L443">
            <v>4972837</v>
          </cell>
        </row>
        <row r="444">
          <cell r="L444">
            <v>1585970</v>
          </cell>
        </row>
        <row r="445">
          <cell r="L445">
            <v>7119315</v>
          </cell>
        </row>
        <row r="446">
          <cell r="L446">
            <v>426298</v>
          </cell>
        </row>
        <row r="447">
          <cell r="L447">
            <v>4108797</v>
          </cell>
        </row>
        <row r="448">
          <cell r="L448">
            <v>7129060</v>
          </cell>
        </row>
        <row r="449">
          <cell r="L449">
            <v>30426</v>
          </cell>
        </row>
        <row r="450">
          <cell r="L450">
            <v>4615235</v>
          </cell>
        </row>
        <row r="451">
          <cell r="L451">
            <v>6058450</v>
          </cell>
        </row>
        <row r="452">
          <cell r="L452">
            <v>7098758</v>
          </cell>
        </row>
        <row r="453">
          <cell r="L453">
            <v>27051</v>
          </cell>
        </row>
        <row r="454">
          <cell r="L454">
            <v>78897</v>
          </cell>
        </row>
        <row r="455">
          <cell r="L455">
            <v>3994672</v>
          </cell>
        </row>
        <row r="456">
          <cell r="L456">
            <v>7123068</v>
          </cell>
        </row>
        <row r="457">
          <cell r="L457">
            <v>5060834</v>
          </cell>
        </row>
        <row r="458">
          <cell r="L458">
            <v>5200924</v>
          </cell>
        </row>
        <row r="459">
          <cell r="L459">
            <v>7011436</v>
          </cell>
        </row>
        <row r="460">
          <cell r="L460">
            <v>5925663</v>
          </cell>
        </row>
        <row r="461">
          <cell r="L461">
            <v>7130961</v>
          </cell>
        </row>
        <row r="462">
          <cell r="L462">
            <v>7111932</v>
          </cell>
        </row>
        <row r="463">
          <cell r="L463">
            <v>3217555</v>
          </cell>
        </row>
        <row r="464">
          <cell r="L464">
            <v>5376377</v>
          </cell>
        </row>
        <row r="465">
          <cell r="L465">
            <v>3383788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618D-12DE-4EF7-9EFF-A59D819DCEB6}">
  <dimension ref="A1:E32"/>
  <sheetViews>
    <sheetView workbookViewId="0"/>
  </sheetViews>
  <sheetFormatPr defaultRowHeight="15" x14ac:dyDescent="0.25"/>
  <cols>
    <col min="1" max="1" width="9.85546875" style="3" bestFit="1" customWidth="1"/>
    <col min="3" max="3" width="30.42578125" bestFit="1" customWidth="1"/>
  </cols>
  <sheetData>
    <row r="1" spans="1:5" x14ac:dyDescent="0.25">
      <c r="A1" s="3" t="s">
        <v>364</v>
      </c>
      <c r="B1" s="3" t="s">
        <v>27</v>
      </c>
      <c r="C1" s="3" t="s">
        <v>26</v>
      </c>
      <c r="D1" s="3" t="s">
        <v>51</v>
      </c>
    </row>
    <row r="2" spans="1:5" x14ac:dyDescent="0.25">
      <c r="A2" s="3" t="s">
        <v>367</v>
      </c>
      <c r="B2" s="1">
        <v>1988</v>
      </c>
      <c r="C2" t="s">
        <v>29</v>
      </c>
      <c r="D2">
        <v>11</v>
      </c>
    </row>
    <row r="3" spans="1:5" x14ac:dyDescent="0.25">
      <c r="B3" s="1">
        <v>1990</v>
      </c>
      <c r="C3" t="s">
        <v>30</v>
      </c>
      <c r="D3">
        <v>14</v>
      </c>
    </row>
    <row r="4" spans="1:5" x14ac:dyDescent="0.25">
      <c r="B4" s="1">
        <v>1992</v>
      </c>
      <c r="C4" t="s">
        <v>0</v>
      </c>
      <c r="D4">
        <v>16</v>
      </c>
    </row>
    <row r="5" spans="1:5" x14ac:dyDescent="0.25">
      <c r="B5" s="1">
        <v>1993</v>
      </c>
      <c r="C5" t="s">
        <v>1</v>
      </c>
      <c r="D5">
        <v>14</v>
      </c>
    </row>
    <row r="6" spans="1:5" x14ac:dyDescent="0.25">
      <c r="B6" s="1">
        <v>1994</v>
      </c>
      <c r="C6" t="s">
        <v>2</v>
      </c>
      <c r="D6">
        <v>14</v>
      </c>
    </row>
    <row r="7" spans="1:5" x14ac:dyDescent="0.25">
      <c r="B7" s="1">
        <v>1995</v>
      </c>
      <c r="C7" t="s">
        <v>3</v>
      </c>
      <c r="D7">
        <v>15</v>
      </c>
    </row>
    <row r="8" spans="1:5" x14ac:dyDescent="0.25">
      <c r="B8" s="1">
        <v>1996</v>
      </c>
      <c r="C8" t="s">
        <v>4</v>
      </c>
      <c r="D8">
        <v>15</v>
      </c>
    </row>
    <row r="9" spans="1:5" x14ac:dyDescent="0.25">
      <c r="B9" s="1">
        <v>1997</v>
      </c>
      <c r="C9" t="s">
        <v>5</v>
      </c>
      <c r="D9">
        <v>15</v>
      </c>
    </row>
    <row r="10" spans="1:5" x14ac:dyDescent="0.25">
      <c r="B10" s="1">
        <v>1998</v>
      </c>
      <c r="C10" t="s">
        <v>6</v>
      </c>
      <c r="D10">
        <v>15</v>
      </c>
    </row>
    <row r="11" spans="1:5" x14ac:dyDescent="0.25">
      <c r="B11" s="1">
        <v>1999</v>
      </c>
      <c r="C11" t="s">
        <v>7</v>
      </c>
      <c r="D11">
        <v>14</v>
      </c>
      <c r="E11">
        <f>SUM(D2:D11)</f>
        <v>143</v>
      </c>
    </row>
    <row r="12" spans="1:5" x14ac:dyDescent="0.25">
      <c r="A12" s="3" t="s">
        <v>366</v>
      </c>
      <c r="B12" s="1">
        <v>2000</v>
      </c>
      <c r="C12" t="s">
        <v>8</v>
      </c>
      <c r="D12">
        <v>14</v>
      </c>
    </row>
    <row r="13" spans="1:5" x14ac:dyDescent="0.25">
      <c r="B13" s="1">
        <v>2001</v>
      </c>
      <c r="C13" t="s">
        <v>9</v>
      </c>
      <c r="D13">
        <v>13</v>
      </c>
    </row>
    <row r="14" spans="1:5" x14ac:dyDescent="0.25">
      <c r="B14" s="1">
        <v>2002</v>
      </c>
      <c r="C14" t="s">
        <v>10</v>
      </c>
      <c r="D14">
        <v>14</v>
      </c>
    </row>
    <row r="15" spans="1:5" x14ac:dyDescent="0.25">
      <c r="B15" s="1">
        <v>2003</v>
      </c>
      <c r="C15" t="s">
        <v>11</v>
      </c>
      <c r="D15">
        <v>18</v>
      </c>
    </row>
    <row r="16" spans="1:5" x14ac:dyDescent="0.25">
      <c r="B16" s="1">
        <v>2004</v>
      </c>
      <c r="C16" t="s">
        <v>12</v>
      </c>
      <c r="D16">
        <v>15</v>
      </c>
    </row>
    <row r="17" spans="1:5" x14ac:dyDescent="0.25">
      <c r="B17" s="1">
        <v>2005</v>
      </c>
      <c r="C17" t="s">
        <v>13</v>
      </c>
      <c r="D17">
        <v>15</v>
      </c>
    </row>
    <row r="18" spans="1:5" x14ac:dyDescent="0.25">
      <c r="B18" s="1">
        <v>2006</v>
      </c>
      <c r="C18" t="s">
        <v>14</v>
      </c>
      <c r="D18">
        <v>14</v>
      </c>
    </row>
    <row r="19" spans="1:5" x14ac:dyDescent="0.25">
      <c r="B19" s="1">
        <v>2007</v>
      </c>
      <c r="C19" t="s">
        <v>15</v>
      </c>
      <c r="D19">
        <v>14</v>
      </c>
    </row>
    <row r="20" spans="1:5" x14ac:dyDescent="0.25">
      <c r="B20" s="1">
        <v>2008</v>
      </c>
      <c r="C20" t="s">
        <v>16</v>
      </c>
      <c r="D20">
        <v>16</v>
      </c>
    </row>
    <row r="21" spans="1:5" x14ac:dyDescent="0.25">
      <c r="B21" s="1">
        <v>2009</v>
      </c>
      <c r="C21" t="s">
        <v>17</v>
      </c>
      <c r="D21">
        <v>13</v>
      </c>
      <c r="E21">
        <f>SUM(D12:D21)</f>
        <v>146</v>
      </c>
    </row>
    <row r="22" spans="1:5" x14ac:dyDescent="0.25">
      <c r="A22" s="3" t="s">
        <v>365</v>
      </c>
      <c r="B22" s="1">
        <v>2010</v>
      </c>
      <c r="C22" t="s">
        <v>18</v>
      </c>
      <c r="D22">
        <v>13</v>
      </c>
    </row>
    <row r="23" spans="1:5" x14ac:dyDescent="0.25">
      <c r="B23" s="1">
        <v>2011</v>
      </c>
      <c r="C23" t="s">
        <v>19</v>
      </c>
      <c r="D23">
        <v>13</v>
      </c>
    </row>
    <row r="24" spans="1:5" x14ac:dyDescent="0.25">
      <c r="B24" s="1">
        <v>2012</v>
      </c>
      <c r="C24" t="s">
        <v>20</v>
      </c>
      <c r="D24">
        <v>13</v>
      </c>
    </row>
    <row r="25" spans="1:5" x14ac:dyDescent="0.25">
      <c r="B25" s="1">
        <v>2013</v>
      </c>
      <c r="C25" t="s">
        <v>21</v>
      </c>
      <c r="D25">
        <v>11</v>
      </c>
    </row>
    <row r="26" spans="1:5" x14ac:dyDescent="0.25">
      <c r="B26" s="1">
        <v>2014</v>
      </c>
      <c r="C26" t="s">
        <v>22</v>
      </c>
      <c r="D26">
        <v>11</v>
      </c>
    </row>
    <row r="27" spans="1:5" x14ac:dyDescent="0.25">
      <c r="B27" s="1">
        <v>2015</v>
      </c>
      <c r="C27" t="s">
        <v>23</v>
      </c>
      <c r="D27">
        <v>12</v>
      </c>
    </row>
    <row r="28" spans="1:5" x14ac:dyDescent="0.25">
      <c r="B28" s="1">
        <v>2016</v>
      </c>
      <c r="C28" t="s">
        <v>24</v>
      </c>
      <c r="D28">
        <v>12</v>
      </c>
    </row>
    <row r="29" spans="1:5" x14ac:dyDescent="0.25">
      <c r="B29" s="1">
        <v>2017</v>
      </c>
      <c r="C29" t="s">
        <v>31</v>
      </c>
      <c r="D29">
        <v>12</v>
      </c>
    </row>
    <row r="30" spans="1:5" x14ac:dyDescent="0.25">
      <c r="B30" s="1">
        <v>2018</v>
      </c>
      <c r="C30" t="s">
        <v>25</v>
      </c>
      <c r="D30">
        <v>12</v>
      </c>
    </row>
    <row r="31" spans="1:5" x14ac:dyDescent="0.25">
      <c r="B31" s="1">
        <v>2019</v>
      </c>
      <c r="C31" t="s">
        <v>28</v>
      </c>
      <c r="D31">
        <v>15</v>
      </c>
    </row>
    <row r="32" spans="1:5" x14ac:dyDescent="0.25">
      <c r="B32" s="1">
        <v>2020</v>
      </c>
      <c r="C32" t="s">
        <v>32</v>
      </c>
      <c r="D32">
        <v>12</v>
      </c>
      <c r="E32">
        <f>SUM(D22:D32)</f>
        <v>136</v>
      </c>
    </row>
  </sheetData>
  <autoFilter ref="A1:D1" xr:uid="{BC68CCF6-CEB4-4420-891B-FC57706B10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E50E-6BC8-441C-90CC-9163DBBBBFAC}">
  <dimension ref="A1:K70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.28515625" bestFit="1" customWidth="1"/>
    <col min="3" max="3" width="27.28515625" customWidth="1"/>
    <col min="4" max="4" width="8.7109375" bestFit="1" customWidth="1"/>
    <col min="6" max="6" width="8.42578125" bestFit="1" customWidth="1"/>
    <col min="10" max="10" width="9.140625" style="7"/>
    <col min="11" max="11" width="9.140625" style="10"/>
  </cols>
  <sheetData>
    <row r="1" spans="1:11" x14ac:dyDescent="0.25">
      <c r="A1" s="3" t="s">
        <v>1312</v>
      </c>
      <c r="B1" s="3" t="s">
        <v>1213</v>
      </c>
      <c r="C1" s="3" t="s">
        <v>65</v>
      </c>
      <c r="D1" s="3" t="s">
        <v>1214</v>
      </c>
      <c r="E1" s="3" t="s">
        <v>351</v>
      </c>
      <c r="F1" s="3" t="s">
        <v>1210</v>
      </c>
      <c r="G1" s="3" t="s">
        <v>47</v>
      </c>
      <c r="H1" s="3" t="s">
        <v>49</v>
      </c>
      <c r="I1" s="3" t="s">
        <v>1217</v>
      </c>
      <c r="J1" s="6" t="s">
        <v>1218</v>
      </c>
      <c r="K1" s="9" t="s">
        <v>616</v>
      </c>
    </row>
    <row r="2" spans="1:11" x14ac:dyDescent="0.25">
      <c r="A2">
        <v>1</v>
      </c>
      <c r="B2" s="1">
        <v>1988</v>
      </c>
      <c r="C2" t="s">
        <v>29</v>
      </c>
      <c r="D2">
        <v>11</v>
      </c>
      <c r="E2" t="str">
        <f>IF(COUNTIF(Songs!$C:$C,C2)&gt;0,"","NO")</f>
        <v/>
      </c>
      <c r="F2" t="s">
        <v>1211</v>
      </c>
      <c r="G2" t="s">
        <v>48</v>
      </c>
      <c r="J2" s="7" t="s">
        <v>1228</v>
      </c>
    </row>
    <row r="3" spans="1:11" x14ac:dyDescent="0.25">
      <c r="A3">
        <v>2</v>
      </c>
      <c r="B3" s="1">
        <v>1990</v>
      </c>
      <c r="C3" t="s">
        <v>30</v>
      </c>
      <c r="D3">
        <v>14</v>
      </c>
      <c r="E3" t="str">
        <f>IF(COUNTIF(Songs!$C:$C,C3)&gt;0,"","NO")</f>
        <v/>
      </c>
      <c r="F3" t="s">
        <v>1211</v>
      </c>
      <c r="G3" t="s">
        <v>48</v>
      </c>
      <c r="J3" s="7" t="s">
        <v>1228</v>
      </c>
    </row>
    <row r="4" spans="1:11" x14ac:dyDescent="0.25">
      <c r="A4">
        <v>3</v>
      </c>
      <c r="B4" s="1">
        <v>1992</v>
      </c>
      <c r="C4" t="s">
        <v>0</v>
      </c>
      <c r="D4">
        <v>16</v>
      </c>
      <c r="E4" t="str">
        <f>IF(COUNTIF(Songs!$C:$C,C4)&gt;0,"","NO")</f>
        <v/>
      </c>
      <c r="F4" t="s">
        <v>1211</v>
      </c>
      <c r="G4" t="s">
        <v>50</v>
      </c>
      <c r="J4" s="7" t="s">
        <v>1228</v>
      </c>
    </row>
    <row r="5" spans="1:11" x14ac:dyDescent="0.25">
      <c r="A5">
        <v>4</v>
      </c>
      <c r="B5" s="1">
        <v>1993</v>
      </c>
      <c r="C5" t="s">
        <v>1</v>
      </c>
      <c r="D5">
        <v>14</v>
      </c>
      <c r="E5" t="str">
        <f>IF(COUNTIF(Songs!$C:$C,C5)&gt;0,"","NO")</f>
        <v/>
      </c>
      <c r="F5" t="s">
        <v>1211</v>
      </c>
      <c r="G5" t="s">
        <v>50</v>
      </c>
      <c r="J5" s="7" t="s">
        <v>1228</v>
      </c>
    </row>
    <row r="6" spans="1:11" x14ac:dyDescent="0.25">
      <c r="A6">
        <v>5</v>
      </c>
      <c r="B6" s="1">
        <v>1994</v>
      </c>
      <c r="C6" t="s">
        <v>2</v>
      </c>
      <c r="D6">
        <v>14</v>
      </c>
      <c r="E6" t="str">
        <f>IF(COUNTIF(Songs!$C:$C,C6)&gt;0,"","NO")</f>
        <v/>
      </c>
      <c r="F6" t="s">
        <v>1211</v>
      </c>
      <c r="G6" t="s">
        <v>50</v>
      </c>
      <c r="J6" s="7" t="s">
        <v>1219</v>
      </c>
    </row>
    <row r="7" spans="1:11" x14ac:dyDescent="0.25">
      <c r="A7">
        <v>6</v>
      </c>
      <c r="B7" s="1">
        <v>1995</v>
      </c>
      <c r="C7" t="s">
        <v>3</v>
      </c>
      <c r="D7">
        <v>15</v>
      </c>
      <c r="E7" t="str">
        <f>IF(COUNTIF(Songs!$C:$C,C7)&gt;0,"","NO")</f>
        <v/>
      </c>
      <c r="F7" t="s">
        <v>1211</v>
      </c>
      <c r="G7" t="s">
        <v>50</v>
      </c>
      <c r="J7" s="7" t="s">
        <v>1219</v>
      </c>
    </row>
    <row r="8" spans="1:11" x14ac:dyDescent="0.25">
      <c r="A8">
        <v>7</v>
      </c>
      <c r="B8" s="1">
        <v>1996</v>
      </c>
      <c r="C8" t="s">
        <v>4</v>
      </c>
      <c r="D8">
        <v>15</v>
      </c>
      <c r="E8" t="str">
        <f>IF(COUNTIF(Songs!$C:$C,C8)&gt;0,"","NO")</f>
        <v/>
      </c>
      <c r="F8" t="s">
        <v>1211</v>
      </c>
      <c r="G8" t="s">
        <v>50</v>
      </c>
      <c r="J8" s="7" t="s">
        <v>1219</v>
      </c>
    </row>
    <row r="9" spans="1:11" x14ac:dyDescent="0.25">
      <c r="A9">
        <v>8</v>
      </c>
      <c r="B9" s="1">
        <v>1996</v>
      </c>
      <c r="C9" t="s">
        <v>46</v>
      </c>
      <c r="D9">
        <v>16</v>
      </c>
      <c r="E9" t="str">
        <f>IF(COUNTIF(Songs!$C:$C,C9)&gt;0,"","NO")</f>
        <v/>
      </c>
      <c r="F9" t="s">
        <v>1211</v>
      </c>
      <c r="G9" t="s">
        <v>50</v>
      </c>
      <c r="J9" s="7" t="s">
        <v>1219</v>
      </c>
    </row>
    <row r="10" spans="1:11" x14ac:dyDescent="0.25">
      <c r="A10">
        <v>9</v>
      </c>
      <c r="B10" s="1">
        <v>1996</v>
      </c>
      <c r="C10" t="s">
        <v>44</v>
      </c>
      <c r="D10">
        <v>12</v>
      </c>
      <c r="E10" t="str">
        <f>IF(COUNTIF(Songs!$C:$C,C10)&gt;0,"","NO")</f>
        <v/>
      </c>
      <c r="F10" t="s">
        <v>1211</v>
      </c>
      <c r="G10" t="s">
        <v>50</v>
      </c>
      <c r="J10" s="7" t="s">
        <v>1219</v>
      </c>
    </row>
    <row r="11" spans="1:11" x14ac:dyDescent="0.25">
      <c r="A11">
        <v>10</v>
      </c>
      <c r="B11" s="1">
        <v>1997</v>
      </c>
      <c r="C11" t="s">
        <v>5</v>
      </c>
      <c r="D11">
        <v>15</v>
      </c>
      <c r="E11" t="str">
        <f>IF(COUNTIF(Songs!$C:$C,C11)&gt;0,"","NO")</f>
        <v/>
      </c>
      <c r="F11" t="s">
        <v>1211</v>
      </c>
      <c r="G11" t="s">
        <v>50</v>
      </c>
      <c r="J11" s="7" t="s">
        <v>1219</v>
      </c>
    </row>
    <row r="12" spans="1:11" x14ac:dyDescent="0.25">
      <c r="A12">
        <v>11</v>
      </c>
      <c r="B12" s="1">
        <v>1997</v>
      </c>
      <c r="C12" t="s">
        <v>45</v>
      </c>
      <c r="D12">
        <v>12</v>
      </c>
      <c r="E12" t="str">
        <f>IF(COUNTIF(Songs!$C:$C,C12)&gt;0,"","NO")</f>
        <v/>
      </c>
      <c r="F12" t="s">
        <v>1211</v>
      </c>
      <c r="G12" t="s">
        <v>50</v>
      </c>
      <c r="J12" s="7" t="s">
        <v>1219</v>
      </c>
    </row>
    <row r="13" spans="1:11" x14ac:dyDescent="0.25">
      <c r="A13">
        <v>12</v>
      </c>
      <c r="B13" s="1">
        <v>1998</v>
      </c>
      <c r="C13" t="s">
        <v>1229</v>
      </c>
      <c r="D13">
        <v>16</v>
      </c>
      <c r="E13" t="str">
        <f>IF(COUNTIF(Songs!$C:$C,C13)&gt;0,"","NO")</f>
        <v/>
      </c>
      <c r="F13" t="s">
        <v>1211</v>
      </c>
      <c r="G13" t="s">
        <v>50</v>
      </c>
      <c r="J13" s="7" t="s">
        <v>1228</v>
      </c>
    </row>
    <row r="14" spans="1:11" x14ac:dyDescent="0.25">
      <c r="A14">
        <v>13</v>
      </c>
      <c r="B14" s="1">
        <v>1998</v>
      </c>
      <c r="C14" t="s">
        <v>43</v>
      </c>
      <c r="D14">
        <v>12</v>
      </c>
      <c r="E14" t="str">
        <f>IF(COUNTIF(Songs!$C:$C,C14)&gt;0,"","NO")</f>
        <v/>
      </c>
      <c r="F14" t="s">
        <v>1211</v>
      </c>
      <c r="G14" t="s">
        <v>50</v>
      </c>
      <c r="J14" s="7" t="s">
        <v>1219</v>
      </c>
    </row>
    <row r="15" spans="1:11" x14ac:dyDescent="0.25">
      <c r="A15">
        <v>14</v>
      </c>
      <c r="B15" s="1">
        <v>1998</v>
      </c>
      <c r="C15" t="s">
        <v>6</v>
      </c>
      <c r="D15">
        <v>15</v>
      </c>
      <c r="E15" t="str">
        <f>IF(COUNTIF(Songs!$C:$C,C15)&gt;0,"","NO")</f>
        <v/>
      </c>
      <c r="F15" t="s">
        <v>1211</v>
      </c>
      <c r="G15" t="s">
        <v>50</v>
      </c>
      <c r="J15" s="7" t="s">
        <v>1219</v>
      </c>
    </row>
    <row r="16" spans="1:11" x14ac:dyDescent="0.25">
      <c r="A16">
        <v>15</v>
      </c>
      <c r="B16" s="1">
        <v>1999</v>
      </c>
      <c r="C16" t="s">
        <v>7</v>
      </c>
      <c r="D16">
        <v>14</v>
      </c>
      <c r="E16" t="str">
        <f>IF(COUNTIF(Songs!$C:$C,C16)&gt;0,"","NO")</f>
        <v/>
      </c>
      <c r="F16" t="s">
        <v>1211</v>
      </c>
      <c r="G16" t="s">
        <v>50</v>
      </c>
      <c r="J16" s="7" t="s">
        <v>1219</v>
      </c>
    </row>
    <row r="17" spans="1:10" x14ac:dyDescent="0.25">
      <c r="A17">
        <v>16</v>
      </c>
      <c r="B17">
        <v>1999</v>
      </c>
      <c r="C17" t="s">
        <v>542</v>
      </c>
      <c r="D17">
        <v>10</v>
      </c>
      <c r="E17" t="str">
        <f>IF(COUNTIF(Songs!$C:$C,C17)&gt;0,"","NO")</f>
        <v/>
      </c>
      <c r="F17" t="s">
        <v>1212</v>
      </c>
      <c r="G17" t="s">
        <v>50</v>
      </c>
      <c r="J17" s="7" t="s">
        <v>1219</v>
      </c>
    </row>
    <row r="18" spans="1:10" x14ac:dyDescent="0.25">
      <c r="A18">
        <v>17</v>
      </c>
      <c r="B18" s="1">
        <v>1999</v>
      </c>
      <c r="C18" t="s">
        <v>42</v>
      </c>
      <c r="D18">
        <v>10</v>
      </c>
      <c r="E18" t="str">
        <f>IF(COUNTIF(Songs!$C:$C,C18)&gt;0,"","NO")</f>
        <v>NO</v>
      </c>
      <c r="F18" t="s">
        <v>1211</v>
      </c>
      <c r="G18" t="s">
        <v>50</v>
      </c>
      <c r="H18" t="s">
        <v>1186</v>
      </c>
      <c r="I18" t="s">
        <v>1217</v>
      </c>
      <c r="J18" s="7" t="s">
        <v>1219</v>
      </c>
    </row>
    <row r="19" spans="1:10" x14ac:dyDescent="0.25">
      <c r="A19">
        <v>18</v>
      </c>
      <c r="B19">
        <v>2000</v>
      </c>
      <c r="C19" t="s">
        <v>659</v>
      </c>
      <c r="D19">
        <v>10</v>
      </c>
      <c r="E19" t="str">
        <f>IF(COUNTIF(Songs!$C:$C,C19)&gt;0,"","NO")</f>
        <v/>
      </c>
      <c r="F19" t="s">
        <v>1212</v>
      </c>
      <c r="G19" t="s">
        <v>50</v>
      </c>
      <c r="J19" s="7" t="s">
        <v>1219</v>
      </c>
    </row>
    <row r="20" spans="1:10" x14ac:dyDescent="0.25">
      <c r="A20">
        <v>19</v>
      </c>
      <c r="B20" s="1">
        <v>2000</v>
      </c>
      <c r="C20" t="s">
        <v>8</v>
      </c>
      <c r="D20">
        <v>14</v>
      </c>
      <c r="E20" t="str">
        <f>IF(COUNTIF(Songs!$C:$C,C20)&gt;0,"","NO")</f>
        <v/>
      </c>
      <c r="F20" t="s">
        <v>1211</v>
      </c>
      <c r="G20" t="s">
        <v>50</v>
      </c>
      <c r="J20" s="7" t="s">
        <v>1219</v>
      </c>
    </row>
    <row r="21" spans="1:10" x14ac:dyDescent="0.25">
      <c r="A21">
        <v>20</v>
      </c>
      <c r="B21" s="1">
        <v>2000</v>
      </c>
      <c r="C21" t="s">
        <v>41</v>
      </c>
      <c r="D21">
        <v>12</v>
      </c>
      <c r="E21" t="str">
        <f>IF(COUNTIF(Songs!$C:$C,C21)&gt;0,"","NO")</f>
        <v/>
      </c>
      <c r="F21" t="s">
        <v>1211</v>
      </c>
      <c r="G21" t="s">
        <v>50</v>
      </c>
      <c r="J21" s="7" t="s">
        <v>1219</v>
      </c>
    </row>
    <row r="22" spans="1:10" x14ac:dyDescent="0.25">
      <c r="A22">
        <v>21</v>
      </c>
      <c r="B22" s="1">
        <v>2001</v>
      </c>
      <c r="C22" t="s">
        <v>353</v>
      </c>
      <c r="D22">
        <v>14</v>
      </c>
      <c r="E22" t="str">
        <f>IF(COUNTIF(Songs!$C:$C,C22)&gt;0,"","NO")</f>
        <v/>
      </c>
      <c r="F22" t="s">
        <v>1211</v>
      </c>
      <c r="G22" t="s">
        <v>50</v>
      </c>
      <c r="H22" t="s">
        <v>353</v>
      </c>
      <c r="J22" s="7" t="s">
        <v>1219</v>
      </c>
    </row>
    <row r="23" spans="1:10" x14ac:dyDescent="0.25">
      <c r="A23">
        <v>22</v>
      </c>
      <c r="B23">
        <v>2001</v>
      </c>
      <c r="C23" t="s">
        <v>507</v>
      </c>
      <c r="D23">
        <v>11</v>
      </c>
      <c r="E23" t="str">
        <f>IF(COUNTIF(Songs!$C:$C,C23)&gt;0,"","NO")</f>
        <v/>
      </c>
      <c r="F23" t="s">
        <v>1212</v>
      </c>
      <c r="G23" t="s">
        <v>50</v>
      </c>
      <c r="J23" s="7" t="s">
        <v>1219</v>
      </c>
    </row>
    <row r="24" spans="1:10" x14ac:dyDescent="0.25">
      <c r="A24">
        <v>23</v>
      </c>
      <c r="B24" s="1">
        <v>2001</v>
      </c>
      <c r="C24" t="s">
        <v>9</v>
      </c>
      <c r="D24">
        <v>13</v>
      </c>
      <c r="E24" t="str">
        <f>IF(COUNTIF(Songs!$C:$C,C24)&gt;0,"","NO")</f>
        <v/>
      </c>
      <c r="F24" t="s">
        <v>1211</v>
      </c>
      <c r="G24" t="s">
        <v>50</v>
      </c>
      <c r="J24" s="7" t="s">
        <v>1219</v>
      </c>
    </row>
    <row r="25" spans="1:10" x14ac:dyDescent="0.25">
      <c r="A25">
        <v>24</v>
      </c>
      <c r="B25" s="1">
        <v>2002</v>
      </c>
      <c r="C25" t="s">
        <v>10</v>
      </c>
      <c r="D25">
        <v>14</v>
      </c>
      <c r="E25" t="str">
        <f>IF(COUNTIF(Songs!$C:$C,C25)&gt;0,"","NO")</f>
        <v/>
      </c>
      <c r="F25" t="s">
        <v>1211</v>
      </c>
      <c r="G25" t="s">
        <v>50</v>
      </c>
      <c r="J25" s="7" t="s">
        <v>1219</v>
      </c>
    </row>
    <row r="26" spans="1:10" x14ac:dyDescent="0.25">
      <c r="A26">
        <v>25</v>
      </c>
      <c r="B26" s="1">
        <v>2002</v>
      </c>
      <c r="C26" t="s">
        <v>40</v>
      </c>
      <c r="D26">
        <v>23</v>
      </c>
      <c r="E26" t="str">
        <f>IF(COUNTIF(Songs!$C:$C,C26)&gt;0,"","NO")</f>
        <v>NO</v>
      </c>
      <c r="F26" t="s">
        <v>1211</v>
      </c>
      <c r="G26" t="s">
        <v>50</v>
      </c>
      <c r="H26" t="s">
        <v>352</v>
      </c>
      <c r="I26" t="s">
        <v>1217</v>
      </c>
      <c r="J26" s="7" t="s">
        <v>1219</v>
      </c>
    </row>
    <row r="27" spans="1:10" x14ac:dyDescent="0.25">
      <c r="A27">
        <v>26</v>
      </c>
      <c r="B27" s="1">
        <v>2002</v>
      </c>
      <c r="C27" t="s">
        <v>39</v>
      </c>
      <c r="D27">
        <v>22</v>
      </c>
      <c r="E27" t="str">
        <f>IF(COUNTIF(Songs!$C:$C,C27)&gt;0,"","NO")</f>
        <v>NO</v>
      </c>
      <c r="F27" t="s">
        <v>1211</v>
      </c>
      <c r="G27" t="s">
        <v>50</v>
      </c>
      <c r="H27" t="s">
        <v>352</v>
      </c>
      <c r="I27" t="s">
        <v>1217</v>
      </c>
      <c r="J27" s="7" t="s">
        <v>1219</v>
      </c>
    </row>
    <row r="28" spans="1:10" x14ac:dyDescent="0.25">
      <c r="A28">
        <v>27</v>
      </c>
      <c r="B28">
        <v>2002</v>
      </c>
      <c r="C28" t="s">
        <v>487</v>
      </c>
      <c r="D28">
        <v>14</v>
      </c>
      <c r="E28" t="str">
        <f>IF(COUNTIF(Songs!$C:$C,C28)&gt;0,"","NO")</f>
        <v/>
      </c>
      <c r="F28" t="s">
        <v>1212</v>
      </c>
      <c r="G28" t="s">
        <v>50</v>
      </c>
      <c r="J28" s="7" t="s">
        <v>1219</v>
      </c>
    </row>
    <row r="29" spans="1:10" x14ac:dyDescent="0.25">
      <c r="A29">
        <v>28</v>
      </c>
      <c r="B29" s="1">
        <v>2003</v>
      </c>
      <c r="C29" t="s">
        <v>38</v>
      </c>
      <c r="D29">
        <v>10</v>
      </c>
      <c r="E29" t="str">
        <f>IF(COUNTIF(Songs!$C:$C,C29)&gt;0,"","NO")</f>
        <v>NO</v>
      </c>
      <c r="F29" t="s">
        <v>1211</v>
      </c>
      <c r="G29" t="s">
        <v>50</v>
      </c>
      <c r="H29" t="s">
        <v>1186</v>
      </c>
      <c r="I29" t="s">
        <v>1217</v>
      </c>
      <c r="J29" s="7" t="s">
        <v>1219</v>
      </c>
    </row>
    <row r="30" spans="1:10" x14ac:dyDescent="0.25">
      <c r="A30">
        <v>29</v>
      </c>
      <c r="B30" s="1">
        <v>2003</v>
      </c>
      <c r="C30" t="s">
        <v>11</v>
      </c>
      <c r="D30">
        <v>18</v>
      </c>
      <c r="E30" t="str">
        <f>IF(COUNTIF(Songs!$C:$C,C30)&gt;0,"","NO")</f>
        <v/>
      </c>
      <c r="F30" t="s">
        <v>1211</v>
      </c>
      <c r="G30" t="s">
        <v>50</v>
      </c>
      <c r="J30" s="7" t="s">
        <v>1219</v>
      </c>
    </row>
    <row r="31" spans="1:10" x14ac:dyDescent="0.25">
      <c r="A31">
        <v>30</v>
      </c>
      <c r="B31" s="1">
        <v>2004</v>
      </c>
      <c r="C31" t="s">
        <v>37</v>
      </c>
      <c r="D31">
        <v>12</v>
      </c>
      <c r="E31" t="str">
        <f>IF(COUNTIF(Songs!$C:$C,C31)&gt;0,"","NO")</f>
        <v/>
      </c>
      <c r="F31" t="s">
        <v>1211</v>
      </c>
      <c r="G31" t="s">
        <v>50</v>
      </c>
      <c r="J31" s="7" t="s">
        <v>1219</v>
      </c>
    </row>
    <row r="32" spans="1:10" x14ac:dyDescent="0.25">
      <c r="A32">
        <v>31</v>
      </c>
      <c r="B32" s="1">
        <v>2004</v>
      </c>
      <c r="C32" t="s">
        <v>12</v>
      </c>
      <c r="D32">
        <v>15</v>
      </c>
      <c r="E32" t="str">
        <f>IF(COUNTIF(Songs!$C:$C,C32)&gt;0,"","NO")</f>
        <v/>
      </c>
      <c r="F32" t="s">
        <v>1211</v>
      </c>
      <c r="G32" t="s">
        <v>50</v>
      </c>
      <c r="J32" s="7" t="s">
        <v>1219</v>
      </c>
    </row>
    <row r="33" spans="1:10" x14ac:dyDescent="0.25">
      <c r="A33">
        <v>32</v>
      </c>
      <c r="B33">
        <v>2004</v>
      </c>
      <c r="C33" t="s">
        <v>464</v>
      </c>
      <c r="D33">
        <v>15</v>
      </c>
      <c r="E33" t="str">
        <f>IF(COUNTIF(Songs!$C:$C,C33)&gt;0,"","NO")</f>
        <v/>
      </c>
      <c r="F33" t="s">
        <v>1212</v>
      </c>
      <c r="G33" t="s">
        <v>50</v>
      </c>
      <c r="J33" s="7" t="s">
        <v>1219</v>
      </c>
    </row>
    <row r="34" spans="1:10" x14ac:dyDescent="0.25">
      <c r="A34">
        <v>33</v>
      </c>
      <c r="B34" s="1">
        <v>2004</v>
      </c>
      <c r="C34" t="s">
        <v>1225</v>
      </c>
      <c r="D34">
        <v>11</v>
      </c>
      <c r="E34" t="str">
        <f>IF(COUNTIF(Songs!$C:$C,C34)&gt;0,"","NO")</f>
        <v/>
      </c>
      <c r="F34" t="s">
        <v>1211</v>
      </c>
      <c r="G34" t="s">
        <v>50</v>
      </c>
      <c r="J34" s="7" t="s">
        <v>1219</v>
      </c>
    </row>
    <row r="35" spans="1:10" x14ac:dyDescent="0.25">
      <c r="A35">
        <v>34</v>
      </c>
      <c r="B35" s="1">
        <v>2005</v>
      </c>
      <c r="C35" t="s">
        <v>13</v>
      </c>
      <c r="D35">
        <v>15</v>
      </c>
      <c r="E35" t="str">
        <f>IF(COUNTIF(Songs!$C:$C,C35)&gt;0,"","NO")</f>
        <v/>
      </c>
      <c r="F35" t="s">
        <v>1211</v>
      </c>
      <c r="G35" t="s">
        <v>50</v>
      </c>
      <c r="J35" s="7" t="s">
        <v>1219</v>
      </c>
    </row>
    <row r="36" spans="1:10" x14ac:dyDescent="0.25">
      <c r="A36">
        <v>35</v>
      </c>
      <c r="B36">
        <v>2005</v>
      </c>
      <c r="C36" t="s">
        <v>660</v>
      </c>
      <c r="D36">
        <v>13</v>
      </c>
      <c r="E36" t="str">
        <f>IF(COUNTIF(Songs!$C:$C,C36)&gt;0,"","NO")</f>
        <v/>
      </c>
      <c r="F36" t="s">
        <v>1212</v>
      </c>
      <c r="G36" t="s">
        <v>50</v>
      </c>
      <c r="J36" s="7" t="s">
        <v>1219</v>
      </c>
    </row>
    <row r="37" spans="1:10" x14ac:dyDescent="0.25">
      <c r="A37">
        <v>36</v>
      </c>
      <c r="B37" s="1">
        <v>2005</v>
      </c>
      <c r="C37" t="s">
        <v>1224</v>
      </c>
      <c r="D37">
        <v>17</v>
      </c>
      <c r="E37" t="str">
        <f>IF(COUNTIF(Songs!$C:$C,C37)&gt;0,"","NO")</f>
        <v>NO</v>
      </c>
      <c r="F37" t="s">
        <v>1211</v>
      </c>
      <c r="G37" t="s">
        <v>50</v>
      </c>
      <c r="H37" t="s">
        <v>352</v>
      </c>
      <c r="I37" t="s">
        <v>1217</v>
      </c>
      <c r="J37" s="7" t="s">
        <v>1219</v>
      </c>
    </row>
    <row r="38" spans="1:10" x14ac:dyDescent="0.25">
      <c r="A38">
        <v>37</v>
      </c>
      <c r="B38" s="1">
        <v>2006</v>
      </c>
      <c r="C38" t="s">
        <v>1226</v>
      </c>
      <c r="D38">
        <v>12</v>
      </c>
      <c r="E38" t="str">
        <f>IF(COUNTIF(Songs!$C:$C,C38)&gt;0,"","NO")</f>
        <v/>
      </c>
      <c r="F38" t="s">
        <v>1211</v>
      </c>
      <c r="G38" t="s">
        <v>50</v>
      </c>
      <c r="H38" t="s">
        <v>353</v>
      </c>
      <c r="J38" s="7" t="s">
        <v>1219</v>
      </c>
    </row>
    <row r="39" spans="1:10" x14ac:dyDescent="0.25">
      <c r="A39">
        <v>38</v>
      </c>
      <c r="B39" s="1">
        <v>2006</v>
      </c>
      <c r="C39" t="s">
        <v>14</v>
      </c>
      <c r="D39">
        <v>14</v>
      </c>
      <c r="E39" t="str">
        <f>IF(COUNTIF(Songs!$C:$C,C39)&gt;0,"","NO")</f>
        <v/>
      </c>
      <c r="F39" t="s">
        <v>1211</v>
      </c>
      <c r="G39" t="s">
        <v>50</v>
      </c>
      <c r="J39" s="7" t="s">
        <v>1219</v>
      </c>
    </row>
    <row r="40" spans="1:10" x14ac:dyDescent="0.25">
      <c r="A40">
        <v>39</v>
      </c>
      <c r="B40" s="1">
        <v>2006</v>
      </c>
      <c r="C40" t="s">
        <v>36</v>
      </c>
      <c r="D40">
        <v>14</v>
      </c>
      <c r="E40" t="str">
        <f>IF(COUNTIF(Songs!$C:$C,C40)&gt;0,"","NO")</f>
        <v/>
      </c>
      <c r="F40" t="s">
        <v>1211</v>
      </c>
      <c r="G40" t="s">
        <v>50</v>
      </c>
      <c r="J40" s="7" t="s">
        <v>1219</v>
      </c>
    </row>
    <row r="41" spans="1:10" x14ac:dyDescent="0.25">
      <c r="A41">
        <v>40</v>
      </c>
      <c r="B41">
        <v>2006</v>
      </c>
      <c r="C41" t="s">
        <v>661</v>
      </c>
      <c r="D41">
        <v>17</v>
      </c>
      <c r="E41" t="str">
        <f>IF(COUNTIF(Songs!$C:$C,C41)&gt;0,"","NO")</f>
        <v/>
      </c>
      <c r="F41" t="s">
        <v>1212</v>
      </c>
      <c r="G41" t="s">
        <v>50</v>
      </c>
      <c r="J41" s="7" t="s">
        <v>1219</v>
      </c>
    </row>
    <row r="42" spans="1:10" x14ac:dyDescent="0.25">
      <c r="A42">
        <v>41</v>
      </c>
      <c r="B42">
        <v>2007</v>
      </c>
      <c r="C42" t="s">
        <v>667</v>
      </c>
      <c r="D42">
        <v>14</v>
      </c>
      <c r="E42" t="str">
        <f>IF(COUNTIF(Songs!$C:$C,C42)&gt;0,"","NO")</f>
        <v/>
      </c>
      <c r="F42" t="s">
        <v>1212</v>
      </c>
      <c r="G42" t="s">
        <v>48</v>
      </c>
      <c r="J42" s="7" t="s">
        <v>1219</v>
      </c>
    </row>
    <row r="43" spans="1:10" x14ac:dyDescent="0.25">
      <c r="A43">
        <v>42</v>
      </c>
      <c r="B43" s="1">
        <v>2007</v>
      </c>
      <c r="C43" t="s">
        <v>15</v>
      </c>
      <c r="D43">
        <v>14</v>
      </c>
      <c r="E43" t="str">
        <f>IF(COUNTIF(Songs!$C:$C,C43)&gt;0,"","NO")</f>
        <v/>
      </c>
      <c r="F43" t="s">
        <v>1211</v>
      </c>
      <c r="G43" t="s">
        <v>50</v>
      </c>
      <c r="J43" s="7" t="s">
        <v>1219</v>
      </c>
    </row>
    <row r="44" spans="1:10" x14ac:dyDescent="0.25">
      <c r="A44">
        <v>43</v>
      </c>
      <c r="B44">
        <v>2008</v>
      </c>
      <c r="C44" t="s">
        <v>1221</v>
      </c>
      <c r="D44">
        <v>30</v>
      </c>
      <c r="E44" t="str">
        <f>IF(COUNTIF(Songs!$C:$C,C44)&gt;0,"","NO")</f>
        <v>NO</v>
      </c>
      <c r="F44" t="s">
        <v>1212</v>
      </c>
      <c r="G44" t="s">
        <v>50</v>
      </c>
      <c r="H44" t="s">
        <v>1227</v>
      </c>
      <c r="J44" s="7" t="s">
        <v>1219</v>
      </c>
    </row>
    <row r="45" spans="1:10" x14ac:dyDescent="0.25">
      <c r="A45">
        <v>44</v>
      </c>
      <c r="B45" s="1">
        <v>2008</v>
      </c>
      <c r="C45" t="s">
        <v>16</v>
      </c>
      <c r="D45">
        <v>16</v>
      </c>
      <c r="E45" t="str">
        <f>IF(COUNTIF(Songs!$C:$C,C45)&gt;0,"","NO")</f>
        <v/>
      </c>
      <c r="F45" t="s">
        <v>1211</v>
      </c>
      <c r="G45" t="s">
        <v>50</v>
      </c>
      <c r="J45" s="7" t="s">
        <v>1219</v>
      </c>
    </row>
    <row r="46" spans="1:10" x14ac:dyDescent="0.25">
      <c r="A46">
        <v>45</v>
      </c>
      <c r="B46" s="1">
        <v>2008</v>
      </c>
      <c r="C46" t="s">
        <v>35</v>
      </c>
      <c r="D46">
        <v>17</v>
      </c>
      <c r="E46" t="str">
        <f>IF(COUNTIF(Songs!$C:$C,C46)&gt;0,"","NO")</f>
        <v>NO</v>
      </c>
      <c r="F46" t="s">
        <v>1211</v>
      </c>
      <c r="G46" t="s">
        <v>50</v>
      </c>
      <c r="H46" t="s">
        <v>352</v>
      </c>
      <c r="I46" t="s">
        <v>1217</v>
      </c>
      <c r="J46" s="7" t="s">
        <v>1219</v>
      </c>
    </row>
    <row r="47" spans="1:10" x14ac:dyDescent="0.25">
      <c r="A47">
        <v>46</v>
      </c>
      <c r="B47">
        <v>2009</v>
      </c>
      <c r="C47" t="s">
        <v>1220</v>
      </c>
      <c r="D47">
        <v>12</v>
      </c>
      <c r="E47" t="str">
        <f>IF(COUNTIF(Songs!$C:$C,C47)&gt;0,"","NO")</f>
        <v>NO</v>
      </c>
      <c r="F47" t="s">
        <v>1212</v>
      </c>
      <c r="G47" t="s">
        <v>50</v>
      </c>
      <c r="J47" s="7" t="s">
        <v>1219</v>
      </c>
    </row>
    <row r="48" spans="1:10" x14ac:dyDescent="0.25">
      <c r="A48">
        <v>47</v>
      </c>
      <c r="B48" s="1">
        <v>2009</v>
      </c>
      <c r="C48" t="s">
        <v>17</v>
      </c>
      <c r="D48">
        <v>13</v>
      </c>
      <c r="E48" t="str">
        <f>IF(COUNTIF(Songs!$C:$C,C48)&gt;0,"","NO")</f>
        <v/>
      </c>
      <c r="F48" t="s">
        <v>1211</v>
      </c>
      <c r="G48" t="s">
        <v>50</v>
      </c>
      <c r="J48" s="7" t="s">
        <v>1219</v>
      </c>
    </row>
    <row r="49" spans="1:10" x14ac:dyDescent="0.25">
      <c r="A49">
        <v>48</v>
      </c>
      <c r="B49" s="1">
        <v>2010</v>
      </c>
      <c r="C49" t="s">
        <v>18</v>
      </c>
      <c r="D49">
        <v>13</v>
      </c>
      <c r="E49" t="str">
        <f>IF(COUNTIF(Songs!$C:$C,C49)&gt;0,"","NO")</f>
        <v/>
      </c>
      <c r="F49" t="s">
        <v>1211</v>
      </c>
      <c r="G49" t="s">
        <v>50</v>
      </c>
      <c r="J49" s="7" t="s">
        <v>1219</v>
      </c>
    </row>
    <row r="50" spans="1:10" x14ac:dyDescent="0.25">
      <c r="A50">
        <v>49</v>
      </c>
      <c r="B50">
        <v>2011</v>
      </c>
      <c r="C50" t="s">
        <v>668</v>
      </c>
      <c r="D50">
        <v>13</v>
      </c>
      <c r="E50" t="str">
        <f>IF(COUNTIF(Songs!$C:$C,C50)&gt;0,"","NO")</f>
        <v/>
      </c>
      <c r="F50" t="s">
        <v>1212</v>
      </c>
      <c r="G50" t="s">
        <v>48</v>
      </c>
      <c r="J50" s="7" t="s">
        <v>1219</v>
      </c>
    </row>
    <row r="51" spans="1:10" x14ac:dyDescent="0.25">
      <c r="A51">
        <v>50</v>
      </c>
      <c r="B51" s="1">
        <v>2011</v>
      </c>
      <c r="C51" t="s">
        <v>34</v>
      </c>
      <c r="D51">
        <v>8</v>
      </c>
      <c r="E51" t="str">
        <f>IF(COUNTIF(Songs!$C:$C,C51)&gt;0,"","NO")</f>
        <v/>
      </c>
      <c r="F51" t="s">
        <v>1211</v>
      </c>
      <c r="G51" t="s">
        <v>48</v>
      </c>
      <c r="H51" t="s">
        <v>353</v>
      </c>
      <c r="J51" s="7" t="s">
        <v>1219</v>
      </c>
    </row>
    <row r="52" spans="1:10" x14ac:dyDescent="0.25">
      <c r="A52">
        <v>51</v>
      </c>
      <c r="B52" s="1">
        <v>2011</v>
      </c>
      <c r="C52" t="s">
        <v>19</v>
      </c>
      <c r="D52">
        <v>13</v>
      </c>
      <c r="E52" t="str">
        <f>IF(COUNTIF(Songs!$C:$C,C52)&gt;0,"","NO")</f>
        <v/>
      </c>
      <c r="F52" t="s">
        <v>1211</v>
      </c>
      <c r="G52" t="s">
        <v>50</v>
      </c>
      <c r="J52" s="7" t="s">
        <v>1219</v>
      </c>
    </row>
    <row r="53" spans="1:10" x14ac:dyDescent="0.25">
      <c r="A53">
        <v>52</v>
      </c>
      <c r="B53" s="1">
        <v>2012</v>
      </c>
      <c r="C53" t="s">
        <v>20</v>
      </c>
      <c r="D53">
        <v>13</v>
      </c>
      <c r="E53" t="str">
        <f>IF(COUNTIF(Songs!$C:$C,C53)&gt;0,"","NO")</f>
        <v/>
      </c>
      <c r="F53" t="s">
        <v>1211</v>
      </c>
      <c r="G53" t="s">
        <v>50</v>
      </c>
      <c r="J53" s="7" t="s">
        <v>1219</v>
      </c>
    </row>
    <row r="54" spans="1:10" x14ac:dyDescent="0.25">
      <c r="A54">
        <v>53</v>
      </c>
      <c r="B54">
        <v>2012</v>
      </c>
      <c r="C54" t="s">
        <v>1222</v>
      </c>
      <c r="D54">
        <v>22</v>
      </c>
      <c r="E54" t="str">
        <f>IF(COUNTIF(Songs!$C:$C,C54)&gt;0,"","NO")</f>
        <v>NO</v>
      </c>
      <c r="F54" t="s">
        <v>1212</v>
      </c>
      <c r="G54" t="s">
        <v>50</v>
      </c>
      <c r="H54" t="s">
        <v>1227</v>
      </c>
      <c r="J54" s="7" t="s">
        <v>1219</v>
      </c>
    </row>
    <row r="55" spans="1:10" x14ac:dyDescent="0.25">
      <c r="A55">
        <v>54</v>
      </c>
      <c r="B55" s="1">
        <v>2012</v>
      </c>
      <c r="C55" t="s">
        <v>33</v>
      </c>
      <c r="D55">
        <v>12</v>
      </c>
      <c r="E55" t="str">
        <f>IF(COUNTIF(Songs!$C:$C,C55)&gt;0,"","NO")</f>
        <v/>
      </c>
      <c r="F55" t="s">
        <v>1211</v>
      </c>
      <c r="G55" t="s">
        <v>48</v>
      </c>
      <c r="H55" t="s">
        <v>353</v>
      </c>
      <c r="J55" s="7" t="s">
        <v>1219</v>
      </c>
    </row>
    <row r="56" spans="1:10" x14ac:dyDescent="0.25">
      <c r="A56">
        <v>55</v>
      </c>
      <c r="B56" s="1">
        <v>2013</v>
      </c>
      <c r="C56" t="s">
        <v>21</v>
      </c>
      <c r="D56">
        <v>11</v>
      </c>
      <c r="E56" t="str">
        <f>IF(COUNTIF(Songs!$C:$C,C56)&gt;0,"","NO")</f>
        <v/>
      </c>
      <c r="F56" t="s">
        <v>1211</v>
      </c>
      <c r="G56" t="s">
        <v>50</v>
      </c>
      <c r="J56" s="7" t="s">
        <v>1219</v>
      </c>
    </row>
    <row r="57" spans="1:10" x14ac:dyDescent="0.25">
      <c r="A57">
        <v>56</v>
      </c>
      <c r="B57">
        <v>2013</v>
      </c>
      <c r="C57" t="s">
        <v>669</v>
      </c>
      <c r="D57">
        <v>13</v>
      </c>
      <c r="E57" t="str">
        <f>IF(COUNTIF(Songs!$C:$C,C57)&gt;0,"","NO")</f>
        <v/>
      </c>
      <c r="F57" t="s">
        <v>1212</v>
      </c>
      <c r="G57" t="s">
        <v>48</v>
      </c>
      <c r="J57" s="7" t="s">
        <v>1219</v>
      </c>
    </row>
    <row r="58" spans="1:10" x14ac:dyDescent="0.25">
      <c r="A58">
        <v>57</v>
      </c>
      <c r="B58">
        <v>2013</v>
      </c>
      <c r="C58" t="s">
        <v>664</v>
      </c>
      <c r="D58">
        <v>12</v>
      </c>
      <c r="E58" t="str">
        <f>IF(COUNTIF(Songs!$C:$C,C58)&gt;0,"","NO")</f>
        <v>NO</v>
      </c>
      <c r="F58" t="s">
        <v>1212</v>
      </c>
      <c r="G58" t="s">
        <v>50</v>
      </c>
      <c r="H58" t="s">
        <v>1227</v>
      </c>
      <c r="J58" s="7" t="s">
        <v>1219</v>
      </c>
    </row>
    <row r="59" spans="1:10" x14ac:dyDescent="0.25">
      <c r="A59">
        <v>58</v>
      </c>
      <c r="B59" s="1">
        <v>2014</v>
      </c>
      <c r="C59" t="s">
        <v>22</v>
      </c>
      <c r="D59">
        <v>11</v>
      </c>
      <c r="E59" t="str">
        <f>IF(COUNTIF(Songs!$C:$C,C59)&gt;0,"","NO")</f>
        <v/>
      </c>
      <c r="F59" t="s">
        <v>1211</v>
      </c>
      <c r="G59" t="s">
        <v>50</v>
      </c>
      <c r="J59" s="7" t="s">
        <v>1219</v>
      </c>
    </row>
    <row r="60" spans="1:10" x14ac:dyDescent="0.25">
      <c r="A60">
        <v>59</v>
      </c>
      <c r="B60">
        <v>2014</v>
      </c>
      <c r="C60" t="s">
        <v>948</v>
      </c>
      <c r="E60" t="str">
        <f>IF(COUNTIF(Songs!$C:$C,C60)&gt;0,"","NO")</f>
        <v>NO</v>
      </c>
      <c r="F60" t="s">
        <v>1212</v>
      </c>
      <c r="G60" t="s">
        <v>949</v>
      </c>
      <c r="H60" t="s">
        <v>949</v>
      </c>
      <c r="I60" t="s">
        <v>1217</v>
      </c>
      <c r="J60" s="7" t="s">
        <v>1219</v>
      </c>
    </row>
    <row r="61" spans="1:10" x14ac:dyDescent="0.25">
      <c r="A61">
        <v>60</v>
      </c>
      <c r="B61">
        <v>2015</v>
      </c>
      <c r="C61" t="s">
        <v>670</v>
      </c>
      <c r="D61">
        <v>12</v>
      </c>
      <c r="E61" t="str">
        <f>IF(COUNTIF(Songs!$C:$C,C61)&gt;0,"","NO")</f>
        <v/>
      </c>
      <c r="F61" t="s">
        <v>1212</v>
      </c>
      <c r="G61" t="s">
        <v>48</v>
      </c>
      <c r="J61" s="7" t="s">
        <v>1219</v>
      </c>
    </row>
    <row r="62" spans="1:10" x14ac:dyDescent="0.25">
      <c r="A62">
        <v>61</v>
      </c>
      <c r="B62" s="1">
        <v>2015</v>
      </c>
      <c r="C62" t="s">
        <v>23</v>
      </c>
      <c r="D62">
        <v>12</v>
      </c>
      <c r="E62" t="str">
        <f>IF(COUNTIF(Songs!$C:$C,C62)&gt;0,"","NO")</f>
        <v/>
      </c>
      <c r="F62" t="s">
        <v>1211</v>
      </c>
      <c r="G62" t="s">
        <v>50</v>
      </c>
      <c r="J62" s="7" t="s">
        <v>1219</v>
      </c>
    </row>
    <row r="63" spans="1:10" x14ac:dyDescent="0.25">
      <c r="A63">
        <v>62</v>
      </c>
      <c r="B63" s="1">
        <v>2016</v>
      </c>
      <c r="C63" t="s">
        <v>24</v>
      </c>
      <c r="D63">
        <v>12</v>
      </c>
      <c r="E63" t="str">
        <f>IF(COUNTIF(Songs!$C:$C,C63)&gt;0,"","NO")</f>
        <v/>
      </c>
      <c r="F63" t="s">
        <v>1211</v>
      </c>
      <c r="G63" t="s">
        <v>50</v>
      </c>
      <c r="J63" s="7" t="s">
        <v>1219</v>
      </c>
    </row>
    <row r="64" spans="1:10" x14ac:dyDescent="0.25">
      <c r="A64">
        <v>63</v>
      </c>
      <c r="B64">
        <v>2016</v>
      </c>
      <c r="C64" t="s">
        <v>1223</v>
      </c>
      <c r="D64">
        <v>12</v>
      </c>
      <c r="E64" t="str">
        <f>IF(COUNTIF(Songs!$C:$C,C64)&gt;0,"","NO")</f>
        <v>NO</v>
      </c>
      <c r="F64" t="s">
        <v>1212</v>
      </c>
      <c r="G64" t="s">
        <v>50</v>
      </c>
      <c r="H64" t="s">
        <v>1227</v>
      </c>
      <c r="J64" s="7" t="s">
        <v>1219</v>
      </c>
    </row>
    <row r="65" spans="1:10" x14ac:dyDescent="0.25">
      <c r="A65">
        <v>64</v>
      </c>
      <c r="B65" s="1">
        <v>2017</v>
      </c>
      <c r="C65" t="s">
        <v>31</v>
      </c>
      <c r="D65">
        <v>12</v>
      </c>
      <c r="E65" t="str">
        <f>IF(COUNTIF(Songs!$C:$C,C65)&gt;0,"","NO")</f>
        <v/>
      </c>
      <c r="F65" t="s">
        <v>1211</v>
      </c>
      <c r="G65" t="s">
        <v>48</v>
      </c>
      <c r="H65" t="s">
        <v>353</v>
      </c>
      <c r="J65" s="7" t="s">
        <v>1219</v>
      </c>
    </row>
    <row r="66" spans="1:10" x14ac:dyDescent="0.25">
      <c r="A66">
        <v>65</v>
      </c>
      <c r="B66">
        <v>2017</v>
      </c>
      <c r="C66" t="s">
        <v>671</v>
      </c>
      <c r="D66">
        <v>12</v>
      </c>
      <c r="E66" t="str">
        <f>IF(COUNTIF(Songs!$C:$C,C66)&gt;0,"","NO")</f>
        <v/>
      </c>
      <c r="F66" t="s">
        <v>1212</v>
      </c>
      <c r="G66" t="s">
        <v>48</v>
      </c>
      <c r="J66" s="7" t="s">
        <v>1219</v>
      </c>
    </row>
    <row r="67" spans="1:10" x14ac:dyDescent="0.25">
      <c r="A67">
        <v>66</v>
      </c>
      <c r="B67" s="1">
        <v>2018</v>
      </c>
      <c r="C67" t="s">
        <v>25</v>
      </c>
      <c r="D67">
        <v>12</v>
      </c>
      <c r="E67" t="str">
        <f>IF(COUNTIF(Songs!$C:$C,C67)&gt;0,"","NO")</f>
        <v/>
      </c>
      <c r="F67" t="s">
        <v>1211</v>
      </c>
      <c r="G67" t="s">
        <v>50</v>
      </c>
      <c r="J67" s="7" t="s">
        <v>1219</v>
      </c>
    </row>
    <row r="68" spans="1:10" x14ac:dyDescent="0.25">
      <c r="A68">
        <v>67</v>
      </c>
      <c r="B68" s="1">
        <v>2019</v>
      </c>
      <c r="C68" t="s">
        <v>28</v>
      </c>
      <c r="D68">
        <v>15</v>
      </c>
      <c r="E68" t="str">
        <f>IF(COUNTIF(Songs!$C:$C,C68)&gt;0,"","NO")</f>
        <v/>
      </c>
      <c r="F68" t="s">
        <v>1211</v>
      </c>
      <c r="G68" t="s">
        <v>48</v>
      </c>
      <c r="J68" s="7" t="s">
        <v>1219</v>
      </c>
    </row>
    <row r="69" spans="1:10" x14ac:dyDescent="0.25">
      <c r="A69">
        <v>68</v>
      </c>
      <c r="B69">
        <v>2019</v>
      </c>
      <c r="C69" t="s">
        <v>666</v>
      </c>
      <c r="D69">
        <v>12</v>
      </c>
      <c r="E69" t="str">
        <f>IF(COUNTIF(Songs!$C:$C,C69)&gt;0,"","NO")</f>
        <v/>
      </c>
      <c r="F69" t="s">
        <v>1212</v>
      </c>
      <c r="G69" t="s">
        <v>50</v>
      </c>
      <c r="J69" s="7" t="s">
        <v>1219</v>
      </c>
    </row>
    <row r="70" spans="1:10" x14ac:dyDescent="0.25">
      <c r="A70">
        <v>69</v>
      </c>
      <c r="B70" s="1">
        <v>2020</v>
      </c>
      <c r="C70" t="s">
        <v>32</v>
      </c>
      <c r="D70">
        <v>12</v>
      </c>
      <c r="E70" t="str">
        <f>IF(COUNTIF(Songs!$C:$C,C70)&gt;0,"","NO")</f>
        <v/>
      </c>
      <c r="F70" t="s">
        <v>1211</v>
      </c>
      <c r="G70" t="s">
        <v>48</v>
      </c>
      <c r="J70" s="7" t="s">
        <v>1219</v>
      </c>
    </row>
  </sheetData>
  <autoFilter ref="A1:K70" xr:uid="{B853B9BB-A641-4D42-A4EC-2CC9C4AA683C}">
    <sortState xmlns:xlrd2="http://schemas.microsoft.com/office/spreadsheetml/2017/richdata2" ref="A2:K70">
      <sortCondition ref="B2:B70"/>
      <sortCondition ref="C2:C70"/>
    </sortState>
  </autoFilter>
  <sortState xmlns:xlrd2="http://schemas.microsoft.com/office/spreadsheetml/2017/richdata2" ref="B2:L51">
    <sortCondition ref="B2:B51"/>
    <sortCondition ref="C2:C5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048F-C83C-42AF-AC46-34FFE0EE51A1}">
  <dimension ref="A1:L766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5703125" bestFit="1" customWidth="1"/>
    <col min="3" max="3" width="25.140625" bestFit="1" customWidth="1"/>
    <col min="4" max="4" width="6.7109375" bestFit="1" customWidth="1"/>
    <col min="5" max="5" width="40.85546875" bestFit="1" customWidth="1"/>
    <col min="6" max="6" width="9.140625" customWidth="1"/>
    <col min="7" max="7" width="9.85546875" customWidth="1"/>
    <col min="8" max="8" width="9.5703125" customWidth="1"/>
    <col min="9" max="9" width="9.140625" style="7"/>
    <col min="10" max="11" width="9.5703125" customWidth="1"/>
    <col min="13" max="13" width="24.28515625" customWidth="1"/>
  </cols>
  <sheetData>
    <row r="1" spans="1:12" x14ac:dyDescent="0.25">
      <c r="A1" s="3" t="s">
        <v>1312</v>
      </c>
      <c r="B1" s="3" t="s">
        <v>1213</v>
      </c>
      <c r="C1" s="3" t="s">
        <v>26</v>
      </c>
      <c r="D1" s="3" t="s">
        <v>1215</v>
      </c>
      <c r="E1" s="3" t="s">
        <v>65</v>
      </c>
      <c r="F1" s="3" t="s">
        <v>658</v>
      </c>
      <c r="G1" s="3" t="s">
        <v>1216</v>
      </c>
      <c r="H1" s="3" t="s">
        <v>354</v>
      </c>
      <c r="I1" s="6" t="s">
        <v>616</v>
      </c>
      <c r="J1" s="3" t="s">
        <v>66</v>
      </c>
      <c r="K1" s="3" t="s">
        <v>67</v>
      </c>
      <c r="L1" s="3" t="s">
        <v>1130</v>
      </c>
    </row>
    <row r="2" spans="1:12" s="4" customFormat="1" x14ac:dyDescent="0.25">
      <c r="A2" s="4">
        <f>INDEX(Albums!$A:$A, MATCH(C2,Albums!$C:$C,0))</f>
        <v>1</v>
      </c>
      <c r="B2" s="4">
        <f>INDEX(Albums!$B:$B, MATCH(C2,Albums!$C:$C,0))</f>
        <v>1988</v>
      </c>
      <c r="C2" t="s">
        <v>29</v>
      </c>
      <c r="D2">
        <v>1</v>
      </c>
      <c r="E2" t="s">
        <v>643</v>
      </c>
      <c r="F2" t="s">
        <v>654</v>
      </c>
      <c r="G2"/>
      <c r="H2"/>
      <c r="I2" s="7"/>
      <c r="J2"/>
      <c r="K2"/>
      <c r="L2" s="4" t="str">
        <f>IF(AND(ISNUMBER(H2), COUNTIF([1]Songs!$L:$L,H2)&gt;0),"YES","")</f>
        <v/>
      </c>
    </row>
    <row r="3" spans="1:12" s="4" customFormat="1" x14ac:dyDescent="0.25">
      <c r="A3" s="4">
        <f>INDEX(Albums!$A:$A, MATCH(C3,Albums!$C:$C,0))</f>
        <v>1</v>
      </c>
      <c r="B3" s="4">
        <f>INDEX(Albums!$B:$B, MATCH(C3,Albums!$C:$C,0))</f>
        <v>1988</v>
      </c>
      <c r="C3" t="s">
        <v>29</v>
      </c>
      <c r="D3">
        <v>2</v>
      </c>
      <c r="E3" t="s">
        <v>644</v>
      </c>
      <c r="F3" t="s">
        <v>653</v>
      </c>
      <c r="G3"/>
      <c r="H3"/>
      <c r="I3" s="7"/>
      <c r="J3"/>
      <c r="K3"/>
      <c r="L3" s="4" t="str">
        <f>IF(AND(ISNUMBER(H3), COUNTIF([1]Songs!$L:$L,H3)&gt;0),"YES","")</f>
        <v/>
      </c>
    </row>
    <row r="4" spans="1:12" s="4" customFormat="1" x14ac:dyDescent="0.25">
      <c r="A4" s="4">
        <f>INDEX(Albums!$A:$A, MATCH(C4,Albums!$C:$C,0))</f>
        <v>1</v>
      </c>
      <c r="B4" s="4">
        <f>INDEX(Albums!$B:$B, MATCH(C4,Albums!$C:$C,0))</f>
        <v>1988</v>
      </c>
      <c r="C4" t="s">
        <v>29</v>
      </c>
      <c r="D4">
        <v>3</v>
      </c>
      <c r="E4" t="s">
        <v>645</v>
      </c>
      <c r="F4" t="s">
        <v>653</v>
      </c>
      <c r="G4"/>
      <c r="H4"/>
      <c r="I4" s="7"/>
      <c r="J4"/>
      <c r="K4"/>
      <c r="L4" s="4" t="str">
        <f>IF(AND(ISNUMBER(H4), COUNTIF([1]Songs!$L:$L,H4)&gt;0),"YES","")</f>
        <v/>
      </c>
    </row>
    <row r="5" spans="1:12" s="4" customFormat="1" x14ac:dyDescent="0.25">
      <c r="A5" s="4">
        <f>INDEX(Albums!$A:$A, MATCH(C5,Albums!$C:$C,0))</f>
        <v>1</v>
      </c>
      <c r="B5" s="4">
        <f>INDEX(Albums!$B:$B, MATCH(C5,Albums!$C:$C,0))</f>
        <v>1988</v>
      </c>
      <c r="C5" t="s">
        <v>29</v>
      </c>
      <c r="D5">
        <v>4</v>
      </c>
      <c r="E5" t="s">
        <v>646</v>
      </c>
      <c r="F5" t="s">
        <v>653</v>
      </c>
      <c r="G5"/>
      <c r="H5"/>
      <c r="I5" s="7"/>
      <c r="J5"/>
      <c r="K5"/>
      <c r="L5" s="4" t="str">
        <f>IF(AND(ISNUMBER(H5), COUNTIF([1]Songs!$L:$L,H5)&gt;0),"YES","")</f>
        <v/>
      </c>
    </row>
    <row r="6" spans="1:12" s="4" customFormat="1" x14ac:dyDescent="0.25">
      <c r="A6" s="4">
        <f>INDEX(Albums!$A:$A, MATCH(C6,Albums!$C:$C,0))</f>
        <v>1</v>
      </c>
      <c r="B6" s="4">
        <f>INDEX(Albums!$B:$B, MATCH(C6,Albums!$C:$C,0))</f>
        <v>1988</v>
      </c>
      <c r="C6" t="s">
        <v>29</v>
      </c>
      <c r="D6">
        <v>5</v>
      </c>
      <c r="E6" t="s">
        <v>647</v>
      </c>
      <c r="F6" t="s">
        <v>653</v>
      </c>
      <c r="G6"/>
      <c r="H6"/>
      <c r="I6" s="7"/>
      <c r="J6"/>
      <c r="K6"/>
      <c r="L6" s="4" t="str">
        <f>IF(AND(ISNUMBER(H6), COUNTIF([1]Songs!$L:$L,H6)&gt;0),"YES","")</f>
        <v/>
      </c>
    </row>
    <row r="7" spans="1:12" s="4" customFormat="1" x14ac:dyDescent="0.25">
      <c r="A7" s="4">
        <f>INDEX(Albums!$A:$A, MATCH(C7,Albums!$C:$C,0))</f>
        <v>1</v>
      </c>
      <c r="B7" s="4">
        <f>INDEX(Albums!$B:$B, MATCH(C7,Albums!$C:$C,0))</f>
        <v>1988</v>
      </c>
      <c r="C7" t="s">
        <v>29</v>
      </c>
      <c r="D7">
        <v>6</v>
      </c>
      <c r="E7" t="s">
        <v>648</v>
      </c>
      <c r="F7" t="s">
        <v>653</v>
      </c>
      <c r="G7"/>
      <c r="H7"/>
      <c r="I7" s="7"/>
      <c r="J7"/>
      <c r="K7"/>
      <c r="L7" s="4" t="str">
        <f>IF(AND(ISNUMBER(H7), COUNTIF([1]Songs!$L:$L,H7)&gt;0),"YES","")</f>
        <v/>
      </c>
    </row>
    <row r="8" spans="1:12" s="4" customFormat="1" x14ac:dyDescent="0.25">
      <c r="A8" s="4">
        <f>INDEX(Albums!$A:$A, MATCH(C8,Albums!$C:$C,0))</f>
        <v>1</v>
      </c>
      <c r="B8" s="4">
        <f>INDEX(Albums!$B:$B, MATCH(C8,Albums!$C:$C,0))</f>
        <v>1988</v>
      </c>
      <c r="C8" t="s">
        <v>29</v>
      </c>
      <c r="D8">
        <v>7</v>
      </c>
      <c r="E8" t="s">
        <v>649</v>
      </c>
      <c r="F8" t="s">
        <v>655</v>
      </c>
      <c r="G8"/>
      <c r="H8"/>
      <c r="I8" s="7"/>
      <c r="J8"/>
      <c r="K8"/>
      <c r="L8" s="4" t="str">
        <f>IF(AND(ISNUMBER(H8), COUNTIF([1]Songs!$L:$L,H8)&gt;0),"YES","")</f>
        <v/>
      </c>
    </row>
    <row r="9" spans="1:12" s="4" customFormat="1" x14ac:dyDescent="0.25">
      <c r="A9" s="4">
        <f>INDEX(Albums!$A:$A, MATCH(C9,Albums!$C:$C,0))</f>
        <v>1</v>
      </c>
      <c r="B9" s="4">
        <f>INDEX(Albums!$B:$B, MATCH(C9,Albums!$C:$C,0))</f>
        <v>1988</v>
      </c>
      <c r="C9" t="s">
        <v>29</v>
      </c>
      <c r="D9">
        <v>8</v>
      </c>
      <c r="E9" t="s">
        <v>650</v>
      </c>
      <c r="F9" t="s">
        <v>653</v>
      </c>
      <c r="G9"/>
      <c r="H9"/>
      <c r="I9" s="7"/>
      <c r="J9"/>
      <c r="K9"/>
      <c r="L9" s="4" t="str">
        <f>IF(AND(ISNUMBER(H9), COUNTIF([1]Songs!$L:$L,H9)&gt;0),"YES","")</f>
        <v/>
      </c>
    </row>
    <row r="10" spans="1:12" s="4" customFormat="1" x14ac:dyDescent="0.25">
      <c r="A10" s="4">
        <f>INDEX(Albums!$A:$A, MATCH(C10,Albums!$C:$C,0))</f>
        <v>1</v>
      </c>
      <c r="B10" s="4">
        <f>INDEX(Albums!$B:$B, MATCH(C10,Albums!$C:$C,0))</f>
        <v>1988</v>
      </c>
      <c r="C10" t="s">
        <v>29</v>
      </c>
      <c r="D10">
        <v>9</v>
      </c>
      <c r="E10" t="s">
        <v>651</v>
      </c>
      <c r="F10" t="s">
        <v>655</v>
      </c>
      <c r="G10"/>
      <c r="H10"/>
      <c r="I10" s="7"/>
      <c r="J10"/>
      <c r="K10"/>
      <c r="L10" s="4" t="str">
        <f>IF(AND(ISNUMBER(H10), COUNTIF([1]Songs!$L:$L,H10)&gt;0),"YES","")</f>
        <v/>
      </c>
    </row>
    <row r="11" spans="1:12" s="4" customFormat="1" x14ac:dyDescent="0.25">
      <c r="A11" s="4">
        <f>INDEX(Albums!$A:$A, MATCH(C11,Albums!$C:$C,0))</f>
        <v>1</v>
      </c>
      <c r="B11" s="4">
        <f>INDEX(Albums!$B:$B, MATCH(C11,Albums!$C:$C,0))</f>
        <v>1988</v>
      </c>
      <c r="C11" t="s">
        <v>29</v>
      </c>
      <c r="D11">
        <v>10</v>
      </c>
      <c r="E11" t="s">
        <v>652</v>
      </c>
      <c r="F11" t="s">
        <v>653</v>
      </c>
      <c r="G11"/>
      <c r="H11"/>
      <c r="I11" s="7"/>
      <c r="J11"/>
      <c r="K11"/>
      <c r="L11" s="4" t="str">
        <f>IF(AND(ISNUMBER(H11), COUNTIF([1]Songs!$L:$L,H11)&gt;0),"YES","")</f>
        <v/>
      </c>
    </row>
    <row r="12" spans="1:12" s="4" customFormat="1" x14ac:dyDescent="0.25">
      <c r="A12" s="4">
        <f>INDEX(Albums!$A:$A, MATCH(C12,Albums!$C:$C,0))</f>
        <v>1</v>
      </c>
      <c r="B12" s="4">
        <f>INDEX(Albums!$B:$B, MATCH(C12,Albums!$C:$C,0))</f>
        <v>1988</v>
      </c>
      <c r="C12" t="s">
        <v>29</v>
      </c>
      <c r="D12">
        <v>11</v>
      </c>
      <c r="E12" t="s">
        <v>232</v>
      </c>
      <c r="F12" t="s">
        <v>539</v>
      </c>
      <c r="G12"/>
      <c r="H12"/>
      <c r="I12" s="7"/>
      <c r="J12"/>
      <c r="K12"/>
      <c r="L12" s="4" t="str">
        <f>IF(AND(ISNUMBER(H12), COUNTIF([1]Songs!$L:$L,H12)&gt;0),"YES","")</f>
        <v/>
      </c>
    </row>
    <row r="13" spans="1:12" s="4" customFormat="1" x14ac:dyDescent="0.25">
      <c r="A13" s="4">
        <f>INDEX(Albums!$A:$A, MATCH(C13,Albums!$C:$C,0))</f>
        <v>2</v>
      </c>
      <c r="B13" s="4">
        <f>INDEX(Albums!$B:$B, MATCH(C13,Albums!$C:$C,0))</f>
        <v>1990</v>
      </c>
      <c r="C13" t="s">
        <v>30</v>
      </c>
      <c r="D13">
        <v>1</v>
      </c>
      <c r="E13" t="s">
        <v>630</v>
      </c>
      <c r="F13"/>
      <c r="G13"/>
      <c r="H13"/>
      <c r="I13" s="7"/>
      <c r="J13"/>
      <c r="K13" s="2">
        <v>0.18819444444444444</v>
      </c>
      <c r="L13" s="4" t="str">
        <f>IF(AND(ISNUMBER(H13), COUNTIF([1]Songs!$L:$L,H13)&gt;0),"YES","")</f>
        <v/>
      </c>
    </row>
    <row r="14" spans="1:12" x14ac:dyDescent="0.25">
      <c r="A14" s="4">
        <f>INDEX(Albums!$A:$A, MATCH(C14,Albums!$C:$C,0))</f>
        <v>2</v>
      </c>
      <c r="B14" s="4">
        <f>INDEX(Albums!$B:$B, MATCH(C14,Albums!$C:$C,0))</f>
        <v>1990</v>
      </c>
      <c r="C14" t="s">
        <v>30</v>
      </c>
      <c r="D14">
        <v>2</v>
      </c>
      <c r="E14" t="s">
        <v>631</v>
      </c>
      <c r="K14" s="2">
        <v>0.12430555555555556</v>
      </c>
      <c r="L14" s="4" t="str">
        <f>IF(AND(ISNUMBER(H14), COUNTIF([1]Songs!$L:$L,H14)&gt;0),"YES","")</f>
        <v/>
      </c>
    </row>
    <row r="15" spans="1:12" x14ac:dyDescent="0.25">
      <c r="A15" s="4">
        <f>INDEX(Albums!$A:$A, MATCH(C15,Albums!$C:$C,0))</f>
        <v>2</v>
      </c>
      <c r="B15" s="4">
        <f>INDEX(Albums!$B:$B, MATCH(C15,Albums!$C:$C,0))</f>
        <v>1990</v>
      </c>
      <c r="C15" t="s">
        <v>30</v>
      </c>
      <c r="D15">
        <v>3</v>
      </c>
      <c r="E15" t="s">
        <v>632</v>
      </c>
      <c r="K15" s="2">
        <v>0.17152777777777775</v>
      </c>
      <c r="L15" s="4" t="str">
        <f>IF(AND(ISNUMBER(H15), COUNTIF([1]Songs!$L:$L,H15)&gt;0),"YES","")</f>
        <v/>
      </c>
    </row>
    <row r="16" spans="1:12" x14ac:dyDescent="0.25">
      <c r="A16" s="4">
        <f>INDEX(Albums!$A:$A, MATCH(C16,Albums!$C:$C,0))</f>
        <v>2</v>
      </c>
      <c r="B16" s="4">
        <f>INDEX(Albums!$B:$B, MATCH(C16,Albums!$C:$C,0))</f>
        <v>1990</v>
      </c>
      <c r="C16" t="s">
        <v>30</v>
      </c>
      <c r="D16">
        <v>4</v>
      </c>
      <c r="E16" t="s">
        <v>633</v>
      </c>
      <c r="K16" s="2">
        <v>0.1013888888888889</v>
      </c>
      <c r="L16" s="4" t="str">
        <f>IF(AND(ISNUMBER(H16), COUNTIF([1]Songs!$L:$L,H16)&gt;0),"YES","")</f>
        <v/>
      </c>
    </row>
    <row r="17" spans="1:12" x14ac:dyDescent="0.25">
      <c r="A17" s="4">
        <f>INDEX(Albums!$A:$A, MATCH(C17,Albums!$C:$C,0))</f>
        <v>2</v>
      </c>
      <c r="B17" s="4">
        <f>INDEX(Albums!$B:$B, MATCH(C17,Albums!$C:$C,0))</f>
        <v>1990</v>
      </c>
      <c r="C17" t="s">
        <v>30</v>
      </c>
      <c r="D17">
        <v>5</v>
      </c>
      <c r="E17" t="s">
        <v>634</v>
      </c>
      <c r="K17" s="2">
        <v>0.1173611111111111</v>
      </c>
      <c r="L17" s="4" t="str">
        <f>IF(AND(ISNUMBER(H17), COUNTIF([1]Songs!$L:$L,H17)&gt;0),"YES","")</f>
        <v/>
      </c>
    </row>
    <row r="18" spans="1:12" x14ac:dyDescent="0.25">
      <c r="A18" s="4">
        <f>INDEX(Albums!$A:$A, MATCH(C18,Albums!$C:$C,0))</f>
        <v>2</v>
      </c>
      <c r="B18" s="4">
        <f>INDEX(Albums!$B:$B, MATCH(C18,Albums!$C:$C,0))</f>
        <v>1990</v>
      </c>
      <c r="C18" t="s">
        <v>30</v>
      </c>
      <c r="D18">
        <v>6</v>
      </c>
      <c r="E18" t="s">
        <v>635</v>
      </c>
      <c r="K18" s="2">
        <v>0.15138888888888888</v>
      </c>
      <c r="L18" s="4" t="str">
        <f>IF(AND(ISNUMBER(H18), COUNTIF([1]Songs!$L:$L,H18)&gt;0),"YES","")</f>
        <v/>
      </c>
    </row>
    <row r="19" spans="1:12" x14ac:dyDescent="0.25">
      <c r="A19" s="4">
        <f>INDEX(Albums!$A:$A, MATCH(C19,Albums!$C:$C,0))</f>
        <v>2</v>
      </c>
      <c r="B19" s="4">
        <f>INDEX(Albums!$B:$B, MATCH(C19,Albums!$C:$C,0))</f>
        <v>1990</v>
      </c>
      <c r="C19" t="s">
        <v>30</v>
      </c>
      <c r="D19">
        <v>7</v>
      </c>
      <c r="E19" t="s">
        <v>636</v>
      </c>
      <c r="K19" s="2">
        <v>0.1277777777777778</v>
      </c>
      <c r="L19" s="4" t="str">
        <f>IF(AND(ISNUMBER(H19), COUNTIF([1]Songs!$L:$L,H19)&gt;0),"YES","")</f>
        <v/>
      </c>
    </row>
    <row r="20" spans="1:12" x14ac:dyDescent="0.25">
      <c r="A20" s="4">
        <f>INDEX(Albums!$A:$A, MATCH(C20,Albums!$C:$C,0))</f>
        <v>2</v>
      </c>
      <c r="B20" s="4">
        <f>INDEX(Albums!$B:$B, MATCH(C20,Albums!$C:$C,0))</f>
        <v>1990</v>
      </c>
      <c r="C20" t="s">
        <v>30</v>
      </c>
      <c r="D20">
        <v>8</v>
      </c>
      <c r="E20" t="s">
        <v>30</v>
      </c>
      <c r="K20" s="2">
        <v>0.23333333333333331</v>
      </c>
      <c r="L20" s="4" t="str">
        <f>IF(AND(ISNUMBER(H20), COUNTIF([1]Songs!$L:$L,H20)&gt;0),"YES","")</f>
        <v/>
      </c>
    </row>
    <row r="21" spans="1:12" x14ac:dyDescent="0.25">
      <c r="A21" s="4">
        <f>INDEX(Albums!$A:$A, MATCH(C21,Albums!$C:$C,0))</f>
        <v>2</v>
      </c>
      <c r="B21" s="4">
        <f>INDEX(Albums!$B:$B, MATCH(C21,Albums!$C:$C,0))</f>
        <v>1990</v>
      </c>
      <c r="C21" t="s">
        <v>30</v>
      </c>
      <c r="D21">
        <v>9</v>
      </c>
      <c r="E21" t="s">
        <v>637</v>
      </c>
      <c r="K21" s="2">
        <v>0.19166666666666665</v>
      </c>
      <c r="L21" s="4" t="str">
        <f>IF(AND(ISNUMBER(H21), COUNTIF([1]Songs!$L:$L,H21)&gt;0),"YES","")</f>
        <v/>
      </c>
    </row>
    <row r="22" spans="1:12" x14ac:dyDescent="0.25">
      <c r="A22" s="4">
        <f>INDEX(Albums!$A:$A, MATCH(C22,Albums!$C:$C,0))</f>
        <v>2</v>
      </c>
      <c r="B22" s="4">
        <f>INDEX(Albums!$B:$B, MATCH(C22,Albums!$C:$C,0))</f>
        <v>1990</v>
      </c>
      <c r="C22" t="s">
        <v>30</v>
      </c>
      <c r="D22">
        <v>10</v>
      </c>
      <c r="E22" t="s">
        <v>638</v>
      </c>
      <c r="K22" s="2">
        <v>0.16666666666666666</v>
      </c>
      <c r="L22" s="4" t="str">
        <f>IF(AND(ISNUMBER(H22), COUNTIF([1]Songs!$L:$L,H22)&gt;0),"YES","")</f>
        <v/>
      </c>
    </row>
    <row r="23" spans="1:12" x14ac:dyDescent="0.25">
      <c r="A23" s="4">
        <f>INDEX(Albums!$A:$A, MATCH(C23,Albums!$C:$C,0))</f>
        <v>2</v>
      </c>
      <c r="B23" s="4">
        <f>INDEX(Albums!$B:$B, MATCH(C23,Albums!$C:$C,0))</f>
        <v>1990</v>
      </c>
      <c r="C23" t="s">
        <v>30</v>
      </c>
      <c r="D23">
        <v>11</v>
      </c>
      <c r="E23" t="s">
        <v>639</v>
      </c>
      <c r="K23" s="2">
        <v>0.24930555555555556</v>
      </c>
      <c r="L23" s="4" t="str">
        <f>IF(AND(ISNUMBER(H23), COUNTIF([1]Songs!$L:$L,H23)&gt;0),"YES","")</f>
        <v/>
      </c>
    </row>
    <row r="24" spans="1:12" x14ac:dyDescent="0.25">
      <c r="A24" s="4">
        <f>INDEX(Albums!$A:$A, MATCH(C24,Albums!$C:$C,0))</f>
        <v>2</v>
      </c>
      <c r="B24" s="4">
        <f>INDEX(Albums!$B:$B, MATCH(C24,Albums!$C:$C,0))</f>
        <v>1990</v>
      </c>
      <c r="C24" t="s">
        <v>30</v>
      </c>
      <c r="D24">
        <v>12</v>
      </c>
      <c r="E24" t="s">
        <v>640</v>
      </c>
      <c r="K24" s="2">
        <v>0.21180555555555555</v>
      </c>
      <c r="L24" s="4" t="str">
        <f>IF(AND(ISNUMBER(H24), COUNTIF([1]Songs!$L:$L,H24)&gt;0),"YES","")</f>
        <v/>
      </c>
    </row>
    <row r="25" spans="1:12" x14ac:dyDescent="0.25">
      <c r="A25" s="4">
        <f>INDEX(Albums!$A:$A, MATCH(C25,Albums!$C:$C,0))</f>
        <v>2</v>
      </c>
      <c r="B25" s="4">
        <f>INDEX(Albums!$B:$B, MATCH(C25,Albums!$C:$C,0))</f>
        <v>1990</v>
      </c>
      <c r="C25" t="s">
        <v>30</v>
      </c>
      <c r="D25">
        <v>13</v>
      </c>
      <c r="E25" t="s">
        <v>641</v>
      </c>
      <c r="K25" s="2">
        <v>0.30069444444444443</v>
      </c>
      <c r="L25" s="4" t="str">
        <f>IF(AND(ISNUMBER(H25), COUNTIF([1]Songs!$L:$L,H25)&gt;0),"YES","")</f>
        <v/>
      </c>
    </row>
    <row r="26" spans="1:12" x14ac:dyDescent="0.25">
      <c r="A26" s="4">
        <f>INDEX(Albums!$A:$A, MATCH(C26,Albums!$C:$C,0))</f>
        <v>2</v>
      </c>
      <c r="B26" s="4">
        <f>INDEX(Albums!$B:$B, MATCH(C26,Albums!$C:$C,0))</f>
        <v>1990</v>
      </c>
      <c r="C26" t="s">
        <v>30</v>
      </c>
      <c r="D26">
        <v>14</v>
      </c>
      <c r="E26" t="s">
        <v>642</v>
      </c>
      <c r="K26" s="2">
        <v>0.23402777777777781</v>
      </c>
      <c r="L26" s="4" t="str">
        <f>IF(AND(ISNUMBER(H26), COUNTIF([1]Songs!$L:$L,H26)&gt;0),"YES","")</f>
        <v/>
      </c>
    </row>
    <row r="27" spans="1:12" x14ac:dyDescent="0.25">
      <c r="A27" s="4">
        <f>INDEX(Albums!$A:$A, MATCH(C27,Albums!$C:$C,0))</f>
        <v>3</v>
      </c>
      <c r="B27" s="4">
        <f>INDEX(Albums!$B:$B, MATCH(C27,Albums!$C:$C,0))</f>
        <v>1992</v>
      </c>
      <c r="C27" t="s">
        <v>0</v>
      </c>
      <c r="D27">
        <v>1</v>
      </c>
      <c r="E27" t="s">
        <v>833</v>
      </c>
      <c r="F27" t="s">
        <v>653</v>
      </c>
      <c r="L27" s="4" t="str">
        <f>IF(AND(ISNUMBER(H27), COUNTIF([1]Songs!$L:$L,H27)&gt;0),"YES","")</f>
        <v/>
      </c>
    </row>
    <row r="28" spans="1:12" x14ac:dyDescent="0.25">
      <c r="A28" s="4">
        <f>INDEX(Albums!$A:$A, MATCH(C28,Albums!$C:$C,0))</f>
        <v>3</v>
      </c>
      <c r="B28" s="4">
        <f>INDEX(Albums!$B:$B, MATCH(C28,Albums!$C:$C,0))</f>
        <v>1992</v>
      </c>
      <c r="C28" t="s">
        <v>0</v>
      </c>
      <c r="D28">
        <v>2</v>
      </c>
      <c r="E28" t="s">
        <v>1096</v>
      </c>
      <c r="F28" t="s">
        <v>1053</v>
      </c>
      <c r="L28" s="4" t="str">
        <f>IF(AND(ISNUMBER(H28), COUNTIF([1]Songs!$L:$L,H28)&gt;0),"YES","")</f>
        <v/>
      </c>
    </row>
    <row r="29" spans="1:12" x14ac:dyDescent="0.25">
      <c r="A29" s="4">
        <f>INDEX(Albums!$A:$A, MATCH(C29,Albums!$C:$C,0))</f>
        <v>3</v>
      </c>
      <c r="B29" s="4">
        <f>INDEX(Albums!$B:$B, MATCH(C29,Albums!$C:$C,0))</f>
        <v>1992</v>
      </c>
      <c r="C29" t="s">
        <v>0</v>
      </c>
      <c r="D29">
        <v>3</v>
      </c>
      <c r="E29" t="s">
        <v>1097</v>
      </c>
      <c r="F29" t="s">
        <v>1053</v>
      </c>
      <c r="L29" s="4" t="str">
        <f>IF(AND(ISNUMBER(H29), COUNTIF([1]Songs!$L:$L,H29)&gt;0),"YES","")</f>
        <v/>
      </c>
    </row>
    <row r="30" spans="1:12" x14ac:dyDescent="0.25">
      <c r="A30" s="4">
        <f>INDEX(Albums!$A:$A, MATCH(C30,Albums!$C:$C,0))</f>
        <v>3</v>
      </c>
      <c r="B30" s="4">
        <f>INDEX(Albums!$B:$B, MATCH(C30,Albums!$C:$C,0))</f>
        <v>1992</v>
      </c>
      <c r="C30" t="s">
        <v>0</v>
      </c>
      <c r="D30">
        <v>4</v>
      </c>
      <c r="E30" t="s">
        <v>456</v>
      </c>
      <c r="F30" t="s">
        <v>1053</v>
      </c>
      <c r="L30" s="4" t="str">
        <f>IF(AND(ISNUMBER(H30), COUNTIF([1]Songs!$L:$L,H30)&gt;0),"YES","")</f>
        <v/>
      </c>
    </row>
    <row r="31" spans="1:12" x14ac:dyDescent="0.25">
      <c r="A31" s="4">
        <f>INDEX(Albums!$A:$A, MATCH(C31,Albums!$C:$C,0))</f>
        <v>3</v>
      </c>
      <c r="B31" s="4">
        <f>INDEX(Albums!$B:$B, MATCH(C31,Albums!$C:$C,0))</f>
        <v>1992</v>
      </c>
      <c r="C31" t="s">
        <v>0</v>
      </c>
      <c r="D31">
        <v>5</v>
      </c>
      <c r="E31" t="s">
        <v>1098</v>
      </c>
      <c r="F31" t="s">
        <v>1053</v>
      </c>
      <c r="L31" s="4" t="str">
        <f>IF(AND(ISNUMBER(H31), COUNTIF([1]Songs!$L:$L,H31)&gt;0),"YES","")</f>
        <v/>
      </c>
    </row>
    <row r="32" spans="1:12" x14ac:dyDescent="0.25">
      <c r="A32" s="4">
        <f>INDEX(Albums!$A:$A, MATCH(C32,Albums!$C:$C,0))</f>
        <v>3</v>
      </c>
      <c r="B32" s="4">
        <f>INDEX(Albums!$B:$B, MATCH(C32,Albums!$C:$C,0))</f>
        <v>1992</v>
      </c>
      <c r="C32" t="s">
        <v>0</v>
      </c>
      <c r="D32">
        <v>6</v>
      </c>
      <c r="E32" t="s">
        <v>1099</v>
      </c>
      <c r="F32" t="s">
        <v>1053</v>
      </c>
      <c r="L32" s="4" t="str">
        <f>IF(AND(ISNUMBER(H32), COUNTIF([1]Songs!$L:$L,H32)&gt;0),"YES","")</f>
        <v/>
      </c>
    </row>
    <row r="33" spans="1:12" x14ac:dyDescent="0.25">
      <c r="A33" s="4">
        <f>INDEX(Albums!$A:$A, MATCH(C33,Albums!$C:$C,0))</f>
        <v>3</v>
      </c>
      <c r="B33" s="4">
        <f>INDEX(Albums!$B:$B, MATCH(C33,Albums!$C:$C,0))</f>
        <v>1992</v>
      </c>
      <c r="C33" t="s">
        <v>0</v>
      </c>
      <c r="D33">
        <v>7</v>
      </c>
      <c r="E33" t="s">
        <v>1100</v>
      </c>
      <c r="F33" t="s">
        <v>1053</v>
      </c>
      <c r="L33" s="4" t="str">
        <f>IF(AND(ISNUMBER(H33), COUNTIF([1]Songs!$L:$L,H33)&gt;0),"YES","")</f>
        <v/>
      </c>
    </row>
    <row r="34" spans="1:12" x14ac:dyDescent="0.25">
      <c r="A34" s="4">
        <f>INDEX(Albums!$A:$A, MATCH(C34,Albums!$C:$C,0))</f>
        <v>3</v>
      </c>
      <c r="B34" s="4">
        <f>INDEX(Albums!$B:$B, MATCH(C34,Albums!$C:$C,0))</f>
        <v>1992</v>
      </c>
      <c r="C34" t="s">
        <v>0</v>
      </c>
      <c r="D34">
        <v>8</v>
      </c>
      <c r="E34" t="s">
        <v>1101</v>
      </c>
      <c r="F34" t="s">
        <v>1053</v>
      </c>
      <c r="L34" s="4" t="str">
        <f>IF(AND(ISNUMBER(H34), COUNTIF([1]Songs!$L:$L,H34)&gt;0),"YES","")</f>
        <v/>
      </c>
    </row>
    <row r="35" spans="1:12" x14ac:dyDescent="0.25">
      <c r="A35" s="4">
        <f>INDEX(Albums!$A:$A, MATCH(C35,Albums!$C:$C,0))</f>
        <v>3</v>
      </c>
      <c r="B35" s="4">
        <f>INDEX(Albums!$B:$B, MATCH(C35,Albums!$C:$C,0))</f>
        <v>1992</v>
      </c>
      <c r="C35" t="s">
        <v>0</v>
      </c>
      <c r="D35">
        <v>9</v>
      </c>
      <c r="E35" t="s">
        <v>0</v>
      </c>
      <c r="F35" t="s">
        <v>1053</v>
      </c>
      <c r="L35" s="4" t="str">
        <f>IF(AND(ISNUMBER(H35), COUNTIF([1]Songs!$L:$L,H35)&gt;0),"YES","")</f>
        <v/>
      </c>
    </row>
    <row r="36" spans="1:12" x14ac:dyDescent="0.25">
      <c r="A36" s="4">
        <f>INDEX(Albums!$A:$A, MATCH(C36,Albums!$C:$C,0))</f>
        <v>3</v>
      </c>
      <c r="B36" s="4">
        <f>INDEX(Albums!$B:$B, MATCH(C36,Albums!$C:$C,0))</f>
        <v>1992</v>
      </c>
      <c r="C36" t="s">
        <v>0</v>
      </c>
      <c r="D36">
        <v>10</v>
      </c>
      <c r="E36" t="s">
        <v>1102</v>
      </c>
      <c r="F36" t="s">
        <v>1053</v>
      </c>
      <c r="L36" s="4" t="str">
        <f>IF(AND(ISNUMBER(H36), COUNTIF([1]Songs!$L:$L,H36)&gt;0),"YES","")</f>
        <v/>
      </c>
    </row>
    <row r="37" spans="1:12" x14ac:dyDescent="0.25">
      <c r="A37" s="4">
        <f>INDEX(Albums!$A:$A, MATCH(C37,Albums!$C:$C,0))</f>
        <v>3</v>
      </c>
      <c r="B37" s="4">
        <f>INDEX(Albums!$B:$B, MATCH(C37,Albums!$C:$C,0))</f>
        <v>1992</v>
      </c>
      <c r="C37" t="s">
        <v>0</v>
      </c>
      <c r="D37">
        <v>11</v>
      </c>
      <c r="E37" t="s">
        <v>1103</v>
      </c>
      <c r="F37" t="s">
        <v>1053</v>
      </c>
      <c r="L37" s="4" t="str">
        <f>IF(AND(ISNUMBER(H37), COUNTIF([1]Songs!$L:$L,H37)&gt;0),"YES","")</f>
        <v/>
      </c>
    </row>
    <row r="38" spans="1:12" x14ac:dyDescent="0.25">
      <c r="A38" s="4">
        <f>INDEX(Albums!$A:$A, MATCH(C38,Albums!$C:$C,0))</f>
        <v>3</v>
      </c>
      <c r="B38" s="4">
        <f>INDEX(Albums!$B:$B, MATCH(C38,Albums!$C:$C,0))</f>
        <v>1992</v>
      </c>
      <c r="C38" t="s">
        <v>0</v>
      </c>
      <c r="D38">
        <v>12</v>
      </c>
      <c r="E38" t="s">
        <v>1104</v>
      </c>
      <c r="F38" t="s">
        <v>1105</v>
      </c>
      <c r="L38" s="4" t="str">
        <f>IF(AND(ISNUMBER(H38), COUNTIF([1]Songs!$L:$L,H38)&gt;0),"YES","")</f>
        <v/>
      </c>
    </row>
    <row r="39" spans="1:12" x14ac:dyDescent="0.25">
      <c r="A39" s="4">
        <f>INDEX(Albums!$A:$A, MATCH(C39,Albums!$C:$C,0))</f>
        <v>3</v>
      </c>
      <c r="B39" s="4">
        <f>INDEX(Albums!$B:$B, MATCH(C39,Albums!$C:$C,0))</f>
        <v>1992</v>
      </c>
      <c r="C39" t="s">
        <v>0</v>
      </c>
      <c r="D39">
        <v>13</v>
      </c>
      <c r="E39" t="s">
        <v>1106</v>
      </c>
      <c r="F39" t="s">
        <v>1053</v>
      </c>
      <c r="L39" s="4" t="str">
        <f>IF(AND(ISNUMBER(H39), COUNTIF([1]Songs!$L:$L,H39)&gt;0),"YES","")</f>
        <v/>
      </c>
    </row>
    <row r="40" spans="1:12" x14ac:dyDescent="0.25">
      <c r="A40" s="4">
        <f>INDEX(Albums!$A:$A, MATCH(C40,Albums!$C:$C,0))</f>
        <v>3</v>
      </c>
      <c r="B40" s="4">
        <f>INDEX(Albums!$B:$B, MATCH(C40,Albums!$C:$C,0))</f>
        <v>1992</v>
      </c>
      <c r="C40" t="s">
        <v>0</v>
      </c>
      <c r="D40">
        <v>14</v>
      </c>
      <c r="E40" t="s">
        <v>468</v>
      </c>
      <c r="F40" t="s">
        <v>1053</v>
      </c>
      <c r="L40" s="4" t="str">
        <f>IF(AND(ISNUMBER(H40), COUNTIF([1]Songs!$L:$L,H40)&gt;0),"YES","")</f>
        <v/>
      </c>
    </row>
    <row r="41" spans="1:12" x14ac:dyDescent="0.25">
      <c r="A41" s="4">
        <f>INDEX(Albums!$A:$A, MATCH(C41,Albums!$C:$C,0))</f>
        <v>3</v>
      </c>
      <c r="B41" s="4">
        <f>INDEX(Albums!$B:$B, MATCH(C41,Albums!$C:$C,0))</f>
        <v>1992</v>
      </c>
      <c r="C41" t="s">
        <v>0</v>
      </c>
      <c r="D41">
        <v>15</v>
      </c>
      <c r="E41" t="s">
        <v>1107</v>
      </c>
      <c r="F41" t="s">
        <v>1053</v>
      </c>
      <c r="L41" s="4" t="str">
        <f>IF(AND(ISNUMBER(H41), COUNTIF([1]Songs!$L:$L,H41)&gt;0),"YES","")</f>
        <v/>
      </c>
    </row>
    <row r="42" spans="1:12" x14ac:dyDescent="0.25">
      <c r="A42" s="4">
        <f>INDEX(Albums!$A:$A, MATCH(C42,Albums!$C:$C,0))</f>
        <v>3</v>
      </c>
      <c r="B42" s="4">
        <f>INDEX(Albums!$B:$B, MATCH(C42,Albums!$C:$C,0))</f>
        <v>1992</v>
      </c>
      <c r="C42" t="s">
        <v>0</v>
      </c>
      <c r="D42">
        <v>16</v>
      </c>
      <c r="E42" t="s">
        <v>1108</v>
      </c>
      <c r="F42" t="s">
        <v>1053</v>
      </c>
      <c r="L42" s="4" t="str">
        <f>IF(AND(ISNUMBER(H42), COUNTIF([1]Songs!$L:$L,H42)&gt;0),"YES","")</f>
        <v/>
      </c>
    </row>
    <row r="43" spans="1:12" x14ac:dyDescent="0.25">
      <c r="A43" s="4">
        <f>INDEX(Albums!$A:$A, MATCH(C43,Albums!$C:$C,0))</f>
        <v>4</v>
      </c>
      <c r="B43" s="4">
        <f>INDEX(Albums!$B:$B, MATCH(C43,Albums!$C:$C,0))</f>
        <v>1993</v>
      </c>
      <c r="C43" t="s">
        <v>1</v>
      </c>
      <c r="D43">
        <v>1</v>
      </c>
      <c r="E43" t="s">
        <v>1070</v>
      </c>
      <c r="F43" t="s">
        <v>653</v>
      </c>
      <c r="J43" t="s">
        <v>1071</v>
      </c>
      <c r="L43" s="4" t="str">
        <f>IF(AND(ISNUMBER(H43), COUNTIF([1]Songs!$L:$L,H43)&gt;0),"YES","")</f>
        <v/>
      </c>
    </row>
    <row r="44" spans="1:12" x14ac:dyDescent="0.25">
      <c r="A44" s="4">
        <f>INDEX(Albums!$A:$A, MATCH(C44,Albums!$C:$C,0))</f>
        <v>4</v>
      </c>
      <c r="B44" s="4">
        <f>INDEX(Albums!$B:$B, MATCH(C44,Albums!$C:$C,0))</f>
        <v>1993</v>
      </c>
      <c r="C44" t="s">
        <v>1</v>
      </c>
      <c r="D44">
        <v>2</v>
      </c>
      <c r="E44" t="s">
        <v>1072</v>
      </c>
      <c r="F44" t="s">
        <v>653</v>
      </c>
      <c r="J44" t="s">
        <v>1073</v>
      </c>
      <c r="L44" s="4" t="str">
        <f>IF(AND(ISNUMBER(H44), COUNTIF([1]Songs!$L:$L,H44)&gt;0),"YES","")</f>
        <v/>
      </c>
    </row>
    <row r="45" spans="1:12" x14ac:dyDescent="0.25">
      <c r="A45" s="4">
        <f>INDEX(Albums!$A:$A, MATCH(C45,Albums!$C:$C,0))</f>
        <v>4</v>
      </c>
      <c r="B45" s="4">
        <f>INDEX(Albums!$B:$B, MATCH(C45,Albums!$C:$C,0))</f>
        <v>1993</v>
      </c>
      <c r="C45" t="s">
        <v>1</v>
      </c>
      <c r="D45">
        <v>3</v>
      </c>
      <c r="E45" t="s">
        <v>1074</v>
      </c>
      <c r="F45" t="s">
        <v>121</v>
      </c>
      <c r="J45" t="s">
        <v>1075</v>
      </c>
      <c r="L45" s="4" t="str">
        <f>IF(AND(ISNUMBER(H45), COUNTIF([1]Songs!$L:$L,H45)&gt;0),"YES","")</f>
        <v/>
      </c>
    </row>
    <row r="46" spans="1:12" x14ac:dyDescent="0.25">
      <c r="A46" s="4">
        <f>INDEX(Albums!$A:$A, MATCH(C46,Albums!$C:$C,0))</f>
        <v>4</v>
      </c>
      <c r="B46" s="4">
        <f>INDEX(Albums!$B:$B, MATCH(C46,Albums!$C:$C,0))</f>
        <v>1993</v>
      </c>
      <c r="C46" t="s">
        <v>1</v>
      </c>
      <c r="D46">
        <v>4</v>
      </c>
      <c r="E46" t="s">
        <v>1076</v>
      </c>
      <c r="F46" t="s">
        <v>1077</v>
      </c>
      <c r="J46" t="s">
        <v>1078</v>
      </c>
      <c r="L46" s="4" t="str">
        <f>IF(AND(ISNUMBER(H46), COUNTIF([1]Songs!$L:$L,H46)&gt;0),"YES","")</f>
        <v/>
      </c>
    </row>
    <row r="47" spans="1:12" x14ac:dyDescent="0.25">
      <c r="A47" s="4">
        <f>INDEX(Albums!$A:$A, MATCH(C47,Albums!$C:$C,0))</f>
        <v>4</v>
      </c>
      <c r="B47" s="4">
        <f>INDEX(Albums!$B:$B, MATCH(C47,Albums!$C:$C,0))</f>
        <v>1993</v>
      </c>
      <c r="C47" t="s">
        <v>1</v>
      </c>
      <c r="D47">
        <v>5</v>
      </c>
      <c r="E47" t="s">
        <v>1079</v>
      </c>
      <c r="F47" t="s">
        <v>1080</v>
      </c>
      <c r="J47" t="s">
        <v>1081</v>
      </c>
      <c r="L47" s="4" t="str">
        <f>IF(AND(ISNUMBER(H47), COUNTIF([1]Songs!$L:$L,H47)&gt;0),"YES","")</f>
        <v/>
      </c>
    </row>
    <row r="48" spans="1:12" x14ac:dyDescent="0.25">
      <c r="A48" s="4">
        <f>INDEX(Albums!$A:$A, MATCH(C48,Albums!$C:$C,0))</f>
        <v>4</v>
      </c>
      <c r="B48" s="4">
        <f>INDEX(Albums!$B:$B, MATCH(C48,Albums!$C:$C,0))</f>
        <v>1993</v>
      </c>
      <c r="C48" t="s">
        <v>1</v>
      </c>
      <c r="D48">
        <v>6</v>
      </c>
      <c r="E48" t="s">
        <v>1082</v>
      </c>
      <c r="F48" t="s">
        <v>1053</v>
      </c>
      <c r="J48" t="s">
        <v>1083</v>
      </c>
      <c r="L48" s="4" t="str">
        <f>IF(AND(ISNUMBER(H48), COUNTIF([1]Songs!$L:$L,H48)&gt;0),"YES","")</f>
        <v/>
      </c>
    </row>
    <row r="49" spans="1:12" x14ac:dyDescent="0.25">
      <c r="A49" s="4">
        <f>INDEX(Albums!$A:$A, MATCH(C49,Albums!$C:$C,0))</f>
        <v>4</v>
      </c>
      <c r="B49" s="4">
        <f>INDEX(Albums!$B:$B, MATCH(C49,Albums!$C:$C,0))</f>
        <v>1993</v>
      </c>
      <c r="C49" t="s">
        <v>1</v>
      </c>
      <c r="D49">
        <v>7</v>
      </c>
      <c r="E49" t="s">
        <v>1084</v>
      </c>
      <c r="F49" t="s">
        <v>1053</v>
      </c>
      <c r="J49" t="s">
        <v>1081</v>
      </c>
      <c r="L49" s="4" t="str">
        <f>IF(AND(ISNUMBER(H49), COUNTIF([1]Songs!$L:$L,H49)&gt;0),"YES","")</f>
        <v/>
      </c>
    </row>
    <row r="50" spans="1:12" x14ac:dyDescent="0.25">
      <c r="A50" s="4">
        <f>INDEX(Albums!$A:$A, MATCH(C50,Albums!$C:$C,0))</f>
        <v>4</v>
      </c>
      <c r="B50" s="4">
        <f>INDEX(Albums!$B:$B, MATCH(C50,Albums!$C:$C,0))</f>
        <v>1993</v>
      </c>
      <c r="C50" t="s">
        <v>1</v>
      </c>
      <c r="D50">
        <v>8</v>
      </c>
      <c r="E50" t="s">
        <v>201</v>
      </c>
      <c r="F50" t="s">
        <v>1053</v>
      </c>
      <c r="J50" t="s">
        <v>1085</v>
      </c>
      <c r="L50" s="4" t="str">
        <f>IF(AND(ISNUMBER(H50), COUNTIF([1]Songs!$L:$L,H50)&gt;0),"YES","")</f>
        <v/>
      </c>
    </row>
    <row r="51" spans="1:12" x14ac:dyDescent="0.25">
      <c r="A51" s="4">
        <f>INDEX(Albums!$A:$A, MATCH(C51,Albums!$C:$C,0))</f>
        <v>4</v>
      </c>
      <c r="B51" s="4">
        <f>INDEX(Albums!$B:$B, MATCH(C51,Albums!$C:$C,0))</f>
        <v>1993</v>
      </c>
      <c r="C51" t="s">
        <v>1</v>
      </c>
      <c r="D51">
        <v>9</v>
      </c>
      <c r="E51" t="s">
        <v>1086</v>
      </c>
      <c r="F51" t="s">
        <v>533</v>
      </c>
      <c r="J51" t="s">
        <v>1087</v>
      </c>
      <c r="L51" s="4" t="str">
        <f>IF(AND(ISNUMBER(H51), COUNTIF([1]Songs!$L:$L,H51)&gt;0),"YES","")</f>
        <v/>
      </c>
    </row>
    <row r="52" spans="1:12" x14ac:dyDescent="0.25">
      <c r="A52" s="4">
        <f>INDEX(Albums!$A:$A, MATCH(C52,Albums!$C:$C,0))</f>
        <v>4</v>
      </c>
      <c r="B52" s="4">
        <f>INDEX(Albums!$B:$B, MATCH(C52,Albums!$C:$C,0))</f>
        <v>1993</v>
      </c>
      <c r="C52" t="s">
        <v>1</v>
      </c>
      <c r="D52">
        <v>10</v>
      </c>
      <c r="E52" t="s">
        <v>1088</v>
      </c>
      <c r="F52" t="s">
        <v>1089</v>
      </c>
      <c r="J52" t="s">
        <v>1081</v>
      </c>
      <c r="L52" s="4" t="str">
        <f>IF(AND(ISNUMBER(H52), COUNTIF([1]Songs!$L:$L,H52)&gt;0),"YES","")</f>
        <v/>
      </c>
    </row>
    <row r="53" spans="1:12" x14ac:dyDescent="0.25">
      <c r="A53" s="4">
        <f>INDEX(Albums!$A:$A, MATCH(C53,Albums!$C:$C,0))</f>
        <v>4</v>
      </c>
      <c r="B53" s="4">
        <f>INDEX(Albums!$B:$B, MATCH(C53,Albums!$C:$C,0))</f>
        <v>1993</v>
      </c>
      <c r="C53" t="s">
        <v>1</v>
      </c>
      <c r="D53">
        <v>11</v>
      </c>
      <c r="E53" t="s">
        <v>1090</v>
      </c>
      <c r="F53" t="s">
        <v>1053</v>
      </c>
      <c r="J53" t="s">
        <v>1091</v>
      </c>
      <c r="L53" s="4" t="str">
        <f>IF(AND(ISNUMBER(H53), COUNTIF([1]Songs!$L:$L,H53)&gt;0),"YES","")</f>
        <v/>
      </c>
    </row>
    <row r="54" spans="1:12" x14ac:dyDescent="0.25">
      <c r="A54" s="4">
        <f>INDEX(Albums!$A:$A, MATCH(C54,Albums!$C:$C,0))</f>
        <v>4</v>
      </c>
      <c r="B54" s="4">
        <f>INDEX(Albums!$B:$B, MATCH(C54,Albums!$C:$C,0))</f>
        <v>1993</v>
      </c>
      <c r="C54" t="s">
        <v>1</v>
      </c>
      <c r="D54">
        <v>12</v>
      </c>
      <c r="E54" t="s">
        <v>1092</v>
      </c>
      <c r="F54" t="s">
        <v>1053</v>
      </c>
      <c r="J54" t="s">
        <v>1093</v>
      </c>
      <c r="L54" s="4" t="str">
        <f>IF(AND(ISNUMBER(H54), COUNTIF([1]Songs!$L:$L,H54)&gt;0),"YES","")</f>
        <v/>
      </c>
    </row>
    <row r="55" spans="1:12" x14ac:dyDescent="0.25">
      <c r="A55" s="4">
        <f>INDEX(Albums!$A:$A, MATCH(C55,Albums!$C:$C,0))</f>
        <v>4</v>
      </c>
      <c r="B55" s="4">
        <f>INDEX(Albums!$B:$B, MATCH(C55,Albums!$C:$C,0))</f>
        <v>1993</v>
      </c>
      <c r="C55" t="s">
        <v>1</v>
      </c>
      <c r="D55">
        <v>13</v>
      </c>
      <c r="E55" t="s">
        <v>293</v>
      </c>
      <c r="F55" t="s">
        <v>1053</v>
      </c>
      <c r="J55" t="s">
        <v>1094</v>
      </c>
      <c r="L55" s="4" t="str">
        <f>IF(AND(ISNUMBER(H55), COUNTIF([1]Songs!$L:$L,H55)&gt;0),"YES","")</f>
        <v/>
      </c>
    </row>
    <row r="56" spans="1:12" x14ac:dyDescent="0.25">
      <c r="A56" s="4">
        <f>INDEX(Albums!$A:$A, MATCH(C56,Albums!$C:$C,0))</f>
        <v>4</v>
      </c>
      <c r="B56" s="4">
        <f>INDEX(Albums!$B:$B, MATCH(C56,Albums!$C:$C,0))</f>
        <v>1993</v>
      </c>
      <c r="C56" t="s">
        <v>1</v>
      </c>
      <c r="D56">
        <v>14</v>
      </c>
      <c r="E56" t="s">
        <v>1095</v>
      </c>
      <c r="F56" t="s">
        <v>1053</v>
      </c>
      <c r="J56" t="s">
        <v>121</v>
      </c>
      <c r="L56" s="4" t="str">
        <f>IF(AND(ISNUMBER(H56), COUNTIF([1]Songs!$L:$L,H56)&gt;0),"YES","")</f>
        <v/>
      </c>
    </row>
    <row r="57" spans="1:12" x14ac:dyDescent="0.25">
      <c r="A57" s="4">
        <f>INDEX(Albums!$A:$A, MATCH(C57,Albums!$C:$C,0))</f>
        <v>5</v>
      </c>
      <c r="B57" s="4">
        <f>INDEX(Albums!$B:$B, MATCH(C57,Albums!$C:$C,0))</f>
        <v>1994</v>
      </c>
      <c r="C57" t="s">
        <v>2</v>
      </c>
      <c r="D57">
        <v>1</v>
      </c>
      <c r="E57" t="s">
        <v>956</v>
      </c>
      <c r="L57" s="4" t="str">
        <f>IF(AND(ISNUMBER(H57), COUNTIF([1]Songs!$L:$L,H57)&gt;0),"YES","")</f>
        <v/>
      </c>
    </row>
    <row r="58" spans="1:12" x14ac:dyDescent="0.25">
      <c r="A58" s="4">
        <f>INDEX(Albums!$A:$A, MATCH(C58,Albums!$C:$C,0))</f>
        <v>5</v>
      </c>
      <c r="B58" s="4">
        <f>INDEX(Albums!$B:$B, MATCH(C58,Albums!$C:$C,0))</f>
        <v>1994</v>
      </c>
      <c r="C58" t="s">
        <v>2</v>
      </c>
      <c r="D58">
        <v>2</v>
      </c>
      <c r="E58" t="s">
        <v>2</v>
      </c>
      <c r="F58" t="s">
        <v>533</v>
      </c>
      <c r="J58" t="s">
        <v>1049</v>
      </c>
      <c r="L58" s="4" t="str">
        <f>IF(AND(ISNUMBER(H58), COUNTIF([1]Songs!$L:$L,H58)&gt;0),"YES","")</f>
        <v/>
      </c>
    </row>
    <row r="59" spans="1:12" x14ac:dyDescent="0.25">
      <c r="A59" s="4">
        <f>INDEX(Albums!$A:$A, MATCH(C59,Albums!$C:$C,0))</f>
        <v>5</v>
      </c>
      <c r="B59" s="4">
        <f>INDEX(Albums!$B:$B, MATCH(C59,Albums!$C:$C,0))</f>
        <v>1994</v>
      </c>
      <c r="C59" t="s">
        <v>2</v>
      </c>
      <c r="D59">
        <v>3</v>
      </c>
      <c r="E59" t="s">
        <v>1050</v>
      </c>
      <c r="F59" t="s">
        <v>653</v>
      </c>
      <c r="J59" t="s">
        <v>1051</v>
      </c>
      <c r="L59" s="4" t="str">
        <f>IF(AND(ISNUMBER(H59), COUNTIF([1]Songs!$L:$L,H59)&gt;0),"YES","")</f>
        <v/>
      </c>
    </row>
    <row r="60" spans="1:12" x14ac:dyDescent="0.25">
      <c r="A60" s="4">
        <f>INDEX(Albums!$A:$A, MATCH(C60,Albums!$C:$C,0))</f>
        <v>5</v>
      </c>
      <c r="B60" s="4">
        <f>INDEX(Albums!$B:$B, MATCH(C60,Albums!$C:$C,0))</f>
        <v>1994</v>
      </c>
      <c r="C60" t="s">
        <v>2</v>
      </c>
      <c r="D60">
        <v>4</v>
      </c>
      <c r="E60" t="s">
        <v>1052</v>
      </c>
      <c r="F60" t="s">
        <v>1053</v>
      </c>
      <c r="J60" t="s">
        <v>1054</v>
      </c>
      <c r="L60" s="4" t="str">
        <f>IF(AND(ISNUMBER(H60), COUNTIF([1]Songs!$L:$L,H60)&gt;0),"YES","")</f>
        <v/>
      </c>
    </row>
    <row r="61" spans="1:12" x14ac:dyDescent="0.25">
      <c r="A61" s="4">
        <f>INDEX(Albums!$A:$A, MATCH(C61,Albums!$C:$C,0))</f>
        <v>5</v>
      </c>
      <c r="B61" s="4">
        <f>INDEX(Albums!$B:$B, MATCH(C61,Albums!$C:$C,0))</f>
        <v>1994</v>
      </c>
      <c r="C61" t="s">
        <v>2</v>
      </c>
      <c r="D61">
        <v>5</v>
      </c>
      <c r="E61" t="s">
        <v>1055</v>
      </c>
      <c r="F61" t="s">
        <v>1053</v>
      </c>
      <c r="J61" t="s">
        <v>539</v>
      </c>
      <c r="L61" s="4" t="str">
        <f>IF(AND(ISNUMBER(H61), COUNTIF([1]Songs!$L:$L,H61)&gt;0),"YES","")</f>
        <v/>
      </c>
    </row>
    <row r="62" spans="1:12" x14ac:dyDescent="0.25">
      <c r="A62" s="4">
        <f>INDEX(Albums!$A:$A, MATCH(C62,Albums!$C:$C,0))</f>
        <v>5</v>
      </c>
      <c r="B62" s="4">
        <f>INDEX(Albums!$B:$B, MATCH(C62,Albums!$C:$C,0))</f>
        <v>1994</v>
      </c>
      <c r="C62" t="s">
        <v>2</v>
      </c>
      <c r="D62">
        <v>6</v>
      </c>
      <c r="E62" t="s">
        <v>1056</v>
      </c>
      <c r="F62" t="s">
        <v>1053</v>
      </c>
      <c r="J62" t="s">
        <v>1057</v>
      </c>
      <c r="L62" s="4" t="str">
        <f>IF(AND(ISNUMBER(H62), COUNTIF([1]Songs!$L:$L,H62)&gt;0),"YES","")</f>
        <v/>
      </c>
    </row>
    <row r="63" spans="1:12" x14ac:dyDescent="0.25">
      <c r="A63" s="4">
        <f>INDEX(Albums!$A:$A, MATCH(C63,Albums!$C:$C,0))</f>
        <v>5</v>
      </c>
      <c r="B63" s="4">
        <f>INDEX(Albums!$B:$B, MATCH(C63,Albums!$C:$C,0))</f>
        <v>1994</v>
      </c>
      <c r="C63" t="s">
        <v>2</v>
      </c>
      <c r="D63">
        <v>7</v>
      </c>
      <c r="E63" t="s">
        <v>1058</v>
      </c>
      <c r="F63" t="s">
        <v>1053</v>
      </c>
      <c r="J63" t="s">
        <v>1059</v>
      </c>
      <c r="L63" s="4" t="str">
        <f>IF(AND(ISNUMBER(H63), COUNTIF([1]Songs!$L:$L,H63)&gt;0),"YES","")</f>
        <v/>
      </c>
    </row>
    <row r="64" spans="1:12" x14ac:dyDescent="0.25">
      <c r="A64" s="4">
        <f>INDEX(Albums!$A:$A, MATCH(C64,Albums!$C:$C,0))</f>
        <v>5</v>
      </c>
      <c r="B64" s="4">
        <f>INDEX(Albums!$B:$B, MATCH(C64,Albums!$C:$C,0))</f>
        <v>1994</v>
      </c>
      <c r="C64" t="s">
        <v>2</v>
      </c>
      <c r="D64">
        <v>8</v>
      </c>
      <c r="E64" t="s">
        <v>1060</v>
      </c>
      <c r="F64" t="s">
        <v>992</v>
      </c>
      <c r="J64" t="s">
        <v>1030</v>
      </c>
      <c r="L64" s="4" t="str">
        <f>IF(AND(ISNUMBER(H64), COUNTIF([1]Songs!$L:$L,H64)&gt;0),"YES","")</f>
        <v/>
      </c>
    </row>
    <row r="65" spans="1:12" x14ac:dyDescent="0.25">
      <c r="A65" s="4">
        <f>INDEX(Albums!$A:$A, MATCH(C65,Albums!$C:$C,0))</f>
        <v>5</v>
      </c>
      <c r="B65" s="4">
        <f>INDEX(Albums!$B:$B, MATCH(C65,Albums!$C:$C,0))</f>
        <v>1994</v>
      </c>
      <c r="C65" t="s">
        <v>2</v>
      </c>
      <c r="D65">
        <v>9</v>
      </c>
      <c r="E65" t="s">
        <v>1061</v>
      </c>
      <c r="F65" t="s">
        <v>1053</v>
      </c>
      <c r="J65" t="s">
        <v>1054</v>
      </c>
      <c r="L65" s="4" t="str">
        <f>IF(AND(ISNUMBER(H65), COUNTIF([1]Songs!$L:$L,H65)&gt;0),"YES","")</f>
        <v/>
      </c>
    </row>
    <row r="66" spans="1:12" x14ac:dyDescent="0.25">
      <c r="A66" s="4">
        <f>INDEX(Albums!$A:$A, MATCH(C66,Albums!$C:$C,0))</f>
        <v>5</v>
      </c>
      <c r="B66" s="4">
        <f>INDEX(Albums!$B:$B, MATCH(C66,Albums!$C:$C,0))</f>
        <v>1994</v>
      </c>
      <c r="C66" t="s">
        <v>2</v>
      </c>
      <c r="D66">
        <v>10</v>
      </c>
      <c r="E66" t="s">
        <v>1062</v>
      </c>
      <c r="F66" t="s">
        <v>1063</v>
      </c>
      <c r="J66" t="s">
        <v>1064</v>
      </c>
      <c r="L66" s="4" t="str">
        <f>IF(AND(ISNUMBER(H66), COUNTIF([1]Songs!$L:$L,H66)&gt;0),"YES","")</f>
        <v/>
      </c>
    </row>
    <row r="67" spans="1:12" x14ac:dyDescent="0.25">
      <c r="A67" s="4">
        <f>INDEX(Albums!$A:$A, MATCH(C67,Albums!$C:$C,0))</f>
        <v>5</v>
      </c>
      <c r="B67" s="4">
        <f>INDEX(Albums!$B:$B, MATCH(C67,Albums!$C:$C,0))</f>
        <v>1994</v>
      </c>
      <c r="C67" t="s">
        <v>2</v>
      </c>
      <c r="D67">
        <v>11</v>
      </c>
      <c r="E67" t="s">
        <v>1065</v>
      </c>
      <c r="F67" t="s">
        <v>1066</v>
      </c>
      <c r="J67" t="s">
        <v>1051</v>
      </c>
      <c r="L67" s="4" t="str">
        <f>IF(AND(ISNUMBER(H67), COUNTIF([1]Songs!$L:$L,H67)&gt;0),"YES","")</f>
        <v/>
      </c>
    </row>
    <row r="68" spans="1:12" x14ac:dyDescent="0.25">
      <c r="A68" s="4">
        <f>INDEX(Albums!$A:$A, MATCH(C68,Albums!$C:$C,0))</f>
        <v>5</v>
      </c>
      <c r="B68" s="4">
        <f>INDEX(Albums!$B:$B, MATCH(C68,Albums!$C:$C,0))</f>
        <v>1994</v>
      </c>
      <c r="C68" t="s">
        <v>2</v>
      </c>
      <c r="D68">
        <v>12</v>
      </c>
      <c r="E68" t="s">
        <v>1067</v>
      </c>
      <c r="F68" t="s">
        <v>1053</v>
      </c>
      <c r="J68" t="s">
        <v>1068</v>
      </c>
      <c r="L68" s="4" t="str">
        <f>IF(AND(ISNUMBER(H68), COUNTIF([1]Songs!$L:$L,H68)&gt;0),"YES","")</f>
        <v/>
      </c>
    </row>
    <row r="69" spans="1:12" x14ac:dyDescent="0.25">
      <c r="A69" s="4">
        <f>INDEX(Albums!$A:$A, MATCH(C69,Albums!$C:$C,0))</f>
        <v>5</v>
      </c>
      <c r="B69" s="4">
        <f>INDEX(Albums!$B:$B, MATCH(C69,Albums!$C:$C,0))</f>
        <v>1994</v>
      </c>
      <c r="C69" t="s">
        <v>2</v>
      </c>
      <c r="D69">
        <v>13</v>
      </c>
      <c r="E69" t="s">
        <v>1069</v>
      </c>
      <c r="F69" t="s">
        <v>121</v>
      </c>
      <c r="J69" t="s">
        <v>121</v>
      </c>
      <c r="L69" s="4" t="str">
        <f>IF(AND(ISNUMBER(H69), COUNTIF([1]Songs!$L:$L,H69)&gt;0),"YES","")</f>
        <v/>
      </c>
    </row>
    <row r="70" spans="1:12" x14ac:dyDescent="0.25">
      <c r="A70" s="4">
        <f>INDEX(Albums!$A:$A, MATCH(C70,Albums!$C:$C,0))</f>
        <v>5</v>
      </c>
      <c r="B70" s="4">
        <f>INDEX(Albums!$B:$B, MATCH(C70,Albums!$C:$C,0))</f>
        <v>1994</v>
      </c>
      <c r="C70" t="s">
        <v>2</v>
      </c>
      <c r="D70">
        <v>14</v>
      </c>
      <c r="E70" t="s">
        <v>526</v>
      </c>
      <c r="F70" t="s">
        <v>1053</v>
      </c>
      <c r="J70" t="s">
        <v>1054</v>
      </c>
      <c r="L70" s="4" t="str">
        <f>IF(AND(ISNUMBER(H70), COUNTIF([1]Songs!$L:$L,H70)&gt;0),"YES","")</f>
        <v/>
      </c>
    </row>
    <row r="71" spans="1:12" x14ac:dyDescent="0.25">
      <c r="A71" s="4">
        <f>INDEX(Albums!$A:$A, MATCH(C71,Albums!$C:$C,0))</f>
        <v>6</v>
      </c>
      <c r="B71" s="4">
        <f>INDEX(Albums!$B:$B, MATCH(C71,Albums!$C:$C,0))</f>
        <v>1995</v>
      </c>
      <c r="C71" t="s">
        <v>3</v>
      </c>
      <c r="D71">
        <v>1</v>
      </c>
      <c r="E71" t="s">
        <v>3</v>
      </c>
      <c r="F71" t="s">
        <v>533</v>
      </c>
      <c r="J71" t="s">
        <v>121</v>
      </c>
      <c r="K71" s="2">
        <v>0.15972222222222224</v>
      </c>
      <c r="L71" s="4" t="str">
        <f>IF(AND(ISNUMBER(H71), COUNTIF([1]Songs!$L:$L,H71)&gt;0),"YES","")</f>
        <v/>
      </c>
    </row>
    <row r="72" spans="1:12" x14ac:dyDescent="0.25">
      <c r="A72" s="4">
        <f>INDEX(Albums!$A:$A, MATCH(C72,Albums!$C:$C,0))</f>
        <v>6</v>
      </c>
      <c r="B72" s="4">
        <f>INDEX(Albums!$B:$B, MATCH(C72,Albums!$C:$C,0))</f>
        <v>1995</v>
      </c>
      <c r="C72" t="s">
        <v>3</v>
      </c>
      <c r="D72">
        <v>2</v>
      </c>
      <c r="E72" t="s">
        <v>1109</v>
      </c>
      <c r="F72" t="s">
        <v>992</v>
      </c>
      <c r="J72" t="s">
        <v>1030</v>
      </c>
      <c r="K72" s="2">
        <v>0.12430555555555556</v>
      </c>
      <c r="L72" s="4" t="str">
        <f>IF(AND(ISNUMBER(H72), COUNTIF([1]Songs!$L:$L,H72)&gt;0),"YES","")</f>
        <v/>
      </c>
    </row>
    <row r="73" spans="1:12" x14ac:dyDescent="0.25">
      <c r="A73" s="4">
        <f>INDEX(Albums!$A:$A, MATCH(C73,Albums!$C:$C,0))</f>
        <v>6</v>
      </c>
      <c r="B73" s="4">
        <f>INDEX(Albums!$B:$B, MATCH(C73,Albums!$C:$C,0))</f>
        <v>1995</v>
      </c>
      <c r="C73" t="s">
        <v>3</v>
      </c>
      <c r="D73">
        <v>3</v>
      </c>
      <c r="E73" t="s">
        <v>1110</v>
      </c>
      <c r="F73" t="s">
        <v>121</v>
      </c>
      <c r="J73" t="s">
        <v>121</v>
      </c>
      <c r="K73" s="2">
        <v>0.14166666666666666</v>
      </c>
      <c r="L73" s="4" t="str">
        <f>IF(AND(ISNUMBER(H73), COUNTIF([1]Songs!$L:$L,H73)&gt;0),"YES","")</f>
        <v/>
      </c>
    </row>
    <row r="74" spans="1:12" x14ac:dyDescent="0.25">
      <c r="A74" s="4">
        <f>INDEX(Albums!$A:$A, MATCH(C74,Albums!$C:$C,0))</f>
        <v>6</v>
      </c>
      <c r="B74" s="4">
        <f>INDEX(Albums!$B:$B, MATCH(C74,Albums!$C:$C,0))</f>
        <v>1995</v>
      </c>
      <c r="C74" t="s">
        <v>3</v>
      </c>
      <c r="D74">
        <v>4</v>
      </c>
      <c r="E74" t="s">
        <v>1111</v>
      </c>
      <c r="F74" t="s">
        <v>1112</v>
      </c>
      <c r="J74" t="s">
        <v>1113</v>
      </c>
      <c r="K74" s="2">
        <v>0.14027777777777778</v>
      </c>
      <c r="L74" s="4" t="str">
        <f>IF(AND(ISNUMBER(H74), COUNTIF([1]Songs!$L:$L,H74)&gt;0),"YES","")</f>
        <v/>
      </c>
    </row>
    <row r="75" spans="1:12" x14ac:dyDescent="0.25">
      <c r="A75" s="4">
        <f>INDEX(Albums!$A:$A, MATCH(C75,Albums!$C:$C,0))</f>
        <v>6</v>
      </c>
      <c r="B75" s="4">
        <f>INDEX(Albums!$B:$B, MATCH(C75,Albums!$C:$C,0))</f>
        <v>1995</v>
      </c>
      <c r="C75" t="s">
        <v>3</v>
      </c>
      <c r="D75">
        <v>5</v>
      </c>
      <c r="E75" t="s">
        <v>1114</v>
      </c>
      <c r="F75" t="s">
        <v>1053</v>
      </c>
      <c r="J75" t="s">
        <v>483</v>
      </c>
      <c r="K75" s="2">
        <v>0.15763888888888888</v>
      </c>
      <c r="L75" s="4" t="str">
        <f>IF(AND(ISNUMBER(H75), COUNTIF([1]Songs!$L:$L,H75)&gt;0),"YES","")</f>
        <v/>
      </c>
    </row>
    <row r="76" spans="1:12" x14ac:dyDescent="0.25">
      <c r="A76" s="4">
        <f>INDEX(Albums!$A:$A, MATCH(C76,Albums!$C:$C,0))</f>
        <v>6</v>
      </c>
      <c r="B76" s="4">
        <f>INDEX(Albums!$B:$B, MATCH(C76,Albums!$C:$C,0))</f>
        <v>1995</v>
      </c>
      <c r="C76" t="s">
        <v>3</v>
      </c>
      <c r="D76">
        <v>6</v>
      </c>
      <c r="E76" t="s">
        <v>1115</v>
      </c>
      <c r="F76" t="s">
        <v>1053</v>
      </c>
      <c r="J76" t="s">
        <v>539</v>
      </c>
      <c r="K76" s="2">
        <v>0.21944444444444444</v>
      </c>
      <c r="L76" s="4" t="str">
        <f>IF(AND(ISNUMBER(H76), COUNTIF([1]Songs!$L:$L,H76)&gt;0),"YES","")</f>
        <v/>
      </c>
    </row>
    <row r="77" spans="1:12" x14ac:dyDescent="0.25">
      <c r="A77" s="4">
        <f>INDEX(Albums!$A:$A, MATCH(C77,Albums!$C:$C,0))</f>
        <v>6</v>
      </c>
      <c r="B77" s="4">
        <f>INDEX(Albums!$B:$B, MATCH(C77,Albums!$C:$C,0))</f>
        <v>1995</v>
      </c>
      <c r="C77" t="s">
        <v>3</v>
      </c>
      <c r="D77">
        <v>7</v>
      </c>
      <c r="E77" t="s">
        <v>1116</v>
      </c>
      <c r="F77" t="s">
        <v>1053</v>
      </c>
      <c r="J77" t="s">
        <v>1117</v>
      </c>
      <c r="K77" s="2">
        <v>0.21666666666666667</v>
      </c>
      <c r="L77" s="4" t="str">
        <f>IF(AND(ISNUMBER(H77), COUNTIF([1]Songs!$L:$L,H77)&gt;0),"YES","")</f>
        <v/>
      </c>
    </row>
    <row r="78" spans="1:12" x14ac:dyDescent="0.25">
      <c r="A78" s="4">
        <f>INDEX(Albums!$A:$A, MATCH(C78,Albums!$C:$C,0))</f>
        <v>6</v>
      </c>
      <c r="B78" s="4">
        <f>INDEX(Albums!$B:$B, MATCH(C78,Albums!$C:$C,0))</f>
        <v>1995</v>
      </c>
      <c r="C78" t="s">
        <v>3</v>
      </c>
      <c r="D78">
        <v>8</v>
      </c>
      <c r="E78" t="s">
        <v>1118</v>
      </c>
      <c r="F78" t="s">
        <v>1053</v>
      </c>
      <c r="J78" t="s">
        <v>121</v>
      </c>
      <c r="K78" s="2">
        <v>0.14861111111111111</v>
      </c>
      <c r="L78" s="4" t="str">
        <f>IF(AND(ISNUMBER(H78), COUNTIF([1]Songs!$L:$L,H78)&gt;0),"YES","")</f>
        <v/>
      </c>
    </row>
    <row r="79" spans="1:12" x14ac:dyDescent="0.25">
      <c r="A79" s="4">
        <f>INDEX(Albums!$A:$A, MATCH(C79,Albums!$C:$C,0))</f>
        <v>6</v>
      </c>
      <c r="B79" s="4">
        <f>INDEX(Albums!$B:$B, MATCH(C79,Albums!$C:$C,0))</f>
        <v>1995</v>
      </c>
      <c r="C79" t="s">
        <v>3</v>
      </c>
      <c r="D79">
        <v>9</v>
      </c>
      <c r="E79" t="s">
        <v>1119</v>
      </c>
      <c r="F79" t="s">
        <v>1053</v>
      </c>
      <c r="J79" t="s">
        <v>1120</v>
      </c>
      <c r="K79" s="2">
        <v>0.14652777777777778</v>
      </c>
      <c r="L79" s="4" t="str">
        <f>IF(AND(ISNUMBER(H79), COUNTIF([1]Songs!$L:$L,H79)&gt;0),"YES","")</f>
        <v/>
      </c>
    </row>
    <row r="80" spans="1:12" x14ac:dyDescent="0.25">
      <c r="A80" s="4">
        <f>INDEX(Albums!$A:$A, MATCH(C80,Albums!$C:$C,0))</f>
        <v>6</v>
      </c>
      <c r="B80" s="4">
        <f>INDEX(Albums!$B:$B, MATCH(C80,Albums!$C:$C,0))</f>
        <v>1995</v>
      </c>
      <c r="C80" t="s">
        <v>3</v>
      </c>
      <c r="D80">
        <v>10</v>
      </c>
      <c r="E80" t="s">
        <v>1121</v>
      </c>
      <c r="F80" t="s">
        <v>992</v>
      </c>
      <c r="J80" t="s">
        <v>1122</v>
      </c>
      <c r="K80" s="2">
        <v>0.11875000000000001</v>
      </c>
      <c r="L80" s="4" t="str">
        <f>IF(AND(ISNUMBER(H80), COUNTIF([1]Songs!$L:$L,H80)&gt;0),"YES","")</f>
        <v/>
      </c>
    </row>
    <row r="81" spans="1:12" x14ac:dyDescent="0.25">
      <c r="A81" s="4">
        <f>INDEX(Albums!$A:$A, MATCH(C81,Albums!$C:$C,0))</f>
        <v>6</v>
      </c>
      <c r="B81" s="4">
        <f>INDEX(Albums!$B:$B, MATCH(C81,Albums!$C:$C,0))</f>
        <v>1995</v>
      </c>
      <c r="C81" t="s">
        <v>3</v>
      </c>
      <c r="D81">
        <v>11</v>
      </c>
      <c r="E81" t="s">
        <v>213</v>
      </c>
      <c r="F81" t="s">
        <v>1053</v>
      </c>
      <c r="J81" t="s">
        <v>121</v>
      </c>
      <c r="K81" s="2">
        <v>0.13402777777777777</v>
      </c>
      <c r="L81" s="4" t="str">
        <f>IF(AND(ISNUMBER(H81), COUNTIF([1]Songs!$L:$L,H81)&gt;0),"YES","")</f>
        <v/>
      </c>
    </row>
    <row r="82" spans="1:12" x14ac:dyDescent="0.25">
      <c r="A82" s="4">
        <f>INDEX(Albums!$A:$A, MATCH(C82,Albums!$C:$C,0))</f>
        <v>6</v>
      </c>
      <c r="B82" s="4">
        <f>INDEX(Albums!$B:$B, MATCH(C82,Albums!$C:$C,0))</f>
        <v>1995</v>
      </c>
      <c r="C82" t="s">
        <v>3</v>
      </c>
      <c r="D82">
        <v>12</v>
      </c>
      <c r="E82" t="s">
        <v>1123</v>
      </c>
      <c r="F82" t="s">
        <v>521</v>
      </c>
      <c r="J82" t="s">
        <v>121</v>
      </c>
      <c r="K82" s="2">
        <v>0.10347222222222223</v>
      </c>
      <c r="L82" s="4" t="str">
        <f>IF(AND(ISNUMBER(H82), COUNTIF([1]Songs!$L:$L,H82)&gt;0),"YES","")</f>
        <v/>
      </c>
    </row>
    <row r="83" spans="1:12" x14ac:dyDescent="0.25">
      <c r="A83" s="4">
        <f>INDEX(Albums!$A:$A, MATCH(C83,Albums!$C:$C,0))</f>
        <v>6</v>
      </c>
      <c r="B83" s="4">
        <f>INDEX(Albums!$B:$B, MATCH(C83,Albums!$C:$C,0))</f>
        <v>1995</v>
      </c>
      <c r="C83" t="s">
        <v>3</v>
      </c>
      <c r="D83">
        <v>13</v>
      </c>
      <c r="E83" t="s">
        <v>1124</v>
      </c>
      <c r="F83" t="s">
        <v>1053</v>
      </c>
      <c r="J83" t="s">
        <v>1125</v>
      </c>
      <c r="K83" s="2">
        <v>0.18819444444444444</v>
      </c>
      <c r="L83" s="4" t="str">
        <f>IF(AND(ISNUMBER(H83), COUNTIF([1]Songs!$L:$L,H83)&gt;0),"YES","")</f>
        <v/>
      </c>
    </row>
    <row r="84" spans="1:12" x14ac:dyDescent="0.25">
      <c r="A84" s="4">
        <f>INDEX(Albums!$A:$A, MATCH(C84,Albums!$C:$C,0))</f>
        <v>6</v>
      </c>
      <c r="B84" s="4">
        <f>INDEX(Albums!$B:$B, MATCH(C84,Albums!$C:$C,0))</f>
        <v>1995</v>
      </c>
      <c r="C84" t="s">
        <v>3</v>
      </c>
      <c r="D84">
        <v>14</v>
      </c>
      <c r="E84" t="s">
        <v>1126</v>
      </c>
      <c r="F84" t="s">
        <v>1053</v>
      </c>
      <c r="J84" t="s">
        <v>1127</v>
      </c>
      <c r="K84" s="2">
        <v>0.25</v>
      </c>
      <c r="L84" s="4" t="str">
        <f>IF(AND(ISNUMBER(H84), COUNTIF([1]Songs!$L:$L,H84)&gt;0),"YES","")</f>
        <v/>
      </c>
    </row>
    <row r="85" spans="1:12" x14ac:dyDescent="0.25">
      <c r="A85" s="4">
        <f>INDEX(Albums!$A:$A, MATCH(C85,Albums!$C:$C,0))</f>
        <v>6</v>
      </c>
      <c r="B85" s="4">
        <f>INDEX(Albums!$B:$B, MATCH(C85,Albums!$C:$C,0))</f>
        <v>1995</v>
      </c>
      <c r="C85" t="s">
        <v>3</v>
      </c>
      <c r="D85">
        <v>15</v>
      </c>
      <c r="E85" t="s">
        <v>1128</v>
      </c>
      <c r="F85" t="s">
        <v>992</v>
      </c>
      <c r="J85" t="s">
        <v>1129</v>
      </c>
      <c r="K85" s="2">
        <v>0.21597222222222223</v>
      </c>
      <c r="L85" s="4" t="str">
        <f>IF(AND(ISNUMBER(H85), COUNTIF([1]Songs!$L:$L,H85)&gt;0),"YES","")</f>
        <v/>
      </c>
    </row>
    <row r="86" spans="1:12" x14ac:dyDescent="0.25">
      <c r="A86" s="4">
        <f>INDEX(Albums!$A:$A, MATCH(C86,Albums!$C:$C,0))</f>
        <v>7</v>
      </c>
      <c r="B86" s="4">
        <f>INDEX(Albums!$B:$B, MATCH(C86,Albums!$C:$C,0))</f>
        <v>1996</v>
      </c>
      <c r="C86" t="s">
        <v>4</v>
      </c>
      <c r="D86">
        <v>1</v>
      </c>
      <c r="E86" t="s">
        <v>4</v>
      </c>
      <c r="F86" t="s">
        <v>1028</v>
      </c>
      <c r="J86" t="s">
        <v>121</v>
      </c>
      <c r="L86" s="4" t="str">
        <f>IF(AND(ISNUMBER(H86), COUNTIF([1]Songs!$L:$L,H86)&gt;0),"YES","")</f>
        <v/>
      </c>
    </row>
    <row r="87" spans="1:12" x14ac:dyDescent="0.25">
      <c r="A87" s="4">
        <f>INDEX(Albums!$A:$A, MATCH(C87,Albums!$C:$C,0))</f>
        <v>7</v>
      </c>
      <c r="B87" s="4">
        <f>INDEX(Albums!$B:$B, MATCH(C87,Albums!$C:$C,0))</f>
        <v>1996</v>
      </c>
      <c r="C87" t="s">
        <v>4</v>
      </c>
      <c r="D87">
        <v>2</v>
      </c>
      <c r="E87" t="s">
        <v>1029</v>
      </c>
      <c r="F87" t="s">
        <v>992</v>
      </c>
      <c r="J87" t="s">
        <v>1030</v>
      </c>
      <c r="L87" s="4" t="str">
        <f>IF(AND(ISNUMBER(H87), COUNTIF([1]Songs!$L:$L,H87)&gt;0),"YES","")</f>
        <v/>
      </c>
    </row>
    <row r="88" spans="1:12" x14ac:dyDescent="0.25">
      <c r="A88" s="4">
        <f>INDEX(Albums!$A:$A, MATCH(C88,Albums!$C:$C,0))</f>
        <v>7</v>
      </c>
      <c r="B88" s="4">
        <f>INDEX(Albums!$B:$B, MATCH(C88,Albums!$C:$C,0))</f>
        <v>1996</v>
      </c>
      <c r="C88" t="s">
        <v>4</v>
      </c>
      <c r="D88">
        <v>3</v>
      </c>
      <c r="E88" t="s">
        <v>1031</v>
      </c>
      <c r="F88" t="s">
        <v>483</v>
      </c>
      <c r="J88" t="s">
        <v>483</v>
      </c>
      <c r="L88" s="4" t="str">
        <f>IF(AND(ISNUMBER(H88), COUNTIF([1]Songs!$L:$L,H88)&gt;0),"YES","")</f>
        <v/>
      </c>
    </row>
    <row r="89" spans="1:12" x14ac:dyDescent="0.25">
      <c r="A89" s="4">
        <f>INDEX(Albums!$A:$A, MATCH(C89,Albums!$C:$C,0))</f>
        <v>7</v>
      </c>
      <c r="B89" s="4">
        <f>INDEX(Albums!$B:$B, MATCH(C89,Albums!$C:$C,0))</f>
        <v>1996</v>
      </c>
      <c r="C89" t="s">
        <v>4</v>
      </c>
      <c r="D89">
        <v>4</v>
      </c>
      <c r="E89" t="s">
        <v>1032</v>
      </c>
      <c r="F89" t="s">
        <v>992</v>
      </c>
      <c r="J89" t="s">
        <v>121</v>
      </c>
      <c r="L89" s="4" t="str">
        <f>IF(AND(ISNUMBER(H89), COUNTIF([1]Songs!$L:$L,H89)&gt;0),"YES","")</f>
        <v/>
      </c>
    </row>
    <row r="90" spans="1:12" x14ac:dyDescent="0.25">
      <c r="A90" s="4">
        <f>INDEX(Albums!$A:$A, MATCH(C90,Albums!$C:$C,0))</f>
        <v>7</v>
      </c>
      <c r="B90" s="4">
        <f>INDEX(Albums!$B:$B, MATCH(C90,Albums!$C:$C,0))</f>
        <v>1996</v>
      </c>
      <c r="C90" t="s">
        <v>4</v>
      </c>
      <c r="D90">
        <v>5</v>
      </c>
      <c r="E90" t="s">
        <v>1033</v>
      </c>
      <c r="F90" t="s">
        <v>1034</v>
      </c>
      <c r="J90" t="s">
        <v>121</v>
      </c>
      <c r="L90" s="4" t="str">
        <f>IF(AND(ISNUMBER(H90), COUNTIF([1]Songs!$L:$L,H90)&gt;0),"YES","")</f>
        <v/>
      </c>
    </row>
    <row r="91" spans="1:12" x14ac:dyDescent="0.25">
      <c r="A91" s="4">
        <f>INDEX(Albums!$A:$A, MATCH(C91,Albums!$C:$C,0))</f>
        <v>7</v>
      </c>
      <c r="B91" s="4">
        <f>INDEX(Albums!$B:$B, MATCH(C91,Albums!$C:$C,0))</f>
        <v>1996</v>
      </c>
      <c r="C91" t="s">
        <v>4</v>
      </c>
      <c r="D91">
        <v>6</v>
      </c>
      <c r="E91" t="s">
        <v>1035</v>
      </c>
      <c r="F91" t="s">
        <v>486</v>
      </c>
      <c r="J91" t="s">
        <v>1036</v>
      </c>
      <c r="L91" s="4" t="str">
        <f>IF(AND(ISNUMBER(H91), COUNTIF([1]Songs!$L:$L,H91)&gt;0),"YES","")</f>
        <v/>
      </c>
    </row>
    <row r="92" spans="1:12" x14ac:dyDescent="0.25">
      <c r="A92" s="4">
        <f>INDEX(Albums!$A:$A, MATCH(C92,Albums!$C:$C,0))</f>
        <v>7</v>
      </c>
      <c r="B92" s="4">
        <f>INDEX(Albums!$B:$B, MATCH(C92,Albums!$C:$C,0))</f>
        <v>1996</v>
      </c>
      <c r="C92" t="s">
        <v>4</v>
      </c>
      <c r="D92">
        <v>7</v>
      </c>
      <c r="E92" t="s">
        <v>1037</v>
      </c>
      <c r="F92" t="s">
        <v>521</v>
      </c>
      <c r="J92" t="s">
        <v>1038</v>
      </c>
      <c r="L92" s="4" t="str">
        <f>IF(AND(ISNUMBER(H92), COUNTIF([1]Songs!$L:$L,H92)&gt;0),"YES","")</f>
        <v/>
      </c>
    </row>
    <row r="93" spans="1:12" x14ac:dyDescent="0.25">
      <c r="A93" s="4">
        <f>INDEX(Albums!$A:$A, MATCH(C93,Albums!$C:$C,0))</f>
        <v>7</v>
      </c>
      <c r="B93" s="4">
        <f>INDEX(Albums!$B:$B, MATCH(C93,Albums!$C:$C,0))</f>
        <v>1996</v>
      </c>
      <c r="C93" t="s">
        <v>4</v>
      </c>
      <c r="D93">
        <v>8</v>
      </c>
      <c r="E93" t="s">
        <v>1039</v>
      </c>
      <c r="F93" t="s">
        <v>55</v>
      </c>
      <c r="J93" t="s">
        <v>483</v>
      </c>
      <c r="L93" s="4" t="str">
        <f>IF(AND(ISNUMBER(H93), COUNTIF([1]Songs!$L:$L,H93)&gt;0),"YES","")</f>
        <v/>
      </c>
    </row>
    <row r="94" spans="1:12" x14ac:dyDescent="0.25">
      <c r="A94" s="4">
        <f>INDEX(Albums!$A:$A, MATCH(C94,Albums!$C:$C,0))</f>
        <v>7</v>
      </c>
      <c r="B94" s="4">
        <f>INDEX(Albums!$B:$B, MATCH(C94,Albums!$C:$C,0))</f>
        <v>1996</v>
      </c>
      <c r="C94" t="s">
        <v>4</v>
      </c>
      <c r="D94">
        <v>9</v>
      </c>
      <c r="E94" t="s">
        <v>1040</v>
      </c>
      <c r="F94" t="s">
        <v>521</v>
      </c>
      <c r="J94" t="s">
        <v>121</v>
      </c>
      <c r="L94" s="4" t="str">
        <f>IF(AND(ISNUMBER(H94), COUNTIF([1]Songs!$L:$L,H94)&gt;0),"YES","")</f>
        <v/>
      </c>
    </row>
    <row r="95" spans="1:12" x14ac:dyDescent="0.25">
      <c r="A95" s="4">
        <f>INDEX(Albums!$A:$A, MATCH(C95,Albums!$C:$C,0))</f>
        <v>7</v>
      </c>
      <c r="B95" s="4">
        <f>INDEX(Albums!$B:$B, MATCH(C95,Albums!$C:$C,0))</f>
        <v>1996</v>
      </c>
      <c r="C95" t="s">
        <v>4</v>
      </c>
      <c r="D95">
        <v>10</v>
      </c>
      <c r="E95" t="s">
        <v>1041</v>
      </c>
      <c r="F95" t="s">
        <v>992</v>
      </c>
      <c r="J95" t="s">
        <v>121</v>
      </c>
      <c r="L95" s="4" t="str">
        <f>IF(AND(ISNUMBER(H95), COUNTIF([1]Songs!$L:$L,H95)&gt;0),"YES","")</f>
        <v/>
      </c>
    </row>
    <row r="96" spans="1:12" x14ac:dyDescent="0.25">
      <c r="A96" s="4">
        <f>INDEX(Albums!$A:$A, MATCH(C96,Albums!$C:$C,0))</f>
        <v>7</v>
      </c>
      <c r="B96" s="4">
        <f>INDEX(Albums!$B:$B, MATCH(C96,Albums!$C:$C,0))</f>
        <v>1996</v>
      </c>
      <c r="C96" t="s">
        <v>4</v>
      </c>
      <c r="D96">
        <v>11</v>
      </c>
      <c r="E96" t="s">
        <v>1042</v>
      </c>
      <c r="F96" t="s">
        <v>992</v>
      </c>
      <c r="J96" t="s">
        <v>1043</v>
      </c>
      <c r="L96" s="4" t="str">
        <f>IF(AND(ISNUMBER(H96), COUNTIF([1]Songs!$L:$L,H96)&gt;0),"YES","")</f>
        <v/>
      </c>
    </row>
    <row r="97" spans="1:12" x14ac:dyDescent="0.25">
      <c r="A97" s="4">
        <f>INDEX(Albums!$A:$A, MATCH(C97,Albums!$C:$C,0))</f>
        <v>7</v>
      </c>
      <c r="B97" s="4">
        <f>INDEX(Albums!$B:$B, MATCH(C97,Albums!$C:$C,0))</f>
        <v>1996</v>
      </c>
      <c r="C97" t="s">
        <v>4</v>
      </c>
      <c r="D97">
        <v>12</v>
      </c>
      <c r="E97" t="s">
        <v>1044</v>
      </c>
      <c r="F97" t="s">
        <v>1045</v>
      </c>
      <c r="J97" t="s">
        <v>1046</v>
      </c>
      <c r="L97" s="4" t="str">
        <f>IF(AND(ISNUMBER(H97), COUNTIF([1]Songs!$L:$L,H97)&gt;0),"YES","")</f>
        <v/>
      </c>
    </row>
    <row r="98" spans="1:12" x14ac:dyDescent="0.25">
      <c r="A98" s="4">
        <f>INDEX(Albums!$A:$A, MATCH(C98,Albums!$C:$C,0))</f>
        <v>7</v>
      </c>
      <c r="B98" s="4">
        <f>INDEX(Albums!$B:$B, MATCH(C98,Albums!$C:$C,0))</f>
        <v>1996</v>
      </c>
      <c r="C98" t="s">
        <v>4</v>
      </c>
      <c r="D98">
        <v>13</v>
      </c>
      <c r="E98" t="s">
        <v>1047</v>
      </c>
      <c r="F98" t="s">
        <v>1030</v>
      </c>
      <c r="J98" t="s">
        <v>121</v>
      </c>
      <c r="L98" s="4" t="str">
        <f>IF(AND(ISNUMBER(H98), COUNTIF([1]Songs!$L:$L,H98)&gt;0),"YES","")</f>
        <v/>
      </c>
    </row>
    <row r="99" spans="1:12" x14ac:dyDescent="0.25">
      <c r="A99" s="4">
        <f>INDEX(Albums!$A:$A, MATCH(C99,Albums!$C:$C,0))</f>
        <v>7</v>
      </c>
      <c r="B99" s="4">
        <f>INDEX(Albums!$B:$B, MATCH(C99,Albums!$C:$C,0))</f>
        <v>1996</v>
      </c>
      <c r="C99" t="s">
        <v>4</v>
      </c>
      <c r="D99">
        <v>14</v>
      </c>
      <c r="E99" t="s">
        <v>1048</v>
      </c>
      <c r="F99" t="s">
        <v>521</v>
      </c>
      <c r="J99" t="s">
        <v>121</v>
      </c>
      <c r="L99" s="4" t="str">
        <f>IF(AND(ISNUMBER(H99), COUNTIF([1]Songs!$L:$L,H99)&gt;0),"YES","")</f>
        <v/>
      </c>
    </row>
    <row r="100" spans="1:12" x14ac:dyDescent="0.25">
      <c r="A100" s="4">
        <f>INDEX(Albums!$A:$A, MATCH(C100,Albums!$C:$C,0))</f>
        <v>7</v>
      </c>
      <c r="B100" s="4">
        <f>INDEX(Albums!$B:$B, MATCH(C100,Albums!$C:$C,0))</f>
        <v>1996</v>
      </c>
      <c r="C100" t="s">
        <v>4</v>
      </c>
      <c r="D100">
        <v>15</v>
      </c>
      <c r="E100" t="s">
        <v>4</v>
      </c>
      <c r="F100" t="s">
        <v>490</v>
      </c>
      <c r="J100" t="s">
        <v>121</v>
      </c>
      <c r="L100" s="4" t="str">
        <f>IF(AND(ISNUMBER(H100), COUNTIF([1]Songs!$L:$L,H100)&gt;0),"YES","")</f>
        <v/>
      </c>
    </row>
    <row r="101" spans="1:12" x14ac:dyDescent="0.25">
      <c r="A101" s="4">
        <f>INDEX(Albums!$A:$A, MATCH(C101,Albums!$C:$C,0))</f>
        <v>8</v>
      </c>
      <c r="B101" s="4">
        <f>INDEX(Albums!$B:$B, MATCH(C101,Albums!$C:$C,0))</f>
        <v>1996</v>
      </c>
      <c r="C101" t="s">
        <v>46</v>
      </c>
      <c r="D101">
        <v>1</v>
      </c>
      <c r="E101" t="s">
        <v>1037</v>
      </c>
      <c r="F101" t="s">
        <v>121</v>
      </c>
    </row>
    <row r="102" spans="1:12" x14ac:dyDescent="0.25">
      <c r="A102" s="4">
        <f>INDEX(Albums!$A:$A, MATCH(C102,Albums!$C:$C,0))</f>
        <v>8</v>
      </c>
      <c r="B102" s="4">
        <f>INDEX(Albums!$B:$B, MATCH(C102,Albums!$C:$C,0))</f>
        <v>1996</v>
      </c>
      <c r="C102" t="s">
        <v>46</v>
      </c>
      <c r="D102">
        <v>2</v>
      </c>
      <c r="E102" t="s">
        <v>1257</v>
      </c>
      <c r="F102" t="s">
        <v>533</v>
      </c>
    </row>
    <row r="103" spans="1:12" x14ac:dyDescent="0.25">
      <c r="A103" s="4">
        <f>INDEX(Albums!$A:$A, MATCH(C103,Albums!$C:$C,0))</f>
        <v>8</v>
      </c>
      <c r="B103" s="4">
        <f>INDEX(Albums!$B:$B, MATCH(C103,Albums!$C:$C,0))</f>
        <v>1996</v>
      </c>
      <c r="C103" t="s">
        <v>46</v>
      </c>
      <c r="D103">
        <v>3</v>
      </c>
      <c r="E103" t="s">
        <v>2</v>
      </c>
      <c r="F103" t="s">
        <v>992</v>
      </c>
    </row>
    <row r="104" spans="1:12" x14ac:dyDescent="0.25">
      <c r="A104" s="4">
        <f>INDEX(Albums!$A:$A, MATCH(C104,Albums!$C:$C,0))</f>
        <v>8</v>
      </c>
      <c r="B104" s="4">
        <f>INDEX(Albums!$B:$B, MATCH(C104,Albums!$C:$C,0))</f>
        <v>1996</v>
      </c>
      <c r="C104" t="s">
        <v>46</v>
      </c>
      <c r="D104">
        <v>4</v>
      </c>
      <c r="E104" t="s">
        <v>1258</v>
      </c>
      <c r="F104" t="s">
        <v>653</v>
      </c>
    </row>
    <row r="105" spans="1:12" x14ac:dyDescent="0.25">
      <c r="A105" s="4">
        <f>INDEX(Albums!$A:$A, MATCH(C105,Albums!$C:$C,0))</f>
        <v>8</v>
      </c>
      <c r="B105" s="4">
        <f>INDEX(Albums!$B:$B, MATCH(C105,Albums!$C:$C,0))</f>
        <v>1996</v>
      </c>
      <c r="C105" t="s">
        <v>46</v>
      </c>
      <c r="D105">
        <v>5</v>
      </c>
      <c r="E105" t="s">
        <v>1259</v>
      </c>
      <c r="F105" t="s">
        <v>1053</v>
      </c>
    </row>
    <row r="106" spans="1:12" x14ac:dyDescent="0.25">
      <c r="A106" s="4">
        <f>INDEX(Albums!$A:$A, MATCH(C106,Albums!$C:$C,0))</f>
        <v>8</v>
      </c>
      <c r="B106" s="4">
        <f>INDEX(Albums!$B:$B, MATCH(C106,Albums!$C:$C,0))</f>
        <v>1996</v>
      </c>
      <c r="C106" t="s">
        <v>46</v>
      </c>
      <c r="D106">
        <v>6</v>
      </c>
      <c r="E106" t="s">
        <v>936</v>
      </c>
      <c r="F106" t="s">
        <v>1263</v>
      </c>
    </row>
    <row r="107" spans="1:12" x14ac:dyDescent="0.25">
      <c r="A107" s="4">
        <f>INDEX(Albums!$A:$A, MATCH(C107,Albums!$C:$C,0))</f>
        <v>8</v>
      </c>
      <c r="B107" s="4">
        <f>INDEX(Albums!$B:$B, MATCH(C107,Albums!$C:$C,0))</f>
        <v>1996</v>
      </c>
      <c r="C107" t="s">
        <v>46</v>
      </c>
      <c r="D107">
        <v>7</v>
      </c>
      <c r="E107" t="s">
        <v>1170</v>
      </c>
      <c r="F107" t="s">
        <v>992</v>
      </c>
    </row>
    <row r="108" spans="1:12" x14ac:dyDescent="0.25">
      <c r="A108" s="4">
        <f>INDEX(Albums!$A:$A, MATCH(C108,Albums!$C:$C,0))</f>
        <v>8</v>
      </c>
      <c r="B108" s="4">
        <f>INDEX(Albums!$B:$B, MATCH(C108,Albums!$C:$C,0))</f>
        <v>1996</v>
      </c>
      <c r="C108" t="s">
        <v>46</v>
      </c>
      <c r="D108">
        <v>8</v>
      </c>
      <c r="E108" t="s">
        <v>1260</v>
      </c>
      <c r="F108" t="s">
        <v>992</v>
      </c>
    </row>
    <row r="109" spans="1:12" x14ac:dyDescent="0.25">
      <c r="A109" s="4">
        <f>INDEX(Albums!$A:$A, MATCH(C109,Albums!$C:$C,0))</f>
        <v>8</v>
      </c>
      <c r="B109" s="4">
        <f>INDEX(Albums!$B:$B, MATCH(C109,Albums!$C:$C,0))</f>
        <v>1996</v>
      </c>
      <c r="C109" t="s">
        <v>46</v>
      </c>
      <c r="D109">
        <v>9</v>
      </c>
      <c r="E109" t="s">
        <v>1261</v>
      </c>
      <c r="F109" t="s">
        <v>1053</v>
      </c>
    </row>
    <row r="110" spans="1:12" x14ac:dyDescent="0.25">
      <c r="A110" s="4">
        <f>INDEX(Albums!$A:$A, MATCH(C110,Albums!$C:$C,0))</f>
        <v>8</v>
      </c>
      <c r="B110" s="4">
        <f>INDEX(Albums!$B:$B, MATCH(C110,Albums!$C:$C,0))</f>
        <v>1996</v>
      </c>
      <c r="C110" t="s">
        <v>46</v>
      </c>
      <c r="D110">
        <v>10</v>
      </c>
      <c r="E110" t="s">
        <v>1126</v>
      </c>
      <c r="F110" t="s">
        <v>1053</v>
      </c>
    </row>
    <row r="111" spans="1:12" x14ac:dyDescent="0.25">
      <c r="A111" s="4">
        <f>INDEX(Albums!$A:$A, MATCH(C111,Albums!$C:$C,0))</f>
        <v>8</v>
      </c>
      <c r="B111" s="4">
        <f>INDEX(Albums!$B:$B, MATCH(C111,Albums!$C:$C,0))</f>
        <v>1996</v>
      </c>
      <c r="C111" t="s">
        <v>46</v>
      </c>
      <c r="D111">
        <v>11</v>
      </c>
      <c r="E111" t="s">
        <v>1262</v>
      </c>
      <c r="F111" t="s">
        <v>1264</v>
      </c>
    </row>
    <row r="112" spans="1:12" x14ac:dyDescent="0.25">
      <c r="A112" s="4">
        <f>INDEX(Albums!$A:$A, MATCH(C112,Albums!$C:$C,0))</f>
        <v>8</v>
      </c>
      <c r="B112" s="4">
        <f>INDEX(Albums!$B:$B, MATCH(C112,Albums!$C:$C,0))</f>
        <v>1996</v>
      </c>
      <c r="C112" t="s">
        <v>46</v>
      </c>
      <c r="D112">
        <v>12</v>
      </c>
      <c r="E112" t="s">
        <v>1069</v>
      </c>
      <c r="F112" t="s">
        <v>521</v>
      </c>
    </row>
    <row r="113" spans="1:12" x14ac:dyDescent="0.25">
      <c r="A113" s="4">
        <f>INDEX(Albums!$A:$A, MATCH(C113,Albums!$C:$C,0))</f>
        <v>9</v>
      </c>
      <c r="B113" s="4">
        <f>INDEX(Albums!$B:$B, MATCH(C113,Albums!$C:$C,0))</f>
        <v>1996</v>
      </c>
      <c r="C113" t="s">
        <v>44</v>
      </c>
      <c r="D113">
        <v>1</v>
      </c>
      <c r="E113" t="s">
        <v>1164</v>
      </c>
      <c r="K113" s="2"/>
      <c r="L113" s="4"/>
    </row>
    <row r="114" spans="1:12" x14ac:dyDescent="0.25">
      <c r="A114" s="4">
        <f>INDEX(Albums!$A:$A, MATCH(C114,Albums!$C:$C,0))</f>
        <v>9</v>
      </c>
      <c r="B114" s="4">
        <f>INDEX(Albums!$B:$B, MATCH(C114,Albums!$C:$C,0))</f>
        <v>1996</v>
      </c>
      <c r="C114" t="s">
        <v>44</v>
      </c>
      <c r="D114">
        <v>2</v>
      </c>
      <c r="E114" t="s">
        <v>1079</v>
      </c>
      <c r="K114" s="2"/>
      <c r="L114" s="4"/>
    </row>
    <row r="115" spans="1:12" x14ac:dyDescent="0.25">
      <c r="A115" s="4">
        <f>INDEX(Albums!$A:$A, MATCH(C115,Albums!$C:$C,0))</f>
        <v>9</v>
      </c>
      <c r="B115" s="4">
        <f>INDEX(Albums!$B:$B, MATCH(C115,Albums!$C:$C,0))</f>
        <v>1996</v>
      </c>
      <c r="C115" t="s">
        <v>44</v>
      </c>
      <c r="D115">
        <v>3</v>
      </c>
      <c r="E115" t="s">
        <v>1165</v>
      </c>
      <c r="K115" s="2"/>
      <c r="L115" s="4"/>
    </row>
    <row r="116" spans="1:12" x14ac:dyDescent="0.25">
      <c r="A116" s="4">
        <f>INDEX(Albums!$A:$A, MATCH(C116,Albums!$C:$C,0))</f>
        <v>9</v>
      </c>
      <c r="B116" s="4">
        <f>INDEX(Albums!$B:$B, MATCH(C116,Albums!$C:$C,0))</f>
        <v>1996</v>
      </c>
      <c r="C116" t="s">
        <v>44</v>
      </c>
      <c r="D116">
        <v>4</v>
      </c>
      <c r="E116" t="s">
        <v>1123</v>
      </c>
      <c r="K116" s="2"/>
      <c r="L116" s="4"/>
    </row>
    <row r="117" spans="1:12" x14ac:dyDescent="0.25">
      <c r="A117" s="4">
        <f>INDEX(Albums!$A:$A, MATCH(C117,Albums!$C:$C,0))</f>
        <v>9</v>
      </c>
      <c r="B117" s="4">
        <f>INDEX(Albums!$B:$B, MATCH(C117,Albums!$C:$C,0))</f>
        <v>1996</v>
      </c>
      <c r="C117" t="s">
        <v>44</v>
      </c>
      <c r="D117">
        <v>5</v>
      </c>
      <c r="E117" t="s">
        <v>1039</v>
      </c>
      <c r="K117" s="2"/>
      <c r="L117" s="4"/>
    </row>
    <row r="118" spans="1:12" x14ac:dyDescent="0.25">
      <c r="A118" s="4">
        <f>INDEX(Albums!$A:$A, MATCH(C118,Albums!$C:$C,0))</f>
        <v>9</v>
      </c>
      <c r="B118" s="4">
        <f>INDEX(Albums!$B:$B, MATCH(C118,Albums!$C:$C,0))</f>
        <v>1996</v>
      </c>
      <c r="C118" t="s">
        <v>44</v>
      </c>
      <c r="D118">
        <v>6</v>
      </c>
      <c r="E118" t="s">
        <v>1166</v>
      </c>
      <c r="K118" s="2"/>
      <c r="L118" s="4"/>
    </row>
    <row r="119" spans="1:12" x14ac:dyDescent="0.25">
      <c r="A119" s="4">
        <f>INDEX(Albums!$A:$A, MATCH(C119,Albums!$C:$C,0))</f>
        <v>9</v>
      </c>
      <c r="B119" s="4">
        <f>INDEX(Albums!$B:$B, MATCH(C119,Albums!$C:$C,0))</f>
        <v>1996</v>
      </c>
      <c r="C119" t="s">
        <v>44</v>
      </c>
      <c r="D119">
        <v>7</v>
      </c>
      <c r="E119" t="s">
        <v>1167</v>
      </c>
      <c r="K119" s="2"/>
      <c r="L119" s="4"/>
    </row>
    <row r="120" spans="1:12" x14ac:dyDescent="0.25">
      <c r="A120" s="4">
        <f>INDEX(Albums!$A:$A, MATCH(C120,Albums!$C:$C,0))</f>
        <v>9</v>
      </c>
      <c r="B120" s="4">
        <f>INDEX(Albums!$B:$B, MATCH(C120,Albums!$C:$C,0))</f>
        <v>1996</v>
      </c>
      <c r="C120" t="s">
        <v>44</v>
      </c>
      <c r="D120">
        <v>8</v>
      </c>
      <c r="E120" t="s">
        <v>1168</v>
      </c>
      <c r="K120" s="2"/>
      <c r="L120" s="4"/>
    </row>
    <row r="121" spans="1:12" x14ac:dyDescent="0.25">
      <c r="A121" s="4">
        <f>INDEX(Albums!$A:$A, MATCH(C121,Albums!$C:$C,0))</f>
        <v>9</v>
      </c>
      <c r="B121" s="4">
        <f>INDEX(Albums!$B:$B, MATCH(C121,Albums!$C:$C,0))</f>
        <v>1996</v>
      </c>
      <c r="C121" t="s">
        <v>44</v>
      </c>
      <c r="D121">
        <v>9</v>
      </c>
      <c r="E121" t="s">
        <v>1169</v>
      </c>
      <c r="K121" s="2"/>
      <c r="L121" s="4"/>
    </row>
    <row r="122" spans="1:12" x14ac:dyDescent="0.25">
      <c r="A122" s="4">
        <f>INDEX(Albums!$A:$A, MATCH(C122,Albums!$C:$C,0))</f>
        <v>9</v>
      </c>
      <c r="B122" s="4">
        <f>INDEX(Albums!$B:$B, MATCH(C122,Albums!$C:$C,0))</f>
        <v>1996</v>
      </c>
      <c r="C122" t="s">
        <v>44</v>
      </c>
      <c r="D122">
        <v>10</v>
      </c>
      <c r="E122" t="s">
        <v>46</v>
      </c>
      <c r="K122" s="2"/>
      <c r="L122" s="4"/>
    </row>
    <row r="123" spans="1:12" x14ac:dyDescent="0.25">
      <c r="A123" s="4">
        <f>INDEX(Albums!$A:$A, MATCH(C123,Albums!$C:$C,0))</f>
        <v>9</v>
      </c>
      <c r="B123" s="4">
        <f>INDEX(Albums!$B:$B, MATCH(C123,Albums!$C:$C,0))</f>
        <v>1996</v>
      </c>
      <c r="C123" t="s">
        <v>44</v>
      </c>
      <c r="D123">
        <v>11</v>
      </c>
      <c r="E123" t="s">
        <v>1170</v>
      </c>
      <c r="K123" s="2"/>
      <c r="L123" s="4"/>
    </row>
    <row r="124" spans="1:12" x14ac:dyDescent="0.25">
      <c r="A124" s="4">
        <f>INDEX(Albums!$A:$A, MATCH(C124,Albums!$C:$C,0))</f>
        <v>9</v>
      </c>
      <c r="B124" s="4">
        <f>INDEX(Albums!$B:$B, MATCH(C124,Albums!$C:$C,0))</f>
        <v>1996</v>
      </c>
      <c r="C124" t="s">
        <v>44</v>
      </c>
      <c r="D124">
        <v>12</v>
      </c>
      <c r="E124" t="s">
        <v>1171</v>
      </c>
      <c r="K124" s="2"/>
      <c r="L124" s="4"/>
    </row>
    <row r="125" spans="1:12" x14ac:dyDescent="0.25">
      <c r="A125" s="4">
        <f>INDEX(Albums!$A:$A, MATCH(C125,Albums!$C:$C,0))</f>
        <v>10</v>
      </c>
      <c r="B125" s="4">
        <f>INDEX(Albums!$B:$B, MATCH(C125,Albums!$C:$C,0))</f>
        <v>1997</v>
      </c>
      <c r="C125" t="s">
        <v>5</v>
      </c>
      <c r="D125">
        <v>1</v>
      </c>
      <c r="E125" t="s">
        <v>5</v>
      </c>
      <c r="K125" s="2">
        <v>0.19027777777777777</v>
      </c>
      <c r="L125" s="4" t="str">
        <f>IF(AND(ISNUMBER(H125), COUNTIF([1]Songs!$L:$L,H125)&gt;0),"YES","")</f>
        <v/>
      </c>
    </row>
    <row r="126" spans="1:12" x14ac:dyDescent="0.25">
      <c r="A126" s="4">
        <f>INDEX(Albums!$A:$A, MATCH(C126,Albums!$C:$C,0))</f>
        <v>10</v>
      </c>
      <c r="B126" s="4">
        <f>INDEX(Albums!$B:$B, MATCH(C126,Albums!$C:$C,0))</f>
        <v>1997</v>
      </c>
      <c r="C126" t="s">
        <v>5</v>
      </c>
      <c r="D126">
        <v>2</v>
      </c>
      <c r="E126" t="s">
        <v>617</v>
      </c>
      <c r="K126" s="2">
        <v>0.13125000000000001</v>
      </c>
      <c r="L126" s="4" t="str">
        <f>IF(AND(ISNUMBER(H126), COUNTIF([1]Songs!$L:$L,H126)&gt;0),"YES","")</f>
        <v/>
      </c>
    </row>
    <row r="127" spans="1:12" x14ac:dyDescent="0.25">
      <c r="A127" s="4">
        <f>INDEX(Albums!$A:$A, MATCH(C127,Albums!$C:$C,0))</f>
        <v>10</v>
      </c>
      <c r="B127" s="4">
        <f>INDEX(Albums!$B:$B, MATCH(C127,Albums!$C:$C,0))</f>
        <v>1997</v>
      </c>
      <c r="C127" t="s">
        <v>5</v>
      </c>
      <c r="D127">
        <v>3</v>
      </c>
      <c r="E127" t="s">
        <v>618</v>
      </c>
      <c r="K127" s="2">
        <v>0.1986111111111111</v>
      </c>
      <c r="L127" s="4" t="str">
        <f>IF(AND(ISNUMBER(H127), COUNTIF([1]Songs!$L:$L,H127)&gt;0),"YES","")</f>
        <v/>
      </c>
    </row>
    <row r="128" spans="1:12" x14ac:dyDescent="0.25">
      <c r="A128" s="4">
        <f>INDEX(Albums!$A:$A, MATCH(C128,Albums!$C:$C,0))</f>
        <v>10</v>
      </c>
      <c r="B128" s="4">
        <f>INDEX(Albums!$B:$B, MATCH(C128,Albums!$C:$C,0))</f>
        <v>1997</v>
      </c>
      <c r="C128" t="s">
        <v>5</v>
      </c>
      <c r="D128">
        <v>4</v>
      </c>
      <c r="E128" t="s">
        <v>619</v>
      </c>
      <c r="K128" s="2">
        <v>0.22361111111111109</v>
      </c>
      <c r="L128" s="4" t="str">
        <f>IF(AND(ISNUMBER(H128), COUNTIF([1]Songs!$L:$L,H128)&gt;0),"YES","")</f>
        <v/>
      </c>
    </row>
    <row r="129" spans="1:12" x14ac:dyDescent="0.25">
      <c r="A129" s="4">
        <f>INDEX(Albums!$A:$A, MATCH(C129,Albums!$C:$C,0))</f>
        <v>10</v>
      </c>
      <c r="B129" s="4">
        <f>INDEX(Albums!$B:$B, MATCH(C129,Albums!$C:$C,0))</f>
        <v>1997</v>
      </c>
      <c r="C129" t="s">
        <v>5</v>
      </c>
      <c r="D129">
        <v>5</v>
      </c>
      <c r="E129" t="s">
        <v>620</v>
      </c>
      <c r="K129" s="2">
        <v>0.19999999999999998</v>
      </c>
      <c r="L129" s="4" t="str">
        <f>IF(AND(ISNUMBER(H129), COUNTIF([1]Songs!$L:$L,H129)&gt;0),"YES","")</f>
        <v/>
      </c>
    </row>
    <row r="130" spans="1:12" x14ac:dyDescent="0.25">
      <c r="A130" s="4">
        <f>INDEX(Albums!$A:$A, MATCH(C130,Albums!$C:$C,0))</f>
        <v>10</v>
      </c>
      <c r="B130" s="4">
        <f>INDEX(Albums!$B:$B, MATCH(C130,Albums!$C:$C,0))</f>
        <v>1997</v>
      </c>
      <c r="C130" t="s">
        <v>5</v>
      </c>
      <c r="D130">
        <v>6</v>
      </c>
      <c r="E130" t="s">
        <v>621</v>
      </c>
      <c r="K130" s="2">
        <v>0.25555555555555559</v>
      </c>
      <c r="L130" s="4" t="str">
        <f>IF(AND(ISNUMBER(H130), COUNTIF([1]Songs!$L:$L,H130)&gt;0),"YES","")</f>
        <v/>
      </c>
    </row>
    <row r="131" spans="1:12" x14ac:dyDescent="0.25">
      <c r="A131" s="4">
        <f>INDEX(Albums!$A:$A, MATCH(C131,Albums!$C:$C,0))</f>
        <v>10</v>
      </c>
      <c r="B131" s="4">
        <f>INDEX(Albums!$B:$B, MATCH(C131,Albums!$C:$C,0))</f>
        <v>1997</v>
      </c>
      <c r="C131" t="s">
        <v>5</v>
      </c>
      <c r="D131">
        <v>7</v>
      </c>
      <c r="E131" t="s">
        <v>622</v>
      </c>
      <c r="K131" s="2">
        <v>0.21527777777777779</v>
      </c>
      <c r="L131" s="4" t="str">
        <f>IF(AND(ISNUMBER(H131), COUNTIF([1]Songs!$L:$L,H131)&gt;0),"YES","")</f>
        <v/>
      </c>
    </row>
    <row r="132" spans="1:12" x14ac:dyDescent="0.25">
      <c r="A132" s="4">
        <f>INDEX(Albums!$A:$A, MATCH(C132,Albums!$C:$C,0))</f>
        <v>10</v>
      </c>
      <c r="B132" s="4">
        <f>INDEX(Albums!$B:$B, MATCH(C132,Albums!$C:$C,0))</f>
        <v>1997</v>
      </c>
      <c r="C132" t="s">
        <v>5</v>
      </c>
      <c r="D132">
        <v>8</v>
      </c>
      <c r="E132" t="s">
        <v>623</v>
      </c>
      <c r="K132" s="2">
        <v>7.4999999999999997E-2</v>
      </c>
      <c r="L132" s="4" t="str">
        <f>IF(AND(ISNUMBER(H132), COUNTIF([1]Songs!$L:$L,H132)&gt;0),"YES","")</f>
        <v/>
      </c>
    </row>
    <row r="133" spans="1:12" x14ac:dyDescent="0.25">
      <c r="A133" s="4">
        <f>INDEX(Albums!$A:$A, MATCH(C133,Albums!$C:$C,0))</f>
        <v>10</v>
      </c>
      <c r="B133" s="4">
        <f>INDEX(Albums!$B:$B, MATCH(C133,Albums!$C:$C,0))</f>
        <v>1997</v>
      </c>
      <c r="C133" t="s">
        <v>5</v>
      </c>
      <c r="D133">
        <v>9</v>
      </c>
      <c r="E133" t="s">
        <v>624</v>
      </c>
      <c r="K133" s="2">
        <v>0.11319444444444444</v>
      </c>
      <c r="L133" s="4" t="str">
        <f>IF(AND(ISNUMBER(H133), COUNTIF([1]Songs!$L:$L,H133)&gt;0),"YES","")</f>
        <v/>
      </c>
    </row>
    <row r="134" spans="1:12" x14ac:dyDescent="0.25">
      <c r="A134" s="4">
        <f>INDEX(Albums!$A:$A, MATCH(C134,Albums!$C:$C,0))</f>
        <v>10</v>
      </c>
      <c r="B134" s="4">
        <f>INDEX(Albums!$B:$B, MATCH(C134,Albums!$C:$C,0))</f>
        <v>1997</v>
      </c>
      <c r="C134" t="s">
        <v>5</v>
      </c>
      <c r="D134">
        <v>10</v>
      </c>
      <c r="E134" t="s">
        <v>625</v>
      </c>
      <c r="K134" s="2">
        <v>0.1076388888888889</v>
      </c>
      <c r="L134" s="4" t="str">
        <f>IF(AND(ISNUMBER(H134), COUNTIF([1]Songs!$L:$L,H134)&gt;0),"YES","")</f>
        <v/>
      </c>
    </row>
    <row r="135" spans="1:12" x14ac:dyDescent="0.25">
      <c r="A135" s="4">
        <f>INDEX(Albums!$A:$A, MATCH(C135,Albums!$C:$C,0))</f>
        <v>10</v>
      </c>
      <c r="B135" s="4">
        <f>INDEX(Albums!$B:$B, MATCH(C135,Albums!$C:$C,0))</f>
        <v>1997</v>
      </c>
      <c r="C135" t="s">
        <v>5</v>
      </c>
      <c r="D135">
        <v>11</v>
      </c>
      <c r="E135" t="s">
        <v>626</v>
      </c>
      <c r="K135" s="2">
        <v>0.22083333333333333</v>
      </c>
      <c r="L135" s="4" t="str">
        <f>IF(AND(ISNUMBER(H135), COUNTIF([1]Songs!$L:$L,H135)&gt;0),"YES","")</f>
        <v/>
      </c>
    </row>
    <row r="136" spans="1:12" x14ac:dyDescent="0.25">
      <c r="A136" s="4">
        <f>INDEX(Albums!$A:$A, MATCH(C136,Albums!$C:$C,0))</f>
        <v>10</v>
      </c>
      <c r="B136" s="4">
        <f>INDEX(Albums!$B:$B, MATCH(C136,Albums!$C:$C,0))</f>
        <v>1997</v>
      </c>
      <c r="C136" t="s">
        <v>5</v>
      </c>
      <c r="D136">
        <v>12</v>
      </c>
      <c r="E136" t="s">
        <v>627</v>
      </c>
      <c r="K136" s="2">
        <v>0.27569444444444446</v>
      </c>
      <c r="L136" s="4" t="str">
        <f>IF(AND(ISNUMBER(H136), COUNTIF([1]Songs!$L:$L,H136)&gt;0),"YES","")</f>
        <v/>
      </c>
    </row>
    <row r="137" spans="1:12" x14ac:dyDescent="0.25">
      <c r="A137" s="4">
        <f>INDEX(Albums!$A:$A, MATCH(C137,Albums!$C:$C,0))</f>
        <v>10</v>
      </c>
      <c r="B137" s="4">
        <f>INDEX(Albums!$B:$B, MATCH(C137,Albums!$C:$C,0))</f>
        <v>1997</v>
      </c>
      <c r="C137" t="s">
        <v>5</v>
      </c>
      <c r="D137">
        <v>13</v>
      </c>
      <c r="E137" t="s">
        <v>456</v>
      </c>
      <c r="K137" s="2">
        <v>0.23402777777777781</v>
      </c>
      <c r="L137" s="4" t="str">
        <f>IF(AND(ISNUMBER(H137), COUNTIF([1]Songs!$L:$L,H137)&gt;0),"YES","")</f>
        <v/>
      </c>
    </row>
    <row r="138" spans="1:12" x14ac:dyDescent="0.25">
      <c r="A138" s="4">
        <f>INDEX(Albums!$A:$A, MATCH(C138,Albums!$C:$C,0))</f>
        <v>10</v>
      </c>
      <c r="B138" s="4">
        <f>INDEX(Albums!$B:$B, MATCH(C138,Albums!$C:$C,0))</f>
        <v>1997</v>
      </c>
      <c r="C138" t="s">
        <v>5</v>
      </c>
      <c r="D138">
        <v>14</v>
      </c>
      <c r="E138" t="s">
        <v>628</v>
      </c>
      <c r="K138" s="2">
        <v>0.18819444444444444</v>
      </c>
      <c r="L138" s="4" t="str">
        <f>IF(AND(ISNUMBER(H138), COUNTIF([1]Songs!$L:$L,H138)&gt;0),"YES","")</f>
        <v/>
      </c>
    </row>
    <row r="139" spans="1:12" x14ac:dyDescent="0.25">
      <c r="A139" s="4">
        <f>INDEX(Albums!$A:$A, MATCH(C139,Albums!$C:$C,0))</f>
        <v>10</v>
      </c>
      <c r="B139" s="4">
        <f>INDEX(Albums!$B:$B, MATCH(C139,Albums!$C:$C,0))</f>
        <v>1997</v>
      </c>
      <c r="C139" t="s">
        <v>5</v>
      </c>
      <c r="D139">
        <v>15</v>
      </c>
      <c r="E139" t="s">
        <v>629</v>
      </c>
      <c r="K139" s="2">
        <v>0.12222222222222223</v>
      </c>
      <c r="L139" s="4" t="str">
        <f>IF(AND(ISNUMBER(H139), COUNTIF([1]Songs!$L:$L,H139)&gt;0),"YES","")</f>
        <v/>
      </c>
    </row>
    <row r="140" spans="1:12" x14ac:dyDescent="0.25">
      <c r="A140" s="4">
        <f>INDEX(Albums!$A:$A, MATCH(C140,Albums!$C:$C,0))</f>
        <v>11</v>
      </c>
      <c r="B140" s="4">
        <f>INDEX(Albums!$B:$B, MATCH(C140,Albums!$C:$C,0))</f>
        <v>1997</v>
      </c>
      <c r="C140" t="s">
        <v>45</v>
      </c>
      <c r="D140">
        <v>1</v>
      </c>
      <c r="E140" t="s">
        <v>1033</v>
      </c>
      <c r="K140" s="2">
        <v>0.14930555555555555</v>
      </c>
      <c r="L140" s="4"/>
    </row>
    <row r="141" spans="1:12" x14ac:dyDescent="0.25">
      <c r="A141" s="4">
        <f>INDEX(Albums!$A:$A, MATCH(C141,Albums!$C:$C,0))</f>
        <v>11</v>
      </c>
      <c r="B141" s="4">
        <f>INDEX(Albums!$B:$B, MATCH(C141,Albums!$C:$C,0))</f>
        <v>1997</v>
      </c>
      <c r="C141" t="s">
        <v>45</v>
      </c>
      <c r="D141">
        <v>2</v>
      </c>
      <c r="E141" t="s">
        <v>1172</v>
      </c>
      <c r="K141" s="2">
        <v>0.20069444444444443</v>
      </c>
      <c r="L141" s="4"/>
    </row>
    <row r="142" spans="1:12" x14ac:dyDescent="0.25">
      <c r="A142" s="4">
        <f>INDEX(Albums!$A:$A, MATCH(C142,Albums!$C:$C,0))</f>
        <v>11</v>
      </c>
      <c r="B142" s="4">
        <f>INDEX(Albums!$B:$B, MATCH(C142,Albums!$C:$C,0))</f>
        <v>1997</v>
      </c>
      <c r="C142" t="s">
        <v>45</v>
      </c>
      <c r="D142">
        <v>3</v>
      </c>
      <c r="E142" t="s">
        <v>1173</v>
      </c>
      <c r="K142" s="2">
        <v>0.20902777777777778</v>
      </c>
      <c r="L142" s="4"/>
    </row>
    <row r="143" spans="1:12" x14ac:dyDescent="0.25">
      <c r="A143" s="4">
        <f>INDEX(Albums!$A:$A, MATCH(C143,Albums!$C:$C,0))</f>
        <v>11</v>
      </c>
      <c r="B143" s="4">
        <f>INDEX(Albums!$B:$B, MATCH(C143,Albums!$C:$C,0))</f>
        <v>1997</v>
      </c>
      <c r="C143" t="s">
        <v>45</v>
      </c>
      <c r="D143">
        <v>4</v>
      </c>
      <c r="E143" t="s">
        <v>622</v>
      </c>
      <c r="K143" s="2">
        <v>0.29375000000000001</v>
      </c>
      <c r="L143" s="4"/>
    </row>
    <row r="144" spans="1:12" x14ac:dyDescent="0.25">
      <c r="A144" s="4">
        <f>INDEX(Albums!$A:$A, MATCH(C144,Albums!$C:$C,0))</f>
        <v>11</v>
      </c>
      <c r="B144" s="4">
        <f>INDEX(Albums!$B:$B, MATCH(C144,Albums!$C:$C,0))</f>
        <v>1997</v>
      </c>
      <c r="C144" t="s">
        <v>45</v>
      </c>
      <c r="D144">
        <v>5</v>
      </c>
      <c r="E144" t="s">
        <v>1174</v>
      </c>
      <c r="K144" s="2">
        <v>0.29305555555555557</v>
      </c>
      <c r="L144" s="4"/>
    </row>
    <row r="145" spans="1:12" x14ac:dyDescent="0.25">
      <c r="A145" s="4">
        <f>INDEX(Albums!$A:$A, MATCH(C145,Albums!$C:$C,0))</f>
        <v>11</v>
      </c>
      <c r="B145" s="4">
        <f>INDEX(Albums!$B:$B, MATCH(C145,Albums!$C:$C,0))</f>
        <v>1997</v>
      </c>
      <c r="C145" t="s">
        <v>45</v>
      </c>
      <c r="D145">
        <v>6</v>
      </c>
      <c r="E145" t="s">
        <v>278</v>
      </c>
      <c r="K145" s="2">
        <v>0.12291666666666667</v>
      </c>
      <c r="L145" s="4"/>
    </row>
    <row r="146" spans="1:12" x14ac:dyDescent="0.25">
      <c r="A146" s="4">
        <f>INDEX(Albums!$A:$A, MATCH(C146,Albums!$C:$C,0))</f>
        <v>11</v>
      </c>
      <c r="B146" s="4">
        <f>INDEX(Albums!$B:$B, MATCH(C146,Albums!$C:$C,0))</f>
        <v>1997</v>
      </c>
      <c r="C146" t="s">
        <v>45</v>
      </c>
      <c r="D146">
        <v>7</v>
      </c>
      <c r="E146" t="s">
        <v>1175</v>
      </c>
      <c r="K146" s="2">
        <v>0.25625000000000003</v>
      </c>
      <c r="L146" s="4"/>
    </row>
    <row r="147" spans="1:12" x14ac:dyDescent="0.25">
      <c r="A147" s="4">
        <f>INDEX(Albums!$A:$A, MATCH(C147,Albums!$C:$C,0))</f>
        <v>11</v>
      </c>
      <c r="B147" s="4">
        <f>INDEX(Albums!$B:$B, MATCH(C147,Albums!$C:$C,0))</f>
        <v>1997</v>
      </c>
      <c r="C147" t="s">
        <v>45</v>
      </c>
      <c r="D147">
        <v>8</v>
      </c>
      <c r="E147" t="s">
        <v>1176</v>
      </c>
      <c r="K147" s="2">
        <v>0.27708333333333335</v>
      </c>
      <c r="L147" s="4"/>
    </row>
    <row r="148" spans="1:12" x14ac:dyDescent="0.25">
      <c r="A148" s="4">
        <f>INDEX(Albums!$A:$A, MATCH(C148,Albums!$C:$C,0))</f>
        <v>11</v>
      </c>
      <c r="B148" s="4">
        <f>INDEX(Albums!$B:$B, MATCH(C148,Albums!$C:$C,0))</f>
        <v>1997</v>
      </c>
      <c r="C148" t="s">
        <v>45</v>
      </c>
      <c r="D148">
        <v>9</v>
      </c>
      <c r="E148" t="s">
        <v>1177</v>
      </c>
      <c r="K148" s="2">
        <v>0.30486111111111108</v>
      </c>
      <c r="L148" s="4"/>
    </row>
    <row r="149" spans="1:12" x14ac:dyDescent="0.25">
      <c r="A149" s="4">
        <f>INDEX(Albums!$A:$A, MATCH(C149,Albums!$C:$C,0))</f>
        <v>11</v>
      </c>
      <c r="B149" s="4">
        <f>INDEX(Albums!$B:$B, MATCH(C149,Albums!$C:$C,0))</f>
        <v>1997</v>
      </c>
      <c r="C149" t="s">
        <v>45</v>
      </c>
      <c r="D149">
        <v>10</v>
      </c>
      <c r="E149" t="s">
        <v>1178</v>
      </c>
      <c r="K149" s="2">
        <v>0.21597222222222223</v>
      </c>
      <c r="L149" s="4"/>
    </row>
    <row r="150" spans="1:12" x14ac:dyDescent="0.25">
      <c r="A150" s="4">
        <f>INDEX(Albums!$A:$A, MATCH(C150,Albums!$C:$C,0))</f>
        <v>11</v>
      </c>
      <c r="B150" s="4">
        <f>INDEX(Albums!$B:$B, MATCH(C150,Albums!$C:$C,0))</f>
        <v>1997</v>
      </c>
      <c r="C150" t="s">
        <v>45</v>
      </c>
      <c r="D150">
        <v>11</v>
      </c>
      <c r="E150" t="s">
        <v>1179</v>
      </c>
      <c r="K150" s="2">
        <v>0.19999999999999998</v>
      </c>
      <c r="L150" s="4"/>
    </row>
    <row r="151" spans="1:12" x14ac:dyDescent="0.25">
      <c r="A151" s="4">
        <f>INDEX(Albums!$A:$A, MATCH(C151,Albums!$C:$C,0))</f>
        <v>11</v>
      </c>
      <c r="B151" s="4">
        <f>INDEX(Albums!$B:$B, MATCH(C151,Albums!$C:$C,0))</f>
        <v>1997</v>
      </c>
      <c r="C151" t="s">
        <v>45</v>
      </c>
      <c r="D151">
        <v>12</v>
      </c>
      <c r="E151" t="s">
        <v>619</v>
      </c>
      <c r="K151" s="2">
        <v>0.23472222222222219</v>
      </c>
      <c r="L151" s="4"/>
    </row>
    <row r="152" spans="1:12" x14ac:dyDescent="0.25">
      <c r="A152" s="4">
        <f>INDEX(Albums!$A:$A, MATCH(C152,Albums!$C:$C,0))</f>
        <v>12</v>
      </c>
      <c r="B152" s="4">
        <f>INDEX(Albums!$B:$B, MATCH(C152,Albums!$C:$C,0))</f>
        <v>1998</v>
      </c>
      <c r="C152" t="s">
        <v>1229</v>
      </c>
      <c r="D152">
        <v>1</v>
      </c>
      <c r="E152" t="s">
        <v>624</v>
      </c>
      <c r="F152" t="s">
        <v>533</v>
      </c>
    </row>
    <row r="153" spans="1:12" x14ac:dyDescent="0.25">
      <c r="A153" s="4">
        <f>INDEX(Albums!$A:$A, MATCH(C153,Albums!$C:$C,0))</f>
        <v>12</v>
      </c>
      <c r="B153" s="4">
        <f>INDEX(Albums!$B:$B, MATCH(C153,Albums!$C:$C,0))</f>
        <v>1998</v>
      </c>
      <c r="C153" t="s">
        <v>1229</v>
      </c>
      <c r="D153">
        <v>2</v>
      </c>
      <c r="E153" t="s">
        <v>3</v>
      </c>
      <c r="F153" t="s">
        <v>992</v>
      </c>
    </row>
    <row r="154" spans="1:12" x14ac:dyDescent="0.25">
      <c r="A154" s="4">
        <f>INDEX(Albums!$A:$A, MATCH(C154,Albums!$C:$C,0))</f>
        <v>12</v>
      </c>
      <c r="B154" s="4">
        <f>INDEX(Albums!$B:$B, MATCH(C154,Albums!$C:$C,0))</f>
        <v>1998</v>
      </c>
      <c r="C154" t="s">
        <v>1229</v>
      </c>
      <c r="D154">
        <v>3</v>
      </c>
      <c r="E154" t="s">
        <v>4</v>
      </c>
      <c r="F154" t="s">
        <v>1265</v>
      </c>
    </row>
    <row r="155" spans="1:12" x14ac:dyDescent="0.25">
      <c r="A155" s="4">
        <f>INDEX(Albums!$A:$A, MATCH(C155,Albums!$C:$C,0))</f>
        <v>12</v>
      </c>
      <c r="B155" s="4">
        <f>INDEX(Albums!$B:$B, MATCH(C155,Albums!$C:$C,0))</f>
        <v>1998</v>
      </c>
      <c r="C155" t="s">
        <v>1229</v>
      </c>
      <c r="D155">
        <v>4</v>
      </c>
      <c r="E155" t="s">
        <v>5</v>
      </c>
      <c r="F155" t="s">
        <v>521</v>
      </c>
    </row>
    <row r="156" spans="1:12" x14ac:dyDescent="0.25">
      <c r="A156" s="4">
        <f>INDEX(Albums!$A:$A, MATCH(C156,Albums!$C:$C,0))</f>
        <v>12</v>
      </c>
      <c r="B156" s="4">
        <f>INDEX(Albums!$B:$B, MATCH(C156,Albums!$C:$C,0))</f>
        <v>1998</v>
      </c>
      <c r="C156" t="s">
        <v>1229</v>
      </c>
      <c r="D156">
        <v>5</v>
      </c>
      <c r="E156" t="s">
        <v>1251</v>
      </c>
      <c r="F156" t="s">
        <v>1266</v>
      </c>
    </row>
    <row r="157" spans="1:12" x14ac:dyDescent="0.25">
      <c r="A157" s="4">
        <f>INDEX(Albums!$A:$A, MATCH(C157,Albums!$C:$C,0))</f>
        <v>12</v>
      </c>
      <c r="B157" s="4">
        <f>INDEX(Albums!$B:$B, MATCH(C157,Albums!$C:$C,0))</f>
        <v>1998</v>
      </c>
      <c r="C157" t="s">
        <v>1229</v>
      </c>
      <c r="D157">
        <v>6</v>
      </c>
      <c r="E157" t="s">
        <v>1252</v>
      </c>
      <c r="F157" t="s">
        <v>1030</v>
      </c>
    </row>
    <row r="158" spans="1:12" x14ac:dyDescent="0.25">
      <c r="A158" s="4">
        <f>INDEX(Albums!$A:$A, MATCH(C158,Albums!$C:$C,0))</f>
        <v>12</v>
      </c>
      <c r="B158" s="4">
        <f>INDEX(Albums!$B:$B, MATCH(C158,Albums!$C:$C,0))</f>
        <v>1998</v>
      </c>
      <c r="C158" t="s">
        <v>1229</v>
      </c>
      <c r="D158">
        <v>7</v>
      </c>
      <c r="E158" t="s">
        <v>1253</v>
      </c>
      <c r="F158" t="s">
        <v>55</v>
      </c>
    </row>
    <row r="159" spans="1:12" x14ac:dyDescent="0.25">
      <c r="A159" s="4">
        <f>INDEX(Albums!$A:$A, MATCH(C159,Albums!$C:$C,0))</f>
        <v>12</v>
      </c>
      <c r="B159" s="4">
        <f>INDEX(Albums!$B:$B, MATCH(C159,Albums!$C:$C,0))</f>
        <v>1998</v>
      </c>
      <c r="C159" t="s">
        <v>1229</v>
      </c>
      <c r="D159">
        <v>8</v>
      </c>
      <c r="E159" t="s">
        <v>1023</v>
      </c>
      <c r="F159" t="s">
        <v>521</v>
      </c>
    </row>
    <row r="160" spans="1:12" x14ac:dyDescent="0.25">
      <c r="A160" s="4">
        <f>INDEX(Albums!$A:$A, MATCH(C160,Albums!$C:$C,0))</f>
        <v>12</v>
      </c>
      <c r="B160" s="4">
        <f>INDEX(Albums!$B:$B, MATCH(C160,Albums!$C:$C,0))</f>
        <v>1998</v>
      </c>
      <c r="C160" t="s">
        <v>1229</v>
      </c>
      <c r="D160">
        <v>9</v>
      </c>
      <c r="E160" t="s">
        <v>619</v>
      </c>
      <c r="F160" t="s">
        <v>992</v>
      </c>
    </row>
    <row r="161" spans="1:12" x14ac:dyDescent="0.25">
      <c r="A161" s="4">
        <f>INDEX(Albums!$A:$A, MATCH(C161,Albums!$C:$C,0))</f>
        <v>12</v>
      </c>
      <c r="B161" s="4">
        <f>INDEX(Albums!$B:$B, MATCH(C161,Albums!$C:$C,0))</f>
        <v>1998</v>
      </c>
      <c r="C161" t="s">
        <v>1229</v>
      </c>
      <c r="D161">
        <v>10</v>
      </c>
      <c r="E161" t="s">
        <v>984</v>
      </c>
      <c r="F161" t="s">
        <v>1267</v>
      </c>
    </row>
    <row r="162" spans="1:12" x14ac:dyDescent="0.25">
      <c r="A162" s="4">
        <f>INDEX(Albums!$A:$A, MATCH(C162,Albums!$C:$C,0))</f>
        <v>12</v>
      </c>
      <c r="B162" s="4">
        <f>INDEX(Albums!$B:$B, MATCH(C162,Albums!$C:$C,0))</f>
        <v>1998</v>
      </c>
      <c r="C162" t="s">
        <v>1229</v>
      </c>
      <c r="D162">
        <v>11</v>
      </c>
      <c r="E162" t="s">
        <v>957</v>
      </c>
      <c r="F162" t="s">
        <v>70</v>
      </c>
    </row>
    <row r="163" spans="1:12" x14ac:dyDescent="0.25">
      <c r="A163" s="4">
        <f>INDEX(Albums!$A:$A, MATCH(C163,Albums!$C:$C,0))</f>
        <v>12</v>
      </c>
      <c r="B163" s="4">
        <f>INDEX(Albums!$B:$B, MATCH(C163,Albums!$C:$C,0))</f>
        <v>1998</v>
      </c>
      <c r="C163" t="s">
        <v>1229</v>
      </c>
      <c r="D163">
        <v>12</v>
      </c>
      <c r="E163" t="s">
        <v>1254</v>
      </c>
      <c r="F163" t="s">
        <v>1268</v>
      </c>
    </row>
    <row r="164" spans="1:12" x14ac:dyDescent="0.25">
      <c r="A164" s="4">
        <f>INDEX(Albums!$A:$A, MATCH(C164,Albums!$C:$C,0))</f>
        <v>12</v>
      </c>
      <c r="B164" s="4">
        <f>INDEX(Albums!$B:$B, MATCH(C164,Albums!$C:$C,0))</f>
        <v>1998</v>
      </c>
      <c r="C164" t="s">
        <v>1229</v>
      </c>
      <c r="D164">
        <v>13</v>
      </c>
      <c r="E164" t="s">
        <v>1069</v>
      </c>
      <c r="F164" t="s">
        <v>521</v>
      </c>
    </row>
    <row r="165" spans="1:12" x14ac:dyDescent="0.25">
      <c r="A165" s="4">
        <f>INDEX(Albums!$A:$A, MATCH(C165,Albums!$C:$C,0))</f>
        <v>12</v>
      </c>
      <c r="B165" s="4">
        <f>INDEX(Albums!$B:$B, MATCH(C165,Albums!$C:$C,0))</f>
        <v>1998</v>
      </c>
      <c r="C165" t="s">
        <v>1229</v>
      </c>
      <c r="D165">
        <v>14</v>
      </c>
      <c r="E165" t="s">
        <v>1255</v>
      </c>
      <c r="F165" t="s">
        <v>521</v>
      </c>
    </row>
    <row r="166" spans="1:12" x14ac:dyDescent="0.25">
      <c r="A166" s="4">
        <f>INDEX(Albums!$A:$A, MATCH(C166,Albums!$C:$C,0))</f>
        <v>12</v>
      </c>
      <c r="B166" s="4">
        <f>INDEX(Albums!$B:$B, MATCH(C166,Albums!$C:$C,0))</f>
        <v>1998</v>
      </c>
      <c r="C166" t="s">
        <v>1229</v>
      </c>
      <c r="D166">
        <v>15</v>
      </c>
      <c r="E166" t="s">
        <v>349</v>
      </c>
      <c r="F166" t="s">
        <v>70</v>
      </c>
    </row>
    <row r="167" spans="1:12" x14ac:dyDescent="0.25">
      <c r="A167" s="4">
        <f>INDEX(Albums!$A:$A, MATCH(C167,Albums!$C:$C,0))</f>
        <v>12</v>
      </c>
      <c r="B167" s="4">
        <f>INDEX(Albums!$B:$B, MATCH(C167,Albums!$C:$C,0))</f>
        <v>1998</v>
      </c>
      <c r="C167" t="s">
        <v>1229</v>
      </c>
      <c r="D167">
        <v>16</v>
      </c>
      <c r="E167" t="s">
        <v>1256</v>
      </c>
      <c r="F167" t="s">
        <v>70</v>
      </c>
    </row>
    <row r="168" spans="1:12" x14ac:dyDescent="0.25">
      <c r="A168" s="4">
        <f>INDEX(Albums!$A:$A, MATCH(C168,Albums!$C:$C,0))</f>
        <v>13</v>
      </c>
      <c r="B168" s="4">
        <f>INDEX(Albums!$B:$B, MATCH(C168,Albums!$C:$C,0))</f>
        <v>1998</v>
      </c>
      <c r="C168" t="s">
        <v>43</v>
      </c>
      <c r="D168">
        <v>1</v>
      </c>
      <c r="E168" t="s">
        <v>998</v>
      </c>
      <c r="K168" s="2">
        <v>0.28125</v>
      </c>
      <c r="L168" s="4"/>
    </row>
    <row r="169" spans="1:12" x14ac:dyDescent="0.25">
      <c r="A169" s="4">
        <f>INDEX(Albums!$A:$A, MATCH(C169,Albums!$C:$C,0))</f>
        <v>13</v>
      </c>
      <c r="B169" s="4">
        <f>INDEX(Albums!$B:$B, MATCH(C169,Albums!$C:$C,0))</f>
        <v>1998</v>
      </c>
      <c r="C169" t="s">
        <v>43</v>
      </c>
      <c r="D169">
        <v>2</v>
      </c>
      <c r="E169" t="s">
        <v>456</v>
      </c>
      <c r="K169" s="2">
        <v>0.23750000000000002</v>
      </c>
      <c r="L169" s="4"/>
    </row>
    <row r="170" spans="1:12" x14ac:dyDescent="0.25">
      <c r="A170" s="4">
        <f>INDEX(Albums!$A:$A, MATCH(C170,Albums!$C:$C,0))</f>
        <v>13</v>
      </c>
      <c r="B170" s="4">
        <f>INDEX(Albums!$B:$B, MATCH(C170,Albums!$C:$C,0))</f>
        <v>1998</v>
      </c>
      <c r="C170" t="s">
        <v>43</v>
      </c>
      <c r="D170">
        <v>3</v>
      </c>
      <c r="E170" t="s">
        <v>1180</v>
      </c>
      <c r="K170" s="2">
        <v>0.25694444444444448</v>
      </c>
      <c r="L170" s="4"/>
    </row>
    <row r="171" spans="1:12" x14ac:dyDescent="0.25">
      <c r="A171" s="4">
        <f>INDEX(Albums!$A:$A, MATCH(C171,Albums!$C:$C,0))</f>
        <v>13</v>
      </c>
      <c r="B171" s="4">
        <f>INDEX(Albums!$B:$B, MATCH(C171,Albums!$C:$C,0))</f>
        <v>1998</v>
      </c>
      <c r="C171" t="s">
        <v>43</v>
      </c>
      <c r="D171">
        <v>4</v>
      </c>
      <c r="E171" t="s">
        <v>1181</v>
      </c>
      <c r="K171" s="2">
        <v>0.21180555555555555</v>
      </c>
      <c r="L171" s="4"/>
    </row>
    <row r="172" spans="1:12" x14ac:dyDescent="0.25">
      <c r="A172" s="4">
        <f>INDEX(Albums!$A:$A, MATCH(C172,Albums!$C:$C,0))</f>
        <v>13</v>
      </c>
      <c r="B172" s="4">
        <f>INDEX(Albums!$B:$B, MATCH(C172,Albums!$C:$C,0))</f>
        <v>1998</v>
      </c>
      <c r="C172" t="s">
        <v>43</v>
      </c>
      <c r="D172">
        <v>5</v>
      </c>
      <c r="E172" t="s">
        <v>1182</v>
      </c>
      <c r="K172" s="2">
        <v>0.22152777777777777</v>
      </c>
      <c r="L172" s="4"/>
    </row>
    <row r="173" spans="1:12" x14ac:dyDescent="0.25">
      <c r="A173" s="4">
        <f>INDEX(Albums!$A:$A, MATCH(C173,Albums!$C:$C,0))</f>
        <v>13</v>
      </c>
      <c r="B173" s="4">
        <f>INDEX(Albums!$B:$B, MATCH(C173,Albums!$C:$C,0))</f>
        <v>1998</v>
      </c>
      <c r="C173" t="s">
        <v>43</v>
      </c>
      <c r="D173">
        <v>6</v>
      </c>
      <c r="E173" t="s">
        <v>1183</v>
      </c>
      <c r="K173" s="2">
        <v>0.21041666666666667</v>
      </c>
      <c r="L173" s="4"/>
    </row>
    <row r="174" spans="1:12" x14ac:dyDescent="0.25">
      <c r="A174" s="4">
        <f>INDEX(Albums!$A:$A, MATCH(C174,Albums!$C:$C,0))</f>
        <v>13</v>
      </c>
      <c r="B174" s="4">
        <f>INDEX(Albums!$B:$B, MATCH(C174,Albums!$C:$C,0))</f>
        <v>1998</v>
      </c>
      <c r="C174" t="s">
        <v>43</v>
      </c>
      <c r="D174">
        <v>7</v>
      </c>
      <c r="E174" t="s">
        <v>620</v>
      </c>
      <c r="K174" s="2">
        <v>0.19999999999999998</v>
      </c>
      <c r="L174" s="4"/>
    </row>
    <row r="175" spans="1:12" x14ac:dyDescent="0.25">
      <c r="A175" s="4">
        <f>INDEX(Albums!$A:$A, MATCH(C175,Albums!$C:$C,0))</f>
        <v>13</v>
      </c>
      <c r="B175" s="4">
        <f>INDEX(Albums!$B:$B, MATCH(C175,Albums!$C:$C,0))</f>
        <v>1998</v>
      </c>
      <c r="C175" t="s">
        <v>43</v>
      </c>
      <c r="D175">
        <v>8</v>
      </c>
      <c r="E175" t="s">
        <v>942</v>
      </c>
      <c r="K175" s="2">
        <v>0.14444444444444446</v>
      </c>
      <c r="L175" s="4"/>
    </row>
    <row r="176" spans="1:12" x14ac:dyDescent="0.25">
      <c r="A176" s="4">
        <f>INDEX(Albums!$A:$A, MATCH(C176,Albums!$C:$C,0))</f>
        <v>13</v>
      </c>
      <c r="B176" s="4">
        <f>INDEX(Albums!$B:$B, MATCH(C176,Albums!$C:$C,0))</f>
        <v>1998</v>
      </c>
      <c r="C176" t="s">
        <v>43</v>
      </c>
      <c r="D176">
        <v>9</v>
      </c>
      <c r="E176" t="s">
        <v>621</v>
      </c>
      <c r="K176" s="2">
        <v>0.25138888888888888</v>
      </c>
      <c r="L176" s="4"/>
    </row>
    <row r="177" spans="1:12" x14ac:dyDescent="0.25">
      <c r="A177" s="4">
        <f>INDEX(Albums!$A:$A, MATCH(C177,Albums!$C:$C,0))</f>
        <v>13</v>
      </c>
      <c r="B177" s="4">
        <f>INDEX(Albums!$B:$B, MATCH(C177,Albums!$C:$C,0))</f>
        <v>1998</v>
      </c>
      <c r="C177" t="s">
        <v>43</v>
      </c>
      <c r="D177">
        <v>10</v>
      </c>
      <c r="E177" t="s">
        <v>1016</v>
      </c>
      <c r="K177" s="2">
        <v>0.21944444444444444</v>
      </c>
      <c r="L177" s="4"/>
    </row>
    <row r="178" spans="1:12" x14ac:dyDescent="0.25">
      <c r="A178" s="4">
        <f>INDEX(Albums!$A:$A, MATCH(C178,Albums!$C:$C,0))</f>
        <v>13</v>
      </c>
      <c r="B178" s="4">
        <f>INDEX(Albums!$B:$B, MATCH(C178,Albums!$C:$C,0))</f>
        <v>1998</v>
      </c>
      <c r="C178" t="s">
        <v>43</v>
      </c>
      <c r="D178">
        <v>11</v>
      </c>
      <c r="E178" t="s">
        <v>1184</v>
      </c>
      <c r="K178" s="2">
        <v>0.20833333333333334</v>
      </c>
      <c r="L178" s="4"/>
    </row>
    <row r="179" spans="1:12" x14ac:dyDescent="0.25">
      <c r="A179" s="4">
        <f>INDEX(Albums!$A:$A, MATCH(C179,Albums!$C:$C,0))</f>
        <v>13</v>
      </c>
      <c r="B179" s="4">
        <f>INDEX(Albums!$B:$B, MATCH(C179,Albums!$C:$C,0))</f>
        <v>1998</v>
      </c>
      <c r="C179" t="s">
        <v>43</v>
      </c>
      <c r="D179">
        <v>12</v>
      </c>
      <c r="E179" t="s">
        <v>1185</v>
      </c>
      <c r="K179" s="2">
        <v>0.24513888888888888</v>
      </c>
      <c r="L179" s="4"/>
    </row>
    <row r="180" spans="1:12" x14ac:dyDescent="0.25">
      <c r="A180" s="4">
        <f>INDEX(Albums!$A:$A, MATCH(C180,Albums!$C:$C,0))</f>
        <v>14</v>
      </c>
      <c r="B180" s="4">
        <f>INDEX(Albums!$B:$B, MATCH(C180,Albums!$C:$C,0))</f>
        <v>1998</v>
      </c>
      <c r="C180" t="s">
        <v>6</v>
      </c>
      <c r="D180">
        <v>1</v>
      </c>
      <c r="E180" t="s">
        <v>984</v>
      </c>
      <c r="F180" t="s">
        <v>985</v>
      </c>
      <c r="J180" t="s">
        <v>986</v>
      </c>
      <c r="K180" t="s">
        <v>987</v>
      </c>
      <c r="L180" s="4" t="str">
        <f>IF(AND(ISNUMBER(H180), COUNTIF([1]Songs!$L:$L,H180)&gt;0),"YES","")</f>
        <v/>
      </c>
    </row>
    <row r="181" spans="1:12" x14ac:dyDescent="0.25">
      <c r="A181" s="4">
        <f>INDEX(Albums!$A:$A, MATCH(C181,Albums!$C:$C,0))</f>
        <v>14</v>
      </c>
      <c r="B181" s="4">
        <f>INDEX(Albums!$B:$B, MATCH(C181,Albums!$C:$C,0))</f>
        <v>1998</v>
      </c>
      <c r="C181" t="s">
        <v>6</v>
      </c>
      <c r="D181">
        <v>2</v>
      </c>
      <c r="E181" t="s">
        <v>988</v>
      </c>
      <c r="F181" t="s">
        <v>121</v>
      </c>
      <c r="J181" t="s">
        <v>989</v>
      </c>
      <c r="K181" t="s">
        <v>990</v>
      </c>
      <c r="L181" s="4" t="str">
        <f>IF(AND(ISNUMBER(H181), COUNTIF([1]Songs!$L:$L,H181)&gt;0),"YES","")</f>
        <v/>
      </c>
    </row>
    <row r="182" spans="1:12" x14ac:dyDescent="0.25">
      <c r="A182" s="4">
        <f>INDEX(Albums!$A:$A, MATCH(C182,Albums!$C:$C,0))</f>
        <v>14</v>
      </c>
      <c r="B182" s="4">
        <f>INDEX(Albums!$B:$B, MATCH(C182,Albums!$C:$C,0))</f>
        <v>1998</v>
      </c>
      <c r="C182" t="s">
        <v>6</v>
      </c>
      <c r="D182">
        <v>3</v>
      </c>
      <c r="E182" t="s">
        <v>991</v>
      </c>
      <c r="F182" t="s">
        <v>992</v>
      </c>
      <c r="J182" t="s">
        <v>993</v>
      </c>
      <c r="K182" t="s">
        <v>994</v>
      </c>
      <c r="L182" s="4" t="str">
        <f>IF(AND(ISNUMBER(H182), COUNTIF([1]Songs!$L:$L,H182)&gt;0),"YES","")</f>
        <v/>
      </c>
    </row>
    <row r="183" spans="1:12" x14ac:dyDescent="0.25">
      <c r="A183" s="4">
        <f>INDEX(Albums!$A:$A, MATCH(C183,Albums!$C:$C,0))</f>
        <v>14</v>
      </c>
      <c r="B183" s="4">
        <f>INDEX(Albums!$B:$B, MATCH(C183,Albums!$C:$C,0))</f>
        <v>1998</v>
      </c>
      <c r="C183" t="s">
        <v>6</v>
      </c>
      <c r="D183">
        <v>4</v>
      </c>
      <c r="E183" t="s">
        <v>995</v>
      </c>
      <c r="F183" t="s">
        <v>70</v>
      </c>
      <c r="J183" t="s">
        <v>996</v>
      </c>
      <c r="K183" t="s">
        <v>997</v>
      </c>
      <c r="L183" s="4" t="str">
        <f>IF(AND(ISNUMBER(H183), COUNTIF([1]Songs!$L:$L,H183)&gt;0),"YES","")</f>
        <v/>
      </c>
    </row>
    <row r="184" spans="1:12" x14ac:dyDescent="0.25">
      <c r="A184" s="4">
        <f>INDEX(Albums!$A:$A, MATCH(C184,Albums!$C:$C,0))</f>
        <v>14</v>
      </c>
      <c r="B184" s="4">
        <f>INDEX(Albums!$B:$B, MATCH(C184,Albums!$C:$C,0))</f>
        <v>1998</v>
      </c>
      <c r="C184" t="s">
        <v>6</v>
      </c>
      <c r="D184">
        <v>5</v>
      </c>
      <c r="E184" t="s">
        <v>998</v>
      </c>
      <c r="F184" t="s">
        <v>992</v>
      </c>
      <c r="J184" t="s">
        <v>999</v>
      </c>
      <c r="K184" t="s">
        <v>1000</v>
      </c>
      <c r="L184" s="4" t="str">
        <f>IF(AND(ISNUMBER(H184), COUNTIF([1]Songs!$L:$L,H184)&gt;0),"YES","")</f>
        <v/>
      </c>
    </row>
    <row r="185" spans="1:12" x14ac:dyDescent="0.25">
      <c r="A185" s="4">
        <f>INDEX(Albums!$A:$A, MATCH(C185,Albums!$C:$C,0))</f>
        <v>14</v>
      </c>
      <c r="B185" s="4">
        <f>INDEX(Albums!$B:$B, MATCH(C185,Albums!$C:$C,0))</f>
        <v>1998</v>
      </c>
      <c r="C185" t="s">
        <v>6</v>
      </c>
      <c r="D185">
        <v>6</v>
      </c>
      <c r="E185" t="s">
        <v>1001</v>
      </c>
      <c r="F185" t="s">
        <v>70</v>
      </c>
      <c r="J185" t="s">
        <v>1002</v>
      </c>
      <c r="K185" t="s">
        <v>1003</v>
      </c>
      <c r="L185" s="4" t="str">
        <f>IF(AND(ISNUMBER(H185), COUNTIF([1]Songs!$L:$L,H185)&gt;0),"YES","")</f>
        <v/>
      </c>
    </row>
    <row r="186" spans="1:12" x14ac:dyDescent="0.25">
      <c r="A186" s="4">
        <f>INDEX(Albums!$A:$A, MATCH(C186,Albums!$C:$C,0))</f>
        <v>14</v>
      </c>
      <c r="B186" s="4">
        <f>INDEX(Albums!$B:$B, MATCH(C186,Albums!$C:$C,0))</f>
        <v>1998</v>
      </c>
      <c r="C186" t="s">
        <v>6</v>
      </c>
      <c r="D186">
        <v>7</v>
      </c>
      <c r="E186" t="s">
        <v>1004</v>
      </c>
      <c r="F186" t="s">
        <v>1005</v>
      </c>
      <c r="J186" t="s">
        <v>1006</v>
      </c>
      <c r="K186" t="s">
        <v>1007</v>
      </c>
      <c r="L186" s="4" t="str">
        <f>IF(AND(ISNUMBER(H186), COUNTIF([1]Songs!$L:$L,H186)&gt;0),"YES","")</f>
        <v/>
      </c>
    </row>
    <row r="187" spans="1:12" x14ac:dyDescent="0.25">
      <c r="A187" s="4">
        <f>INDEX(Albums!$A:$A, MATCH(C187,Albums!$C:$C,0))</f>
        <v>14</v>
      </c>
      <c r="B187" s="4">
        <f>INDEX(Albums!$B:$B, MATCH(C187,Albums!$C:$C,0))</f>
        <v>1998</v>
      </c>
      <c r="C187" t="s">
        <v>6</v>
      </c>
      <c r="D187">
        <v>8</v>
      </c>
      <c r="E187" t="s">
        <v>1008</v>
      </c>
      <c r="F187" t="s">
        <v>992</v>
      </c>
      <c r="J187" t="s">
        <v>1009</v>
      </c>
      <c r="K187" t="s">
        <v>1010</v>
      </c>
      <c r="L187" s="4" t="str">
        <f>IF(AND(ISNUMBER(H187), COUNTIF([1]Songs!$L:$L,H187)&gt;0),"YES","")</f>
        <v/>
      </c>
    </row>
    <row r="188" spans="1:12" x14ac:dyDescent="0.25">
      <c r="A188" s="4">
        <f>INDEX(Albums!$A:$A, MATCH(C188,Albums!$C:$C,0))</f>
        <v>14</v>
      </c>
      <c r="B188" s="4">
        <f>INDEX(Albums!$B:$B, MATCH(C188,Albums!$C:$C,0))</f>
        <v>1998</v>
      </c>
      <c r="C188" t="s">
        <v>6</v>
      </c>
      <c r="D188">
        <v>9</v>
      </c>
      <c r="E188" t="s">
        <v>1011</v>
      </c>
      <c r="F188" t="s">
        <v>70</v>
      </c>
      <c r="J188" t="s">
        <v>1012</v>
      </c>
      <c r="K188" t="s">
        <v>1010</v>
      </c>
      <c r="L188" s="4" t="str">
        <f>IF(AND(ISNUMBER(H188), COUNTIF([1]Songs!$L:$L,H188)&gt;0),"YES","")</f>
        <v/>
      </c>
    </row>
    <row r="189" spans="1:12" x14ac:dyDescent="0.25">
      <c r="A189" s="4">
        <f>INDEX(Albums!$A:$A, MATCH(C189,Albums!$C:$C,0))</f>
        <v>14</v>
      </c>
      <c r="B189" s="4">
        <f>INDEX(Albums!$B:$B, MATCH(C189,Albums!$C:$C,0))</f>
        <v>1998</v>
      </c>
      <c r="C189" t="s">
        <v>6</v>
      </c>
      <c r="D189">
        <v>10</v>
      </c>
      <c r="E189" t="s">
        <v>1013</v>
      </c>
      <c r="F189" t="s">
        <v>483</v>
      </c>
      <c r="J189" t="s">
        <v>1014</v>
      </c>
      <c r="K189" t="s">
        <v>1015</v>
      </c>
      <c r="L189" s="4" t="str">
        <f>IF(AND(ISNUMBER(H189), COUNTIF([1]Songs!$L:$L,H189)&gt;0),"YES","")</f>
        <v/>
      </c>
    </row>
    <row r="190" spans="1:12" x14ac:dyDescent="0.25">
      <c r="A190" s="4">
        <f>INDEX(Albums!$A:$A, MATCH(C190,Albums!$C:$C,0))</f>
        <v>14</v>
      </c>
      <c r="B190" s="4">
        <f>INDEX(Albums!$B:$B, MATCH(C190,Albums!$C:$C,0))</f>
        <v>1998</v>
      </c>
      <c r="C190" t="s">
        <v>6</v>
      </c>
      <c r="D190">
        <v>11</v>
      </c>
      <c r="E190" t="s">
        <v>1016</v>
      </c>
      <c r="F190" t="s">
        <v>521</v>
      </c>
      <c r="J190" t="s">
        <v>1017</v>
      </c>
      <c r="K190" t="s">
        <v>906</v>
      </c>
      <c r="L190" s="4" t="str">
        <f>IF(AND(ISNUMBER(H190), COUNTIF([1]Songs!$L:$L,H190)&gt;0),"YES","")</f>
        <v/>
      </c>
    </row>
    <row r="191" spans="1:12" x14ac:dyDescent="0.25">
      <c r="A191" s="4">
        <f>INDEX(Albums!$A:$A, MATCH(C191,Albums!$C:$C,0))</f>
        <v>14</v>
      </c>
      <c r="B191" s="4">
        <f>INDEX(Albums!$B:$B, MATCH(C191,Albums!$C:$C,0))</f>
        <v>1998</v>
      </c>
      <c r="C191" t="s">
        <v>6</v>
      </c>
      <c r="D191">
        <v>12</v>
      </c>
      <c r="E191" t="s">
        <v>1018</v>
      </c>
      <c r="F191" t="s">
        <v>992</v>
      </c>
      <c r="J191" t="s">
        <v>1019</v>
      </c>
      <c r="K191" t="s">
        <v>1020</v>
      </c>
      <c r="L191" s="4" t="str">
        <f>IF(AND(ISNUMBER(H191), COUNTIF([1]Songs!$L:$L,H191)&gt;0),"YES","")</f>
        <v/>
      </c>
    </row>
    <row r="192" spans="1:12" x14ac:dyDescent="0.25">
      <c r="A192" s="4">
        <f>INDEX(Albums!$A:$A, MATCH(C192,Albums!$C:$C,0))</f>
        <v>14</v>
      </c>
      <c r="B192" s="4">
        <f>INDEX(Albums!$B:$B, MATCH(C192,Albums!$C:$C,0))</f>
        <v>1998</v>
      </c>
      <c r="C192" t="s">
        <v>6</v>
      </c>
      <c r="D192">
        <v>13</v>
      </c>
      <c r="E192" t="s">
        <v>1021</v>
      </c>
      <c r="F192" t="s">
        <v>521</v>
      </c>
      <c r="J192" t="s">
        <v>1022</v>
      </c>
      <c r="K192" t="s">
        <v>908</v>
      </c>
      <c r="L192" s="4" t="str">
        <f>IF(AND(ISNUMBER(H192), COUNTIF([1]Songs!$L:$L,H192)&gt;0),"YES","")</f>
        <v/>
      </c>
    </row>
    <row r="193" spans="1:12" x14ac:dyDescent="0.25">
      <c r="A193" s="4">
        <f>INDEX(Albums!$A:$A, MATCH(C193,Albums!$C:$C,0))</f>
        <v>14</v>
      </c>
      <c r="B193" s="4">
        <f>INDEX(Albums!$B:$B, MATCH(C193,Albums!$C:$C,0))</f>
        <v>1998</v>
      </c>
      <c r="C193" t="s">
        <v>6</v>
      </c>
      <c r="D193">
        <v>14</v>
      </c>
      <c r="E193" t="s">
        <v>1023</v>
      </c>
      <c r="F193" t="s">
        <v>521</v>
      </c>
      <c r="J193" t="s">
        <v>1024</v>
      </c>
      <c r="K193" t="s">
        <v>1025</v>
      </c>
      <c r="L193" s="4" t="str">
        <f>IF(AND(ISNUMBER(H193), COUNTIF([1]Songs!$L:$L,H193)&gt;0),"YES","")</f>
        <v/>
      </c>
    </row>
    <row r="194" spans="1:12" x14ac:dyDescent="0.25">
      <c r="A194" s="4">
        <f>INDEX(Albums!$A:$A, MATCH(C194,Albums!$C:$C,0))</f>
        <v>14</v>
      </c>
      <c r="B194" s="4">
        <f>INDEX(Albums!$B:$B, MATCH(C194,Albums!$C:$C,0))</f>
        <v>1998</v>
      </c>
      <c r="C194" t="s">
        <v>6</v>
      </c>
      <c r="D194">
        <v>15</v>
      </c>
      <c r="E194" t="s">
        <v>1027</v>
      </c>
      <c r="K194" t="s">
        <v>1026</v>
      </c>
      <c r="L194" s="4" t="str">
        <f>IF(AND(ISNUMBER(H194), COUNTIF([1]Songs!$L:$L,H194)&gt;0),"YES","")</f>
        <v/>
      </c>
    </row>
    <row r="195" spans="1:12" x14ac:dyDescent="0.25">
      <c r="A195" s="4">
        <f>INDEX(Albums!$A:$A, MATCH(C195,Albums!$C:$C,0))</f>
        <v>15</v>
      </c>
      <c r="B195" s="4">
        <f>INDEX(Albums!$B:$B, MATCH(C195,Albums!$C:$C,0))</f>
        <v>1999</v>
      </c>
      <c r="C195" t="s">
        <v>7</v>
      </c>
      <c r="D195">
        <v>1</v>
      </c>
      <c r="E195" t="s">
        <v>957</v>
      </c>
      <c r="F195" t="s">
        <v>55</v>
      </c>
      <c r="K195" t="s">
        <v>958</v>
      </c>
      <c r="L195" s="4" t="str">
        <f>IF(AND(ISNUMBER(H195), COUNTIF([1]Songs!$L:$L,H195)&gt;0),"YES","")</f>
        <v/>
      </c>
    </row>
    <row r="196" spans="1:12" x14ac:dyDescent="0.25">
      <c r="A196" s="4">
        <f>INDEX(Albums!$A:$A, MATCH(C196,Albums!$C:$C,0))</f>
        <v>15</v>
      </c>
      <c r="B196" s="4">
        <f>INDEX(Albums!$B:$B, MATCH(C196,Albums!$C:$C,0))</f>
        <v>1999</v>
      </c>
      <c r="C196" t="s">
        <v>7</v>
      </c>
      <c r="D196">
        <v>2</v>
      </c>
      <c r="E196" t="s">
        <v>959</v>
      </c>
      <c r="F196" t="s">
        <v>533</v>
      </c>
      <c r="K196" t="s">
        <v>960</v>
      </c>
      <c r="L196" s="4" t="str">
        <f>IF(AND(ISNUMBER(H196), COUNTIF([1]Songs!$L:$L,H196)&gt;0),"YES","")</f>
        <v/>
      </c>
    </row>
    <row r="197" spans="1:12" x14ac:dyDescent="0.25">
      <c r="A197" s="4">
        <f>INDEX(Albums!$A:$A, MATCH(C197,Albums!$C:$C,0))</f>
        <v>15</v>
      </c>
      <c r="B197" s="4">
        <f>INDEX(Albums!$B:$B, MATCH(C197,Albums!$C:$C,0))</f>
        <v>1999</v>
      </c>
      <c r="C197" t="s">
        <v>7</v>
      </c>
      <c r="D197">
        <v>3</v>
      </c>
      <c r="E197" t="s">
        <v>961</v>
      </c>
      <c r="F197" t="s">
        <v>434</v>
      </c>
      <c r="K197" t="s">
        <v>962</v>
      </c>
      <c r="L197" s="4" t="str">
        <f>IF(AND(ISNUMBER(H197), COUNTIF([1]Songs!$L:$L,H197)&gt;0),"YES","")</f>
        <v/>
      </c>
    </row>
    <row r="198" spans="1:12" x14ac:dyDescent="0.25">
      <c r="A198" s="4">
        <f>INDEX(Albums!$A:$A, MATCH(C198,Albums!$C:$C,0))</f>
        <v>15</v>
      </c>
      <c r="B198" s="4">
        <f>INDEX(Albums!$B:$B, MATCH(C198,Albums!$C:$C,0))</f>
        <v>1999</v>
      </c>
      <c r="C198" t="s">
        <v>7</v>
      </c>
      <c r="D198">
        <v>4</v>
      </c>
      <c r="E198" t="s">
        <v>963</v>
      </c>
      <c r="F198" t="s">
        <v>55</v>
      </c>
      <c r="K198" t="s">
        <v>964</v>
      </c>
      <c r="L198" s="4" t="str">
        <f>IF(AND(ISNUMBER(H198), COUNTIF([1]Songs!$L:$L,H198)&gt;0),"YES","")</f>
        <v/>
      </c>
    </row>
    <row r="199" spans="1:12" x14ac:dyDescent="0.25">
      <c r="A199" s="4">
        <f>INDEX(Albums!$A:$A, MATCH(C199,Albums!$C:$C,0))</f>
        <v>15</v>
      </c>
      <c r="B199" s="4">
        <f>INDEX(Albums!$B:$B, MATCH(C199,Albums!$C:$C,0))</f>
        <v>1999</v>
      </c>
      <c r="C199" t="s">
        <v>7</v>
      </c>
      <c r="D199">
        <v>5</v>
      </c>
      <c r="E199" t="s">
        <v>965</v>
      </c>
      <c r="F199" t="s">
        <v>187</v>
      </c>
      <c r="K199" t="s">
        <v>966</v>
      </c>
      <c r="L199" s="4" t="str">
        <f>IF(AND(ISNUMBER(H199), COUNTIF([1]Songs!$L:$L,H199)&gt;0),"YES","")</f>
        <v/>
      </c>
    </row>
    <row r="200" spans="1:12" x14ac:dyDescent="0.25">
      <c r="A200" s="4">
        <f>INDEX(Albums!$A:$A, MATCH(C200,Albums!$C:$C,0))</f>
        <v>15</v>
      </c>
      <c r="B200" s="4">
        <f>INDEX(Albums!$B:$B, MATCH(C200,Albums!$C:$C,0))</f>
        <v>1999</v>
      </c>
      <c r="C200" t="s">
        <v>7</v>
      </c>
      <c r="D200">
        <v>6</v>
      </c>
      <c r="E200" t="s">
        <v>967</v>
      </c>
      <c r="F200" t="s">
        <v>55</v>
      </c>
      <c r="K200" t="s">
        <v>968</v>
      </c>
      <c r="L200" s="4" t="str">
        <f>IF(AND(ISNUMBER(H200), COUNTIF([1]Songs!$L:$L,H200)&gt;0),"YES","")</f>
        <v/>
      </c>
    </row>
    <row r="201" spans="1:12" x14ac:dyDescent="0.25">
      <c r="A201" s="4">
        <f>INDEX(Albums!$A:$A, MATCH(C201,Albums!$C:$C,0))</f>
        <v>15</v>
      </c>
      <c r="B201" s="4">
        <f>INDEX(Albums!$B:$B, MATCH(C201,Albums!$C:$C,0))</f>
        <v>1999</v>
      </c>
      <c r="C201" t="s">
        <v>7</v>
      </c>
      <c r="D201">
        <v>7</v>
      </c>
      <c r="E201" t="s">
        <v>969</v>
      </c>
      <c r="F201" t="s">
        <v>121</v>
      </c>
      <c r="K201" t="s">
        <v>970</v>
      </c>
      <c r="L201" s="4" t="str">
        <f>IF(AND(ISNUMBER(H201), COUNTIF([1]Songs!$L:$L,H201)&gt;0),"YES","")</f>
        <v/>
      </c>
    </row>
    <row r="202" spans="1:12" x14ac:dyDescent="0.25">
      <c r="A202" s="4">
        <f>INDEX(Albums!$A:$A, MATCH(C202,Albums!$C:$C,0))</f>
        <v>15</v>
      </c>
      <c r="B202" s="4">
        <f>INDEX(Albums!$B:$B, MATCH(C202,Albums!$C:$C,0))</f>
        <v>1999</v>
      </c>
      <c r="C202" t="s">
        <v>7</v>
      </c>
      <c r="D202">
        <v>8</v>
      </c>
      <c r="E202" t="s">
        <v>7</v>
      </c>
      <c r="F202" t="s">
        <v>69</v>
      </c>
      <c r="K202" t="s">
        <v>971</v>
      </c>
      <c r="L202" s="4" t="str">
        <f>IF(AND(ISNUMBER(H202), COUNTIF([1]Songs!$L:$L,H202)&gt;0),"YES","")</f>
        <v/>
      </c>
    </row>
    <row r="203" spans="1:12" x14ac:dyDescent="0.25">
      <c r="A203" s="4">
        <f>INDEX(Albums!$A:$A, MATCH(C203,Albums!$C:$C,0))</f>
        <v>15</v>
      </c>
      <c r="B203" s="4">
        <f>INDEX(Albums!$B:$B, MATCH(C203,Albums!$C:$C,0))</f>
        <v>1999</v>
      </c>
      <c r="C203" t="s">
        <v>7</v>
      </c>
      <c r="D203">
        <v>9</v>
      </c>
      <c r="E203" t="s">
        <v>972</v>
      </c>
      <c r="F203" t="s">
        <v>973</v>
      </c>
      <c r="K203" t="s">
        <v>974</v>
      </c>
      <c r="L203" s="4" t="str">
        <f>IF(AND(ISNUMBER(H203), COUNTIF([1]Songs!$L:$L,H203)&gt;0),"YES","")</f>
        <v/>
      </c>
    </row>
    <row r="204" spans="1:12" x14ac:dyDescent="0.25">
      <c r="A204" s="4">
        <f>INDEX(Albums!$A:$A, MATCH(C204,Albums!$C:$C,0))</f>
        <v>15</v>
      </c>
      <c r="B204" s="4">
        <f>INDEX(Albums!$B:$B, MATCH(C204,Albums!$C:$C,0))</f>
        <v>1999</v>
      </c>
      <c r="C204" t="s">
        <v>7</v>
      </c>
      <c r="D204">
        <v>10</v>
      </c>
      <c r="E204" t="s">
        <v>975</v>
      </c>
      <c r="F204" t="s">
        <v>55</v>
      </c>
      <c r="K204" t="s">
        <v>976</v>
      </c>
      <c r="L204" s="4" t="str">
        <f>IF(AND(ISNUMBER(H204), COUNTIF([1]Songs!$L:$L,H204)&gt;0),"YES","")</f>
        <v/>
      </c>
    </row>
    <row r="205" spans="1:12" x14ac:dyDescent="0.25">
      <c r="A205" s="4">
        <f>INDEX(Albums!$A:$A, MATCH(C205,Albums!$C:$C,0))</f>
        <v>15</v>
      </c>
      <c r="B205" s="4">
        <f>INDEX(Albums!$B:$B, MATCH(C205,Albums!$C:$C,0))</f>
        <v>1999</v>
      </c>
      <c r="C205" t="s">
        <v>7</v>
      </c>
      <c r="D205">
        <v>11</v>
      </c>
      <c r="E205" t="s">
        <v>977</v>
      </c>
      <c r="F205" t="s">
        <v>916</v>
      </c>
      <c r="K205" t="s">
        <v>978</v>
      </c>
      <c r="L205" s="4" t="str">
        <f>IF(AND(ISNUMBER(H205), COUNTIF([1]Songs!$L:$L,H205)&gt;0),"YES","")</f>
        <v/>
      </c>
    </row>
    <row r="206" spans="1:12" x14ac:dyDescent="0.25">
      <c r="A206" s="4">
        <f>INDEX(Albums!$A:$A, MATCH(C206,Albums!$C:$C,0))</f>
        <v>15</v>
      </c>
      <c r="B206" s="4">
        <f>INDEX(Albums!$B:$B, MATCH(C206,Albums!$C:$C,0))</f>
        <v>1999</v>
      </c>
      <c r="C206" t="s">
        <v>7</v>
      </c>
      <c r="D206">
        <v>12</v>
      </c>
      <c r="E206" t="s">
        <v>349</v>
      </c>
      <c r="F206" t="s">
        <v>55</v>
      </c>
      <c r="K206" t="s">
        <v>979</v>
      </c>
      <c r="L206" s="4" t="str">
        <f>IF(AND(ISNUMBER(H206), COUNTIF([1]Songs!$L:$L,H206)&gt;0),"YES","")</f>
        <v/>
      </c>
    </row>
    <row r="207" spans="1:12" x14ac:dyDescent="0.25">
      <c r="A207" s="4">
        <f>INDEX(Albums!$A:$A, MATCH(C207,Albums!$C:$C,0))</f>
        <v>15</v>
      </c>
      <c r="B207" s="4">
        <f>INDEX(Albums!$B:$B, MATCH(C207,Albums!$C:$C,0))</f>
        <v>1999</v>
      </c>
      <c r="C207" t="s">
        <v>7</v>
      </c>
      <c r="D207">
        <v>13</v>
      </c>
      <c r="E207" t="s">
        <v>980</v>
      </c>
      <c r="F207" t="s">
        <v>121</v>
      </c>
      <c r="K207" t="s">
        <v>981</v>
      </c>
      <c r="L207" s="4" t="str">
        <f>IF(AND(ISNUMBER(H207), COUNTIF([1]Songs!$L:$L,H207)&gt;0),"YES","")</f>
        <v/>
      </c>
    </row>
    <row r="208" spans="1:12" x14ac:dyDescent="0.25">
      <c r="A208" s="4">
        <f>INDEX(Albums!$A:$A, MATCH(C208,Albums!$C:$C,0))</f>
        <v>15</v>
      </c>
      <c r="B208" s="4">
        <f>INDEX(Albums!$B:$B, MATCH(C208,Albums!$C:$C,0))</f>
        <v>1999</v>
      </c>
      <c r="C208" t="s">
        <v>7</v>
      </c>
      <c r="D208">
        <v>14</v>
      </c>
      <c r="E208" t="s">
        <v>982</v>
      </c>
      <c r="F208" t="s">
        <v>55</v>
      </c>
      <c r="K208" t="s">
        <v>983</v>
      </c>
      <c r="L208" s="4" t="str">
        <f>IF(AND(ISNUMBER(H208), COUNTIF([1]Songs!$L:$L,H208)&gt;0),"YES","")</f>
        <v/>
      </c>
    </row>
    <row r="209" spans="1:12" x14ac:dyDescent="0.25">
      <c r="A209" s="4">
        <f>INDEX(Albums!$A:$A, MATCH(C209,Albums!$C:$C,0))</f>
        <v>16</v>
      </c>
      <c r="B209" s="4">
        <f>INDEX(Albums!$B:$B, MATCH(C209,Albums!$C:$C,0))</f>
        <v>1999</v>
      </c>
      <c r="C209" t="s">
        <v>542</v>
      </c>
      <c r="D209">
        <v>1</v>
      </c>
      <c r="E209" t="s">
        <v>542</v>
      </c>
      <c r="F209" t="s">
        <v>58</v>
      </c>
      <c r="K209" s="2">
        <v>0.15416666666666667</v>
      </c>
      <c r="L209" t="str">
        <f>IF(AND(ISNUMBER(H209), COUNTIF([1]Songs!$L:$L,H209)&gt;0),"YES","")</f>
        <v/>
      </c>
    </row>
    <row r="210" spans="1:12" x14ac:dyDescent="0.25">
      <c r="A210" s="4">
        <f>INDEX(Albums!$A:$A, MATCH(C210,Albums!$C:$C,0))</f>
        <v>16</v>
      </c>
      <c r="B210" s="4">
        <f>INDEX(Albums!$B:$B, MATCH(C210,Albums!$C:$C,0))</f>
        <v>1999</v>
      </c>
      <c r="C210" t="s">
        <v>542</v>
      </c>
      <c r="D210">
        <v>2</v>
      </c>
      <c r="E210" t="s">
        <v>939</v>
      </c>
      <c r="F210" t="s">
        <v>69</v>
      </c>
      <c r="K210" s="2">
        <v>0.11388888888888889</v>
      </c>
      <c r="L210" t="str">
        <f>IF(AND(ISNUMBER(H210), COUNTIF([1]Songs!$L:$L,H210)&gt;0),"YES","")</f>
        <v/>
      </c>
    </row>
    <row r="211" spans="1:12" x14ac:dyDescent="0.25">
      <c r="A211" s="4">
        <f>INDEX(Albums!$A:$A, MATCH(C211,Albums!$C:$C,0))</f>
        <v>16</v>
      </c>
      <c r="B211" s="4">
        <f>INDEX(Albums!$B:$B, MATCH(C211,Albums!$C:$C,0))</f>
        <v>1999</v>
      </c>
      <c r="C211" t="s">
        <v>542</v>
      </c>
      <c r="D211">
        <v>3</v>
      </c>
      <c r="E211" t="s">
        <v>940</v>
      </c>
      <c r="F211" t="s">
        <v>55</v>
      </c>
      <c r="K211" s="2">
        <v>0.23541666666666669</v>
      </c>
      <c r="L211" t="str">
        <f>IF(AND(ISNUMBER(H211), COUNTIF([1]Songs!$L:$L,H211)&gt;0),"YES","")</f>
        <v/>
      </c>
    </row>
    <row r="212" spans="1:12" x14ac:dyDescent="0.25">
      <c r="A212" s="4">
        <f>INDEX(Albums!$A:$A, MATCH(C212,Albums!$C:$C,0))</f>
        <v>16</v>
      </c>
      <c r="B212" s="4">
        <f>INDEX(Albums!$B:$B, MATCH(C212,Albums!$C:$C,0))</f>
        <v>1999</v>
      </c>
      <c r="C212" t="s">
        <v>542</v>
      </c>
      <c r="D212">
        <v>4</v>
      </c>
      <c r="E212" t="s">
        <v>941</v>
      </c>
      <c r="F212" t="s">
        <v>70</v>
      </c>
      <c r="K212" s="2">
        <v>0.19583333333333333</v>
      </c>
      <c r="L212" t="str">
        <f>IF(AND(ISNUMBER(H212), COUNTIF([1]Songs!$L:$L,H212)&gt;0),"YES","")</f>
        <v/>
      </c>
    </row>
    <row r="213" spans="1:12" x14ac:dyDescent="0.25">
      <c r="A213" s="4">
        <f>INDEX(Albums!$A:$A, MATCH(C213,Albums!$C:$C,0))</f>
        <v>16</v>
      </c>
      <c r="B213" s="4">
        <f>INDEX(Albums!$B:$B, MATCH(C213,Albums!$C:$C,0))</f>
        <v>1999</v>
      </c>
      <c r="C213" t="s">
        <v>542</v>
      </c>
      <c r="D213">
        <v>5</v>
      </c>
      <c r="E213" t="s">
        <v>942</v>
      </c>
      <c r="F213" t="s">
        <v>70</v>
      </c>
      <c r="K213" s="2">
        <v>0.19722222222222222</v>
      </c>
      <c r="L213" t="str">
        <f>IF(AND(ISNUMBER(H213), COUNTIF([1]Songs!$L:$L,H213)&gt;0),"YES","")</f>
        <v/>
      </c>
    </row>
    <row r="214" spans="1:12" x14ac:dyDescent="0.25">
      <c r="A214" s="4">
        <f>INDEX(Albums!$A:$A, MATCH(C214,Albums!$C:$C,0))</f>
        <v>16</v>
      </c>
      <c r="B214" s="4">
        <f>INDEX(Albums!$B:$B, MATCH(C214,Albums!$C:$C,0))</f>
        <v>1999</v>
      </c>
      <c r="C214" t="s">
        <v>542</v>
      </c>
      <c r="D214">
        <v>6</v>
      </c>
      <c r="E214" t="s">
        <v>943</v>
      </c>
      <c r="F214" t="s">
        <v>76</v>
      </c>
      <c r="K214" s="2">
        <v>0.19027777777777777</v>
      </c>
      <c r="L214" t="str">
        <f>IF(AND(ISNUMBER(H214), COUNTIF([1]Songs!$L:$L,H214)&gt;0),"YES","")</f>
        <v/>
      </c>
    </row>
    <row r="215" spans="1:12" x14ac:dyDescent="0.25">
      <c r="A215" s="4">
        <f>INDEX(Albums!$A:$A, MATCH(C215,Albums!$C:$C,0))</f>
        <v>16</v>
      </c>
      <c r="B215" s="4">
        <f>INDEX(Albums!$B:$B, MATCH(C215,Albums!$C:$C,0))</f>
        <v>1999</v>
      </c>
      <c r="C215" t="s">
        <v>542</v>
      </c>
      <c r="D215">
        <v>7</v>
      </c>
      <c r="E215" t="s">
        <v>944</v>
      </c>
      <c r="F215" t="s">
        <v>434</v>
      </c>
      <c r="K215" s="2">
        <v>0.16944444444444443</v>
      </c>
      <c r="L215" t="str">
        <f>IF(AND(ISNUMBER(H215), COUNTIF([1]Songs!$L:$L,H215)&gt;0),"YES","")</f>
        <v/>
      </c>
    </row>
    <row r="216" spans="1:12" x14ac:dyDescent="0.25">
      <c r="A216" s="4">
        <f>INDEX(Albums!$A:$A, MATCH(C216,Albums!$C:$C,0))</f>
        <v>16</v>
      </c>
      <c r="B216" s="4">
        <f>INDEX(Albums!$B:$B, MATCH(C216,Albums!$C:$C,0))</f>
        <v>1999</v>
      </c>
      <c r="C216" t="s">
        <v>542</v>
      </c>
      <c r="D216">
        <v>8</v>
      </c>
      <c r="E216" t="s">
        <v>945</v>
      </c>
      <c r="F216" t="s">
        <v>486</v>
      </c>
      <c r="K216" s="2">
        <v>0.25625000000000003</v>
      </c>
      <c r="L216" t="str">
        <f>IF(AND(ISNUMBER(H216), COUNTIF([1]Songs!$L:$L,H216)&gt;0),"YES","")</f>
        <v/>
      </c>
    </row>
    <row r="217" spans="1:12" x14ac:dyDescent="0.25">
      <c r="A217" s="4">
        <f>INDEX(Albums!$A:$A, MATCH(C217,Albums!$C:$C,0))</f>
        <v>16</v>
      </c>
      <c r="B217" s="4">
        <f>INDEX(Albums!$B:$B, MATCH(C217,Albums!$C:$C,0))</f>
        <v>1999</v>
      </c>
      <c r="C217" t="s">
        <v>542</v>
      </c>
      <c r="D217">
        <v>9</v>
      </c>
      <c r="E217" t="s">
        <v>946</v>
      </c>
      <c r="F217" t="s">
        <v>76</v>
      </c>
      <c r="K217" s="2">
        <v>0.2590277777777778</v>
      </c>
      <c r="L217" t="str">
        <f>IF(AND(ISNUMBER(H217), COUNTIF([1]Songs!$L:$L,H217)&gt;0),"YES","")</f>
        <v/>
      </c>
    </row>
    <row r="218" spans="1:12" x14ac:dyDescent="0.25">
      <c r="A218" s="4">
        <f>INDEX(Albums!$A:$A, MATCH(C218,Albums!$C:$C,0))</f>
        <v>16</v>
      </c>
      <c r="B218" s="4">
        <f>INDEX(Albums!$B:$B, MATCH(C218,Albums!$C:$C,0))</f>
        <v>1999</v>
      </c>
      <c r="C218" t="s">
        <v>542</v>
      </c>
      <c r="D218">
        <v>10</v>
      </c>
      <c r="E218" t="s">
        <v>947</v>
      </c>
      <c r="F218" t="s">
        <v>76</v>
      </c>
      <c r="K218" s="2">
        <v>0.30138888888888887</v>
      </c>
      <c r="L218" t="str">
        <f>IF(AND(ISNUMBER(H218), COUNTIF([1]Songs!$L:$L,H218)&gt;0),"YES","")</f>
        <v/>
      </c>
    </row>
    <row r="219" spans="1:12" x14ac:dyDescent="0.25">
      <c r="A219" s="4">
        <f>INDEX(Albums!$A:$A, MATCH(C219,Albums!$C:$C,0))</f>
        <v>18</v>
      </c>
      <c r="B219" s="4">
        <f>INDEX(Albums!$B:$B, MATCH(C219,Albums!$C:$C,0))</f>
        <v>2000</v>
      </c>
      <c r="C219" t="s">
        <v>659</v>
      </c>
      <c r="D219">
        <v>1</v>
      </c>
      <c r="E219" t="s">
        <v>523</v>
      </c>
      <c r="F219" t="s">
        <v>927</v>
      </c>
      <c r="K219" s="2"/>
      <c r="L219" t="str">
        <f>IF(AND(ISNUMBER(H219), COUNTIF([1]Songs!$L:$L,H219)&gt;0),"YES","")</f>
        <v/>
      </c>
    </row>
    <row r="220" spans="1:12" x14ac:dyDescent="0.25">
      <c r="A220" s="4">
        <f>INDEX(Albums!$A:$A, MATCH(C220,Albums!$C:$C,0))</f>
        <v>18</v>
      </c>
      <c r="B220" s="4">
        <f>INDEX(Albums!$B:$B, MATCH(C220,Albums!$C:$C,0))</f>
        <v>2000</v>
      </c>
      <c r="C220" t="s">
        <v>659</v>
      </c>
      <c r="D220">
        <v>2</v>
      </c>
      <c r="E220" t="s">
        <v>928</v>
      </c>
      <c r="F220" t="s">
        <v>530</v>
      </c>
      <c r="K220" s="2"/>
      <c r="L220" t="str">
        <f>IF(AND(ISNUMBER(H220), COUNTIF([1]Songs!$L:$L,H220)&gt;0),"YES","")</f>
        <v/>
      </c>
    </row>
    <row r="221" spans="1:12" x14ac:dyDescent="0.25">
      <c r="A221" s="4">
        <f>INDEX(Albums!$A:$A, MATCH(C221,Albums!$C:$C,0))</f>
        <v>18</v>
      </c>
      <c r="B221" s="4">
        <f>INDEX(Albums!$B:$B, MATCH(C221,Albums!$C:$C,0))</f>
        <v>2000</v>
      </c>
      <c r="C221" t="s">
        <v>659</v>
      </c>
      <c r="D221">
        <v>3</v>
      </c>
      <c r="E221" t="s">
        <v>929</v>
      </c>
      <c r="F221" t="s">
        <v>735</v>
      </c>
      <c r="K221" s="2"/>
      <c r="L221" t="str">
        <f>IF(AND(ISNUMBER(H221), COUNTIF([1]Songs!$L:$L,H221)&gt;0),"YES","")</f>
        <v/>
      </c>
    </row>
    <row r="222" spans="1:12" x14ac:dyDescent="0.25">
      <c r="A222" s="4">
        <f>INDEX(Albums!$A:$A, MATCH(C222,Albums!$C:$C,0))</f>
        <v>18</v>
      </c>
      <c r="B222" s="4">
        <f>INDEX(Albums!$B:$B, MATCH(C222,Albums!$C:$C,0))</f>
        <v>2000</v>
      </c>
      <c r="C222" t="s">
        <v>659</v>
      </c>
      <c r="D222">
        <v>4</v>
      </c>
      <c r="E222" t="s">
        <v>38</v>
      </c>
      <c r="F222" t="s">
        <v>76</v>
      </c>
      <c r="K222" s="2"/>
      <c r="L222" t="str">
        <f>IF(AND(ISNUMBER(H222), COUNTIF([1]Songs!$L:$L,H222)&gt;0),"YES","")</f>
        <v/>
      </c>
    </row>
    <row r="223" spans="1:12" x14ac:dyDescent="0.25">
      <c r="A223" s="4">
        <f>INDEX(Albums!$A:$A, MATCH(C223,Albums!$C:$C,0))</f>
        <v>18</v>
      </c>
      <c r="B223" s="4">
        <f>INDEX(Albums!$B:$B, MATCH(C223,Albums!$C:$C,0))</f>
        <v>2000</v>
      </c>
      <c r="C223" t="s">
        <v>659</v>
      </c>
      <c r="D223">
        <v>5</v>
      </c>
      <c r="E223" t="s">
        <v>930</v>
      </c>
      <c r="F223" t="s">
        <v>931</v>
      </c>
      <c r="K223" s="2"/>
      <c r="L223" t="str">
        <f>IF(AND(ISNUMBER(H223), COUNTIF([1]Songs!$L:$L,H223)&gt;0),"YES","")</f>
        <v/>
      </c>
    </row>
    <row r="224" spans="1:12" x14ac:dyDescent="0.25">
      <c r="A224" s="4">
        <f>INDEX(Albums!$A:$A, MATCH(C224,Albums!$C:$C,0))</f>
        <v>18</v>
      </c>
      <c r="B224" s="4">
        <f>INDEX(Albums!$B:$B, MATCH(C224,Albums!$C:$C,0))</f>
        <v>2000</v>
      </c>
      <c r="C224" t="s">
        <v>659</v>
      </c>
      <c r="D224">
        <v>6</v>
      </c>
      <c r="E224" t="s">
        <v>932</v>
      </c>
      <c r="F224" t="s">
        <v>434</v>
      </c>
      <c r="K224" s="2"/>
      <c r="L224" t="str">
        <f>IF(AND(ISNUMBER(H224), COUNTIF([1]Songs!$L:$L,H224)&gt;0),"YES","")</f>
        <v/>
      </c>
    </row>
    <row r="225" spans="1:12" x14ac:dyDescent="0.25">
      <c r="A225" s="4">
        <f>INDEX(Albums!$A:$A, MATCH(C225,Albums!$C:$C,0))</f>
        <v>18</v>
      </c>
      <c r="B225" s="4">
        <f>INDEX(Albums!$B:$B, MATCH(C225,Albums!$C:$C,0))</f>
        <v>2000</v>
      </c>
      <c r="C225" t="s">
        <v>659</v>
      </c>
      <c r="D225">
        <v>7</v>
      </c>
      <c r="E225" t="s">
        <v>933</v>
      </c>
      <c r="F225" t="s">
        <v>55</v>
      </c>
      <c r="K225" s="2"/>
      <c r="L225" t="str">
        <f>IF(AND(ISNUMBER(H225), COUNTIF([1]Songs!$L:$L,H225)&gt;0),"YES","")</f>
        <v/>
      </c>
    </row>
    <row r="226" spans="1:12" x14ac:dyDescent="0.25">
      <c r="A226" s="4">
        <f>INDEX(Albums!$A:$A, MATCH(C226,Albums!$C:$C,0))</f>
        <v>18</v>
      </c>
      <c r="B226" s="4">
        <f>INDEX(Albums!$B:$B, MATCH(C226,Albums!$C:$C,0))</f>
        <v>2000</v>
      </c>
      <c r="C226" t="s">
        <v>659</v>
      </c>
      <c r="D226">
        <v>8</v>
      </c>
      <c r="E226" t="s">
        <v>934</v>
      </c>
      <c r="F226" t="s">
        <v>935</v>
      </c>
      <c r="K226" s="2"/>
      <c r="L226" t="str">
        <f>IF(AND(ISNUMBER(H226), COUNTIF([1]Songs!$L:$L,H226)&gt;0),"YES","")</f>
        <v/>
      </c>
    </row>
    <row r="227" spans="1:12" x14ac:dyDescent="0.25">
      <c r="A227" s="4">
        <f>INDEX(Albums!$A:$A, MATCH(C227,Albums!$C:$C,0))</f>
        <v>18</v>
      </c>
      <c r="B227" s="4">
        <f>INDEX(Albums!$B:$B, MATCH(C227,Albums!$C:$C,0))</f>
        <v>2000</v>
      </c>
      <c r="C227" t="s">
        <v>659</v>
      </c>
      <c r="D227">
        <v>9</v>
      </c>
      <c r="E227" t="s">
        <v>936</v>
      </c>
      <c r="F227" t="s">
        <v>937</v>
      </c>
      <c r="K227" s="2"/>
      <c r="L227" t="str">
        <f>IF(AND(ISNUMBER(H227), COUNTIF([1]Songs!$L:$L,H227)&gt;0),"YES","")</f>
        <v/>
      </c>
    </row>
    <row r="228" spans="1:12" x14ac:dyDescent="0.25">
      <c r="A228" s="4">
        <f>INDEX(Albums!$A:$A, MATCH(C228,Albums!$C:$C,0))</f>
        <v>18</v>
      </c>
      <c r="B228" s="4">
        <f>INDEX(Albums!$B:$B, MATCH(C228,Albums!$C:$C,0))</f>
        <v>2000</v>
      </c>
      <c r="C228" t="s">
        <v>659</v>
      </c>
      <c r="D228">
        <v>10</v>
      </c>
      <c r="E228" t="s">
        <v>938</v>
      </c>
      <c r="F228" t="s">
        <v>76</v>
      </c>
      <c r="K228" s="2"/>
      <c r="L228" t="str">
        <f>IF(AND(ISNUMBER(H228), COUNTIF([1]Songs!$L:$L,H228)&gt;0),"YES","")</f>
        <v/>
      </c>
    </row>
    <row r="229" spans="1:12" x14ac:dyDescent="0.25">
      <c r="A229" s="4">
        <f>INDEX(Albums!$A:$A, MATCH(C229,Albums!$C:$C,0))</f>
        <v>19</v>
      </c>
      <c r="B229" s="4">
        <f>INDEX(Albums!$B:$B, MATCH(C229,Albums!$C:$C,0))</f>
        <v>2000</v>
      </c>
      <c r="C229" t="s">
        <v>8</v>
      </c>
      <c r="D229">
        <v>1</v>
      </c>
      <c r="E229" t="s">
        <v>525</v>
      </c>
      <c r="F229" t="s">
        <v>55</v>
      </c>
      <c r="G229" t="s">
        <v>359</v>
      </c>
      <c r="H229">
        <v>2725646</v>
      </c>
      <c r="J229" t="s">
        <v>185</v>
      </c>
      <c r="L229" s="4" t="str">
        <f>IF(AND(ISNUMBER(H229), COUNTIF([1]Songs!$L:$L,H229)&gt;0),"YES","")</f>
        <v/>
      </c>
    </row>
    <row r="230" spans="1:12" x14ac:dyDescent="0.25">
      <c r="A230" s="4">
        <f>INDEX(Albums!$A:$A, MATCH(C230,Albums!$C:$C,0))</f>
        <v>19</v>
      </c>
      <c r="B230" s="4">
        <f>INDEX(Albums!$B:$B, MATCH(C230,Albums!$C:$C,0))</f>
        <v>2000</v>
      </c>
      <c r="C230" t="s">
        <v>8</v>
      </c>
      <c r="D230">
        <v>2</v>
      </c>
      <c r="E230" t="s">
        <v>526</v>
      </c>
      <c r="F230" t="s">
        <v>55</v>
      </c>
      <c r="G230" t="s">
        <v>603</v>
      </c>
      <c r="H230">
        <v>3001613</v>
      </c>
      <c r="J230" t="s">
        <v>121</v>
      </c>
      <c r="L230" s="4" t="str">
        <f>IF(AND(ISNUMBER(H230), COUNTIF([1]Songs!$L:$L,H230)&gt;0),"YES","")</f>
        <v/>
      </c>
    </row>
    <row r="231" spans="1:12" x14ac:dyDescent="0.25">
      <c r="A231" s="4">
        <f>INDEX(Albums!$A:$A, MATCH(C231,Albums!$C:$C,0))</f>
        <v>19</v>
      </c>
      <c r="B231" s="4">
        <f>INDEX(Albums!$B:$B, MATCH(C231,Albums!$C:$C,0))</f>
        <v>2000</v>
      </c>
      <c r="C231" t="s">
        <v>8</v>
      </c>
      <c r="D231">
        <v>3</v>
      </c>
      <c r="E231" t="s">
        <v>527</v>
      </c>
      <c r="F231" t="s">
        <v>439</v>
      </c>
      <c r="G231" t="s">
        <v>360</v>
      </c>
      <c r="H231">
        <v>3001620</v>
      </c>
      <c r="J231" t="s">
        <v>528</v>
      </c>
      <c r="L231" s="4" t="str">
        <f>IF(AND(ISNUMBER(H231), COUNTIF([1]Songs!$L:$L,H231)&gt;0),"YES","")</f>
        <v/>
      </c>
    </row>
    <row r="232" spans="1:12" x14ac:dyDescent="0.25">
      <c r="A232" s="4">
        <f>INDEX(Albums!$A:$A, MATCH(C232,Albums!$C:$C,0))</f>
        <v>19</v>
      </c>
      <c r="B232" s="4">
        <f>INDEX(Albums!$B:$B, MATCH(C232,Albums!$C:$C,0))</f>
        <v>2000</v>
      </c>
      <c r="C232" t="s">
        <v>8</v>
      </c>
      <c r="D232">
        <v>4</v>
      </c>
      <c r="E232" t="s">
        <v>529</v>
      </c>
      <c r="F232" t="s">
        <v>530</v>
      </c>
      <c r="G232" t="s">
        <v>359</v>
      </c>
      <c r="H232">
        <v>3001637</v>
      </c>
      <c r="J232" t="s">
        <v>580</v>
      </c>
      <c r="L232" s="4" t="str">
        <f>IF(AND(ISNUMBER(H232), COUNTIF([1]Songs!$L:$L,H232)&gt;0),"YES","")</f>
        <v/>
      </c>
    </row>
    <row r="233" spans="1:12" x14ac:dyDescent="0.25">
      <c r="A233" s="4">
        <f>INDEX(Albums!$A:$A, MATCH(C233,Albums!$C:$C,0))</f>
        <v>19</v>
      </c>
      <c r="B233" s="4">
        <f>INDEX(Albums!$B:$B, MATCH(C233,Albums!$C:$C,0))</f>
        <v>2000</v>
      </c>
      <c r="C233" t="s">
        <v>8</v>
      </c>
      <c r="D233">
        <v>5</v>
      </c>
      <c r="E233" t="s">
        <v>531</v>
      </c>
      <c r="F233" t="s">
        <v>55</v>
      </c>
      <c r="G233" t="s">
        <v>359</v>
      </c>
      <c r="H233">
        <v>2883069</v>
      </c>
      <c r="J233" t="s">
        <v>121</v>
      </c>
      <c r="L233" s="4" t="str">
        <f>IF(AND(ISNUMBER(H233), COUNTIF([1]Songs!$L:$L,H233)&gt;0),"YES","")</f>
        <v/>
      </c>
    </row>
    <row r="234" spans="1:12" x14ac:dyDescent="0.25">
      <c r="A234" s="4">
        <f>INDEX(Albums!$A:$A, MATCH(C234,Albums!$C:$C,0))</f>
        <v>19</v>
      </c>
      <c r="B234" s="4">
        <f>INDEX(Albums!$B:$B, MATCH(C234,Albums!$C:$C,0))</f>
        <v>2000</v>
      </c>
      <c r="C234" t="s">
        <v>8</v>
      </c>
      <c r="D234">
        <v>6</v>
      </c>
      <c r="E234" t="s">
        <v>532</v>
      </c>
      <c r="F234" t="s">
        <v>533</v>
      </c>
      <c r="G234" t="s">
        <v>358</v>
      </c>
      <c r="H234">
        <v>3001644</v>
      </c>
      <c r="J234" t="s">
        <v>187</v>
      </c>
      <c r="L234" s="4" t="str">
        <f>IF(AND(ISNUMBER(H234), COUNTIF([1]Songs!$L:$L,H234)&gt;0),"YES","")</f>
        <v/>
      </c>
    </row>
    <row r="235" spans="1:12" x14ac:dyDescent="0.25">
      <c r="A235" s="4">
        <f>INDEX(Albums!$A:$A, MATCH(C235,Albums!$C:$C,0))</f>
        <v>19</v>
      </c>
      <c r="B235" s="4">
        <f>INDEX(Albums!$B:$B, MATCH(C235,Albums!$C:$C,0))</f>
        <v>2000</v>
      </c>
      <c r="C235" t="s">
        <v>8</v>
      </c>
      <c r="D235">
        <v>7</v>
      </c>
      <c r="E235" t="s">
        <v>534</v>
      </c>
      <c r="F235" t="s">
        <v>69</v>
      </c>
      <c r="G235" t="s">
        <v>355</v>
      </c>
      <c r="H235">
        <v>3001651</v>
      </c>
      <c r="J235" t="s">
        <v>69</v>
      </c>
      <c r="L235" s="4" t="str">
        <f>IF(AND(ISNUMBER(H235), COUNTIF([1]Songs!$L:$L,H235)&gt;0),"YES","")</f>
        <v/>
      </c>
    </row>
    <row r="236" spans="1:12" x14ac:dyDescent="0.25">
      <c r="A236" s="4">
        <f>INDEX(Albums!$A:$A, MATCH(C236,Albums!$C:$C,0))</f>
        <v>19</v>
      </c>
      <c r="B236" s="4">
        <f>INDEX(Albums!$B:$B, MATCH(C236,Albums!$C:$C,0))</f>
        <v>2000</v>
      </c>
      <c r="C236" t="s">
        <v>8</v>
      </c>
      <c r="D236">
        <v>8</v>
      </c>
      <c r="E236" t="s">
        <v>535</v>
      </c>
      <c r="F236" t="s">
        <v>55</v>
      </c>
      <c r="G236" t="s">
        <v>358</v>
      </c>
      <c r="H236">
        <v>2883038</v>
      </c>
      <c r="J236" t="s">
        <v>121</v>
      </c>
      <c r="L236" s="4" t="str">
        <f>IF(AND(ISNUMBER(H236), COUNTIF([1]Songs!$L:$L,H236)&gt;0),"YES","")</f>
        <v/>
      </c>
    </row>
    <row r="237" spans="1:12" x14ac:dyDescent="0.25">
      <c r="A237" s="4">
        <f>INDEX(Albums!$A:$A, MATCH(C237,Albums!$C:$C,0))</f>
        <v>19</v>
      </c>
      <c r="B237" s="4">
        <f>INDEX(Albums!$B:$B, MATCH(C237,Albums!$C:$C,0))</f>
        <v>2000</v>
      </c>
      <c r="C237" t="s">
        <v>8</v>
      </c>
      <c r="D237">
        <v>9</v>
      </c>
      <c r="E237" t="s">
        <v>536</v>
      </c>
      <c r="F237" t="s">
        <v>537</v>
      </c>
      <c r="G237" t="s">
        <v>356</v>
      </c>
      <c r="H237">
        <v>3001668</v>
      </c>
      <c r="J237" t="s">
        <v>121</v>
      </c>
      <c r="L237" s="4" t="str">
        <f>IF(AND(ISNUMBER(H237), COUNTIF([1]Songs!$L:$L,H237)&gt;0),"YES","")</f>
        <v/>
      </c>
    </row>
    <row r="238" spans="1:12" x14ac:dyDescent="0.25">
      <c r="A238" s="4">
        <f>INDEX(Albums!$A:$A, MATCH(C238,Albums!$C:$C,0))</f>
        <v>19</v>
      </c>
      <c r="B238" s="4">
        <f>INDEX(Albums!$B:$B, MATCH(C238,Albums!$C:$C,0))</f>
        <v>2000</v>
      </c>
      <c r="C238" t="s">
        <v>8</v>
      </c>
      <c r="D238">
        <v>10</v>
      </c>
      <c r="E238" t="s">
        <v>8</v>
      </c>
      <c r="F238" t="s">
        <v>58</v>
      </c>
      <c r="G238" t="s">
        <v>357</v>
      </c>
      <c r="H238">
        <v>3001589</v>
      </c>
      <c r="J238" t="s">
        <v>185</v>
      </c>
      <c r="L238" s="4" t="str">
        <f>IF(AND(ISNUMBER(H238), COUNTIF([1]Songs!$L:$L,H238)&gt;0),"YES","")</f>
        <v/>
      </c>
    </row>
    <row r="239" spans="1:12" x14ac:dyDescent="0.25">
      <c r="A239" s="4">
        <f>INDEX(Albums!$A:$A, MATCH(C239,Albums!$C:$C,0))</f>
        <v>19</v>
      </c>
      <c r="B239" s="4">
        <f>INDEX(Albums!$B:$B, MATCH(C239,Albums!$C:$C,0))</f>
        <v>2000</v>
      </c>
      <c r="C239" t="s">
        <v>8</v>
      </c>
      <c r="D239">
        <v>11</v>
      </c>
      <c r="E239" t="s">
        <v>538</v>
      </c>
      <c r="F239" t="s">
        <v>434</v>
      </c>
      <c r="G239" t="s">
        <v>607</v>
      </c>
      <c r="H239">
        <v>3001596</v>
      </c>
      <c r="J239" t="s">
        <v>539</v>
      </c>
      <c r="L239" s="4" t="str">
        <f>IF(AND(ISNUMBER(H239), COUNTIF([1]Songs!$L:$L,H239)&gt;0),"YES","")</f>
        <v/>
      </c>
    </row>
    <row r="240" spans="1:12" x14ac:dyDescent="0.25">
      <c r="A240" s="4">
        <f>INDEX(Albums!$A:$A, MATCH(C240,Albums!$C:$C,0))</f>
        <v>19</v>
      </c>
      <c r="B240" s="4">
        <f>INDEX(Albums!$B:$B, MATCH(C240,Albums!$C:$C,0))</f>
        <v>2000</v>
      </c>
      <c r="C240" t="s">
        <v>8</v>
      </c>
      <c r="D240">
        <v>12</v>
      </c>
      <c r="E240" t="s">
        <v>540</v>
      </c>
      <c r="F240" t="s">
        <v>121</v>
      </c>
      <c r="G240" t="s">
        <v>356</v>
      </c>
      <c r="H240">
        <v>3001606</v>
      </c>
      <c r="J240" t="s">
        <v>121</v>
      </c>
      <c r="L240" s="4" t="str">
        <f>IF(AND(ISNUMBER(H240), COUNTIF([1]Songs!$L:$L,H240)&gt;0),"YES","")</f>
        <v/>
      </c>
    </row>
    <row r="241" spans="1:12" x14ac:dyDescent="0.25">
      <c r="A241" s="4">
        <f>INDEX(Albums!$A:$A, MATCH(C241,Albums!$C:$C,0))</f>
        <v>19</v>
      </c>
      <c r="B241" s="4">
        <f>INDEX(Albums!$B:$B, MATCH(C241,Albums!$C:$C,0))</f>
        <v>2000</v>
      </c>
      <c r="C241" t="s">
        <v>8</v>
      </c>
      <c r="D241">
        <v>13</v>
      </c>
      <c r="E241" t="s">
        <v>142</v>
      </c>
      <c r="F241" t="s">
        <v>541</v>
      </c>
      <c r="G241" t="s">
        <v>359</v>
      </c>
      <c r="H241">
        <v>2938550</v>
      </c>
      <c r="J241" t="s">
        <v>581</v>
      </c>
      <c r="L241" s="4" t="str">
        <f>IF(AND(ISNUMBER(H241), COUNTIF([1]Songs!$L:$L,H241)&gt;0),"YES","")</f>
        <v/>
      </c>
    </row>
    <row r="242" spans="1:12" x14ac:dyDescent="0.25">
      <c r="A242" s="4">
        <f>INDEX(Albums!$A:$A, MATCH(C242,Albums!$C:$C,0))</f>
        <v>19</v>
      </c>
      <c r="B242" s="4">
        <f>INDEX(Albums!$B:$B, MATCH(C242,Albums!$C:$C,0))</f>
        <v>2000</v>
      </c>
      <c r="C242" t="s">
        <v>8</v>
      </c>
      <c r="D242">
        <v>14</v>
      </c>
      <c r="E242" t="s">
        <v>542</v>
      </c>
      <c r="F242" t="s">
        <v>58</v>
      </c>
      <c r="G242" t="s">
        <v>362</v>
      </c>
      <c r="H242">
        <v>2798154</v>
      </c>
      <c r="J242" t="s">
        <v>543</v>
      </c>
      <c r="L242" s="4" t="str">
        <f>IF(AND(ISNUMBER(H242), COUNTIF([1]Songs!$L:$L,H242)&gt;0),"YES","")</f>
        <v/>
      </c>
    </row>
    <row r="243" spans="1:12" x14ac:dyDescent="0.25">
      <c r="A243" s="4">
        <f>INDEX(Albums!$A:$A, MATCH(C243,Albums!$C:$C,0))</f>
        <v>20</v>
      </c>
      <c r="B243" s="4">
        <f>INDEX(Albums!$B:$B, MATCH(C243,Albums!$C:$C,0))</f>
        <v>2000</v>
      </c>
      <c r="C243" t="s">
        <v>41</v>
      </c>
      <c r="D243">
        <v>1</v>
      </c>
      <c r="E243" t="s">
        <v>44</v>
      </c>
      <c r="K243" s="2">
        <v>0.20694444444444446</v>
      </c>
      <c r="L243" s="4"/>
    </row>
    <row r="244" spans="1:12" x14ac:dyDescent="0.25">
      <c r="A244" s="4">
        <f>INDEX(Albums!$A:$A, MATCH(C244,Albums!$C:$C,0))</f>
        <v>20</v>
      </c>
      <c r="B244" s="4">
        <f>INDEX(Albums!$B:$B, MATCH(C244,Albums!$C:$C,0))</f>
        <v>2000</v>
      </c>
      <c r="C244" t="s">
        <v>41</v>
      </c>
      <c r="D244">
        <v>2</v>
      </c>
      <c r="E244" t="s">
        <v>945</v>
      </c>
      <c r="K244" s="2">
        <v>0.25486111111111109</v>
      </c>
      <c r="L244" s="4"/>
    </row>
    <row r="245" spans="1:12" x14ac:dyDescent="0.25">
      <c r="A245" s="4">
        <f>INDEX(Albums!$A:$A, MATCH(C245,Albums!$C:$C,0))</f>
        <v>20</v>
      </c>
      <c r="B245" s="4">
        <f>INDEX(Albums!$B:$B, MATCH(C245,Albums!$C:$C,0))</f>
        <v>2000</v>
      </c>
      <c r="C245" t="s">
        <v>41</v>
      </c>
      <c r="D245">
        <v>3</v>
      </c>
      <c r="E245" t="s">
        <v>1201</v>
      </c>
      <c r="K245" s="2">
        <v>0.20833333333333334</v>
      </c>
      <c r="L245" s="4"/>
    </row>
    <row r="246" spans="1:12" x14ac:dyDescent="0.25">
      <c r="A246" s="4">
        <f>INDEX(Albums!$A:$A, MATCH(C246,Albums!$C:$C,0))</f>
        <v>20</v>
      </c>
      <c r="B246" s="4">
        <f>INDEX(Albums!$B:$B, MATCH(C246,Albums!$C:$C,0))</f>
        <v>2000</v>
      </c>
      <c r="C246" t="s">
        <v>41</v>
      </c>
      <c r="D246">
        <v>4</v>
      </c>
      <c r="E246" t="s">
        <v>41</v>
      </c>
      <c r="K246" s="2">
        <v>0.25555555555555559</v>
      </c>
      <c r="L246" s="4"/>
    </row>
    <row r="247" spans="1:12" x14ac:dyDescent="0.25">
      <c r="A247" s="4">
        <f>INDEX(Albums!$A:$A, MATCH(C247,Albums!$C:$C,0))</f>
        <v>20</v>
      </c>
      <c r="B247" s="4">
        <f>INDEX(Albums!$B:$B, MATCH(C247,Albums!$C:$C,0))</f>
        <v>2000</v>
      </c>
      <c r="C247" t="s">
        <v>41</v>
      </c>
      <c r="D247">
        <v>5</v>
      </c>
      <c r="E247" t="s">
        <v>1202</v>
      </c>
      <c r="K247" s="2">
        <v>0.14166666666666666</v>
      </c>
      <c r="L247" s="4"/>
    </row>
    <row r="248" spans="1:12" x14ac:dyDescent="0.25">
      <c r="A248" s="4">
        <f>INDEX(Albums!$A:$A, MATCH(C248,Albums!$C:$C,0))</f>
        <v>20</v>
      </c>
      <c r="B248" s="4">
        <f>INDEX(Albums!$B:$B, MATCH(C248,Albums!$C:$C,0))</f>
        <v>2000</v>
      </c>
      <c r="C248" t="s">
        <v>41</v>
      </c>
      <c r="D248">
        <v>6</v>
      </c>
      <c r="E248" t="s">
        <v>1203</v>
      </c>
      <c r="K248" s="2">
        <v>0.20347222222222219</v>
      </c>
      <c r="L248" s="4"/>
    </row>
    <row r="249" spans="1:12" x14ac:dyDescent="0.25">
      <c r="A249" s="4">
        <f>INDEX(Albums!$A:$A, MATCH(C249,Albums!$C:$C,0))</f>
        <v>20</v>
      </c>
      <c r="B249" s="4">
        <f>INDEX(Albums!$B:$B, MATCH(C249,Albums!$C:$C,0))</f>
        <v>2000</v>
      </c>
      <c r="C249" t="s">
        <v>41</v>
      </c>
      <c r="D249">
        <v>7</v>
      </c>
      <c r="E249" t="s">
        <v>1204</v>
      </c>
      <c r="K249" s="2">
        <v>0.21319444444444444</v>
      </c>
      <c r="L249" s="4"/>
    </row>
    <row r="250" spans="1:12" x14ac:dyDescent="0.25">
      <c r="A250" s="4">
        <f>INDEX(Albums!$A:$A, MATCH(C250,Albums!$C:$C,0))</f>
        <v>20</v>
      </c>
      <c r="B250" s="4">
        <f>INDEX(Albums!$B:$B, MATCH(C250,Albums!$C:$C,0))</f>
        <v>2000</v>
      </c>
      <c r="C250" t="s">
        <v>41</v>
      </c>
      <c r="D250">
        <v>8</v>
      </c>
      <c r="E250" t="s">
        <v>1205</v>
      </c>
      <c r="K250" s="2">
        <v>0.30972222222222223</v>
      </c>
      <c r="L250" s="4"/>
    </row>
    <row r="251" spans="1:12" x14ac:dyDescent="0.25">
      <c r="A251" s="4">
        <f>INDEX(Albums!$A:$A, MATCH(C251,Albums!$C:$C,0))</f>
        <v>20</v>
      </c>
      <c r="B251" s="4">
        <f>INDEX(Albums!$B:$B, MATCH(C251,Albums!$C:$C,0))</f>
        <v>2000</v>
      </c>
      <c r="C251" t="s">
        <v>41</v>
      </c>
      <c r="D251">
        <v>9</v>
      </c>
      <c r="E251" t="s">
        <v>1206</v>
      </c>
      <c r="K251" s="2">
        <v>0.25069444444444444</v>
      </c>
      <c r="L251" s="4"/>
    </row>
    <row r="252" spans="1:12" x14ac:dyDescent="0.25">
      <c r="A252" s="4">
        <f>INDEX(Albums!$A:$A, MATCH(C252,Albums!$C:$C,0))</f>
        <v>20</v>
      </c>
      <c r="B252" s="4">
        <f>INDEX(Albums!$B:$B, MATCH(C252,Albums!$C:$C,0))</f>
        <v>2000</v>
      </c>
      <c r="C252" t="s">
        <v>41</v>
      </c>
      <c r="D252">
        <v>10</v>
      </c>
      <c r="E252" t="s">
        <v>1207</v>
      </c>
      <c r="K252" s="2">
        <v>0.17361111111111113</v>
      </c>
      <c r="L252" s="4"/>
    </row>
    <row r="253" spans="1:12" x14ac:dyDescent="0.25">
      <c r="A253" s="4">
        <f>INDEX(Albums!$A:$A, MATCH(C253,Albums!$C:$C,0))</f>
        <v>20</v>
      </c>
      <c r="B253" s="4">
        <f>INDEX(Albums!$B:$B, MATCH(C253,Albums!$C:$C,0))</f>
        <v>2000</v>
      </c>
      <c r="C253" t="s">
        <v>41</v>
      </c>
      <c r="D253">
        <v>11</v>
      </c>
      <c r="E253" t="s">
        <v>1208</v>
      </c>
      <c r="K253" s="2">
        <v>0.20972222222222223</v>
      </c>
      <c r="L253" s="4"/>
    </row>
    <row r="254" spans="1:12" x14ac:dyDescent="0.25">
      <c r="A254" s="4">
        <f>INDEX(Albums!$A:$A, MATCH(C254,Albums!$C:$C,0))</f>
        <v>20</v>
      </c>
      <c r="B254" s="4">
        <f>INDEX(Albums!$B:$B, MATCH(C254,Albums!$C:$C,0))</f>
        <v>2000</v>
      </c>
      <c r="C254" t="s">
        <v>41</v>
      </c>
      <c r="D254">
        <v>12</v>
      </c>
      <c r="E254" t="s">
        <v>1209</v>
      </c>
      <c r="K254" s="2">
        <v>0.2722222222222222</v>
      </c>
      <c r="L254" s="4"/>
    </row>
    <row r="255" spans="1:12" x14ac:dyDescent="0.25">
      <c r="A255" s="4">
        <f>INDEX(Albums!$A:$A, MATCH(C255,Albums!$C:$C,0))</f>
        <v>21</v>
      </c>
      <c r="B255" s="4">
        <f>INDEX(Albums!$B:$B, MATCH(C255,Albums!$C:$C,0))</f>
        <v>2001</v>
      </c>
      <c r="C255" t="s">
        <v>353</v>
      </c>
      <c r="D255">
        <v>1</v>
      </c>
      <c r="E255" t="s">
        <v>1234</v>
      </c>
      <c r="F255" t="s">
        <v>1279</v>
      </c>
      <c r="G255" t="s">
        <v>1187</v>
      </c>
      <c r="H255" t="str">
        <f>SUBSTITUTE(TRIM(RIGHT(SUBSTITUTE(G255,"(",REPT(" ",50)),50)),")","")</f>
        <v>traditional; arranged by Russell Fragar</v>
      </c>
      <c r="I255" s="7" t="str">
        <f>MID(G255,FIND("""",G255)+1,FIND("""",G255,FIND("""",G255)+1)-FIND("""",G255)-1)</f>
        <v>Silent Night</v>
      </c>
      <c r="L255" s="4"/>
    </row>
    <row r="256" spans="1:12" x14ac:dyDescent="0.25">
      <c r="A256" s="4">
        <f>INDEX(Albums!$A:$A, MATCH(C256,Albums!$C:$C,0))</f>
        <v>21</v>
      </c>
      <c r="B256" s="4">
        <f>INDEX(Albums!$B:$B, MATCH(C256,Albums!$C:$C,0))</f>
        <v>2001</v>
      </c>
      <c r="C256" t="s">
        <v>353</v>
      </c>
      <c r="D256">
        <v>2</v>
      </c>
      <c r="E256" t="s">
        <v>1269</v>
      </c>
      <c r="F256" t="s">
        <v>1280</v>
      </c>
      <c r="G256" t="s">
        <v>1188</v>
      </c>
      <c r="H256" t="str">
        <f t="shared" ref="F256:H268" si="0">SUBSTITUTE(TRIM(RIGHT(SUBSTITUTE(G256,"(",REPT(" ",50)),50)),")","")</f>
        <v>traditional; arranged by Peter King</v>
      </c>
      <c r="I256" s="7" t="str">
        <f t="shared" ref="I256:I268" si="1">MID(G256,FIND("""",G256)+1,FIND("""",G256,FIND("""",G256)+1)-FIND("""",G256)-1)</f>
        <v>Hark the Herald Angels Sing</v>
      </c>
      <c r="L256" s="4"/>
    </row>
    <row r="257" spans="1:12" x14ac:dyDescent="0.25">
      <c r="A257" s="4">
        <f>INDEX(Albums!$A:$A, MATCH(C257,Albums!$C:$C,0))</f>
        <v>21</v>
      </c>
      <c r="B257" s="4">
        <f>INDEX(Albums!$B:$B, MATCH(C257,Albums!$C:$C,0))</f>
        <v>2001</v>
      </c>
      <c r="C257" t="s">
        <v>353</v>
      </c>
      <c r="D257">
        <v>3</v>
      </c>
      <c r="E257" t="s">
        <v>1270</v>
      </c>
      <c r="F257" t="s">
        <v>1281</v>
      </c>
      <c r="G257" t="s">
        <v>1189</v>
      </c>
      <c r="H257" t="str">
        <f t="shared" si="0"/>
        <v>Katia Bowley</v>
      </c>
      <c r="I257" s="7" t="str">
        <f t="shared" si="1"/>
        <v>Saviour of the World</v>
      </c>
      <c r="L257" s="4"/>
    </row>
    <row r="258" spans="1:12" x14ac:dyDescent="0.25">
      <c r="A258" s="4">
        <f>INDEX(Albums!$A:$A, MATCH(C258,Albums!$C:$C,0))</f>
        <v>21</v>
      </c>
      <c r="B258" s="4">
        <f>INDEX(Albums!$B:$B, MATCH(C258,Albums!$C:$C,0))</f>
        <v>2001</v>
      </c>
      <c r="C258" t="s">
        <v>353</v>
      </c>
      <c r="D258">
        <v>4</v>
      </c>
      <c r="E258" t="s">
        <v>1035</v>
      </c>
      <c r="F258" t="s">
        <v>486</v>
      </c>
      <c r="G258" t="s">
        <v>1190</v>
      </c>
      <c r="H258" t="str">
        <f t="shared" si="0"/>
        <v>Tanya Riches</v>
      </c>
      <c r="I258" s="7" t="str">
        <f t="shared" si="1"/>
        <v>Jesus, What a Beautiful Name</v>
      </c>
      <c r="L258" s="4"/>
    </row>
    <row r="259" spans="1:12" x14ac:dyDescent="0.25">
      <c r="A259" s="4">
        <f>INDEX(Albums!$A:$A, MATCH(C259,Albums!$C:$C,0))</f>
        <v>21</v>
      </c>
      <c r="B259" s="4">
        <f>INDEX(Albums!$B:$B, MATCH(C259,Albums!$C:$C,0))</f>
        <v>2001</v>
      </c>
      <c r="C259" t="s">
        <v>353</v>
      </c>
      <c r="D259">
        <v>5</v>
      </c>
      <c r="E259" t="s">
        <v>1271</v>
      </c>
      <c r="F259" t="s">
        <v>533</v>
      </c>
      <c r="G259" t="s">
        <v>1191</v>
      </c>
      <c r="H259" t="str">
        <f t="shared" si="0"/>
        <v>Russell Fragar</v>
      </c>
      <c r="I259" s="7" t="str">
        <f t="shared" si="1"/>
        <v>The Reason Why</v>
      </c>
      <c r="L259" s="4"/>
    </row>
    <row r="260" spans="1:12" x14ac:dyDescent="0.25">
      <c r="A260" s="4">
        <f>INDEX(Albums!$A:$A, MATCH(C260,Albums!$C:$C,0))</f>
        <v>21</v>
      </c>
      <c r="B260" s="4">
        <f>INDEX(Albums!$B:$B, MATCH(C260,Albums!$C:$C,0))</f>
        <v>2001</v>
      </c>
      <c r="C260" t="s">
        <v>353</v>
      </c>
      <c r="D260">
        <v>6</v>
      </c>
      <c r="E260" t="s">
        <v>1272</v>
      </c>
      <c r="F260" t="s">
        <v>1279</v>
      </c>
      <c r="G260" t="s">
        <v>1192</v>
      </c>
      <c r="H260" t="str">
        <f t="shared" si="0"/>
        <v>traditional; arranged by Russell Fragar</v>
      </c>
      <c r="I260" s="7" t="str">
        <f t="shared" si="1"/>
        <v>Away in a Manger</v>
      </c>
      <c r="L260" s="4"/>
    </row>
    <row r="261" spans="1:12" x14ac:dyDescent="0.25">
      <c r="A261" s="4">
        <f>INDEX(Albums!$A:$A, MATCH(C261,Albums!$C:$C,0))</f>
        <v>21</v>
      </c>
      <c r="B261" s="4">
        <f>INDEX(Albums!$B:$B, MATCH(C261,Albums!$C:$C,0))</f>
        <v>2001</v>
      </c>
      <c r="C261" t="s">
        <v>353</v>
      </c>
      <c r="D261">
        <v>7</v>
      </c>
      <c r="E261" t="s">
        <v>1273</v>
      </c>
      <c r="F261" t="s">
        <v>1282</v>
      </c>
      <c r="G261" t="s">
        <v>1193</v>
      </c>
      <c r="H261" t="str">
        <f t="shared" si="0"/>
        <v>Darlene Zschech &amp; Russell Fragar</v>
      </c>
      <c r="I261" s="7" t="str">
        <f t="shared" si="1"/>
        <v>Perfect Love</v>
      </c>
      <c r="L261" s="4"/>
    </row>
    <row r="262" spans="1:12" x14ac:dyDescent="0.25">
      <c r="A262" s="4">
        <f>INDEX(Albums!$A:$A, MATCH(C262,Albums!$C:$C,0))</f>
        <v>21</v>
      </c>
      <c r="B262" s="4">
        <f>INDEX(Albums!$B:$B, MATCH(C262,Albums!$C:$C,0))</f>
        <v>2001</v>
      </c>
      <c r="C262" t="s">
        <v>353</v>
      </c>
      <c r="D262">
        <v>8</v>
      </c>
      <c r="E262" t="s">
        <v>245</v>
      </c>
      <c r="F262" t="s">
        <v>1283</v>
      </c>
      <c r="G262" t="s">
        <v>1200</v>
      </c>
      <c r="H262" t="str">
        <f t="shared" si="0"/>
        <v>aditional; arranged by Reuben Morgan &amp; Peter King</v>
      </c>
      <c r="I262" s="7" t="str">
        <f t="shared" si="1"/>
        <v>O Holy Night</v>
      </c>
      <c r="L262" s="4"/>
    </row>
    <row r="263" spans="1:12" x14ac:dyDescent="0.25">
      <c r="A263" s="4">
        <f>INDEX(Albums!$A:$A, MATCH(C263,Albums!$C:$C,0))</f>
        <v>21</v>
      </c>
      <c r="B263" s="4">
        <f>INDEX(Albums!$B:$B, MATCH(C263,Albums!$C:$C,0))</f>
        <v>2001</v>
      </c>
      <c r="C263" t="s">
        <v>353</v>
      </c>
      <c r="D263">
        <v>9</v>
      </c>
      <c r="E263" t="s">
        <v>1274</v>
      </c>
      <c r="F263" t="s">
        <v>1113</v>
      </c>
      <c r="G263" t="s">
        <v>1194</v>
      </c>
      <c r="H263" t="str">
        <f t="shared" si="0"/>
        <v>Donia Makedonez</v>
      </c>
      <c r="I263" s="7" t="str">
        <f t="shared" si="1"/>
        <v>Rejoice</v>
      </c>
      <c r="L263" s="4"/>
    </row>
    <row r="264" spans="1:12" x14ac:dyDescent="0.25">
      <c r="A264" s="4">
        <f>INDEX(Albums!$A:$A, MATCH(C264,Albums!$C:$C,0))</f>
        <v>21</v>
      </c>
      <c r="B264" s="4">
        <f>INDEX(Albums!$B:$B, MATCH(C264,Albums!$C:$C,0))</f>
        <v>2001</v>
      </c>
      <c r="C264" t="s">
        <v>353</v>
      </c>
      <c r="D264">
        <v>10</v>
      </c>
      <c r="E264" t="s">
        <v>1275</v>
      </c>
      <c r="F264" t="s">
        <v>1284</v>
      </c>
      <c r="G264" t="s">
        <v>1195</v>
      </c>
      <c r="H264" t="str">
        <f t="shared" si="0"/>
        <v>instrumental; David Moyse</v>
      </c>
      <c r="I264" s="7" t="str">
        <f t="shared" si="1"/>
        <v>Star of Bethlehem</v>
      </c>
      <c r="L264" s="4"/>
    </row>
    <row r="265" spans="1:12" x14ac:dyDescent="0.25">
      <c r="A265" s="4">
        <f>INDEX(Albums!$A:$A, MATCH(C265,Albums!$C:$C,0))</f>
        <v>21</v>
      </c>
      <c r="B265" s="4">
        <f>INDEX(Albums!$B:$B, MATCH(C265,Albums!$C:$C,0))</f>
        <v>2001</v>
      </c>
      <c r="C265" t="s">
        <v>353</v>
      </c>
      <c r="D265">
        <v>11</v>
      </c>
      <c r="E265" t="s">
        <v>1276</v>
      </c>
      <c r="F265" t="s">
        <v>1280</v>
      </c>
      <c r="G265" t="s">
        <v>1196</v>
      </c>
      <c r="H265" t="str">
        <f t="shared" si="0"/>
        <v>traditional; arranged by Peter King</v>
      </c>
      <c r="I265" s="7" t="str">
        <f t="shared" si="1"/>
        <v>The First Noel</v>
      </c>
      <c r="L265" s="4"/>
    </row>
    <row r="266" spans="1:12" x14ac:dyDescent="0.25">
      <c r="A266" s="4">
        <f>INDEX(Albums!$A:$A, MATCH(C266,Albums!$C:$C,0))</f>
        <v>21</v>
      </c>
      <c r="B266" s="4">
        <f>INDEX(Albums!$B:$B, MATCH(C266,Albums!$C:$C,0))</f>
        <v>2001</v>
      </c>
      <c r="C266" t="s">
        <v>353</v>
      </c>
      <c r="D266">
        <v>12</v>
      </c>
      <c r="E266" t="s">
        <v>1277</v>
      </c>
      <c r="F266" t="s">
        <v>1285</v>
      </c>
      <c r="G266" t="s">
        <v>1197</v>
      </c>
      <c r="H266" t="str">
        <f t="shared" si="0"/>
        <v>onal; arranged by Russell Fragar &amp; Simeon Webster</v>
      </c>
      <c r="I266" s="7" t="str">
        <f t="shared" si="1"/>
        <v>O Come, All Ye Faithful</v>
      </c>
      <c r="L266" s="4"/>
    </row>
    <row r="267" spans="1:12" x14ac:dyDescent="0.25">
      <c r="A267" s="4">
        <f>INDEX(Albums!$A:$A, MATCH(C267,Albums!$C:$C,0))</f>
        <v>21</v>
      </c>
      <c r="B267" s="4">
        <f>INDEX(Albums!$B:$B, MATCH(C267,Albums!$C:$C,0))</f>
        <v>2001</v>
      </c>
      <c r="C267" t="s">
        <v>353</v>
      </c>
      <c r="D267">
        <v>13</v>
      </c>
      <c r="E267" t="s">
        <v>457</v>
      </c>
      <c r="F267" t="s">
        <v>121</v>
      </c>
      <c r="G267" t="s">
        <v>1198</v>
      </c>
      <c r="H267" t="str">
        <f t="shared" si="0"/>
        <v>Darlene Zschech</v>
      </c>
      <c r="I267" s="7" t="str">
        <f t="shared" si="1"/>
        <v>Hallelujah</v>
      </c>
      <c r="L267" s="4"/>
    </row>
    <row r="268" spans="1:12" x14ac:dyDescent="0.25">
      <c r="A268" s="4">
        <f>INDEX(Albums!$A:$A, MATCH(C268,Albums!$C:$C,0))</f>
        <v>21</v>
      </c>
      <c r="B268" s="4">
        <f>INDEX(Albums!$B:$B, MATCH(C268,Albums!$C:$C,0))</f>
        <v>2001</v>
      </c>
      <c r="C268" t="s">
        <v>353</v>
      </c>
      <c r="D268">
        <v>14</v>
      </c>
      <c r="E268" t="s">
        <v>1278</v>
      </c>
      <c r="F268" t="s">
        <v>55</v>
      </c>
      <c r="G268" t="s">
        <v>1199</v>
      </c>
      <c r="H268" t="str">
        <f t="shared" si="0"/>
        <v>Reuben Morgan</v>
      </c>
      <c r="I268" s="7" t="str">
        <f t="shared" si="1"/>
        <v>Glory to God</v>
      </c>
      <c r="L268" s="4"/>
    </row>
    <row r="269" spans="1:12" x14ac:dyDescent="0.25">
      <c r="A269" s="4">
        <f>INDEX(Albums!$A:$A, MATCH(C269,Albums!$C:$C,0))</f>
        <v>22</v>
      </c>
      <c r="B269" s="4">
        <f>INDEX(Albums!$B:$B, MATCH(C269,Albums!$C:$C,0))</f>
        <v>2001</v>
      </c>
      <c r="C269" t="s">
        <v>507</v>
      </c>
      <c r="D269">
        <v>1</v>
      </c>
      <c r="E269" t="s">
        <v>507</v>
      </c>
      <c r="F269" t="s">
        <v>69</v>
      </c>
      <c r="K269" s="2">
        <v>0.19305555555555554</v>
      </c>
      <c r="L269" t="str">
        <f>IF(AND(ISNUMBER(H269), COUNTIF([1]Songs!$L:$L,H269)&gt;0),"YES","")</f>
        <v/>
      </c>
    </row>
    <row r="270" spans="1:12" x14ac:dyDescent="0.25">
      <c r="A270" s="4">
        <f>INDEX(Albums!$A:$A, MATCH(C270,Albums!$C:$C,0))</f>
        <v>22</v>
      </c>
      <c r="B270" s="4">
        <f>INDEX(Albums!$B:$B, MATCH(C270,Albums!$C:$C,0))</f>
        <v>2001</v>
      </c>
      <c r="C270" t="s">
        <v>507</v>
      </c>
      <c r="D270">
        <v>2</v>
      </c>
      <c r="E270" t="s">
        <v>505</v>
      </c>
      <c r="F270" t="s">
        <v>55</v>
      </c>
      <c r="K270" s="2">
        <v>0.2590277777777778</v>
      </c>
      <c r="L270" t="str">
        <f>IF(AND(ISNUMBER(H270), COUNTIF([1]Songs!$L:$L,H270)&gt;0),"YES","")</f>
        <v/>
      </c>
    </row>
    <row r="271" spans="1:12" x14ac:dyDescent="0.25">
      <c r="A271" s="4">
        <f>INDEX(Albums!$A:$A, MATCH(C271,Albums!$C:$C,0))</f>
        <v>22</v>
      </c>
      <c r="B271" s="4">
        <f>INDEX(Albums!$B:$B, MATCH(C271,Albums!$C:$C,0))</f>
        <v>2001</v>
      </c>
      <c r="C271" t="s">
        <v>507</v>
      </c>
      <c r="D271">
        <v>3</v>
      </c>
      <c r="E271" t="s">
        <v>914</v>
      </c>
      <c r="F271" t="s">
        <v>69</v>
      </c>
      <c r="K271" s="2">
        <v>0.17569444444444446</v>
      </c>
      <c r="L271" t="str">
        <f>IF(AND(ISNUMBER(H271), COUNTIF([1]Songs!$L:$L,H271)&gt;0),"YES","")</f>
        <v/>
      </c>
    </row>
    <row r="272" spans="1:12" x14ac:dyDescent="0.25">
      <c r="A272" s="4">
        <f>INDEX(Albums!$A:$A, MATCH(C272,Albums!$C:$C,0))</f>
        <v>22</v>
      </c>
      <c r="B272" s="4">
        <f>INDEX(Albums!$B:$B, MATCH(C272,Albums!$C:$C,0))</f>
        <v>2001</v>
      </c>
      <c r="C272" t="s">
        <v>507</v>
      </c>
      <c r="D272">
        <v>4</v>
      </c>
      <c r="E272" t="s">
        <v>915</v>
      </c>
      <c r="F272" t="s">
        <v>916</v>
      </c>
      <c r="K272" s="2">
        <v>0.22083333333333333</v>
      </c>
      <c r="L272" t="str">
        <f>IF(AND(ISNUMBER(H272), COUNTIF([1]Songs!$L:$L,H272)&gt;0),"YES","")</f>
        <v/>
      </c>
    </row>
    <row r="273" spans="1:12" x14ac:dyDescent="0.25">
      <c r="A273" s="4">
        <f>INDEX(Albums!$A:$A, MATCH(C273,Albums!$C:$C,0))</f>
        <v>22</v>
      </c>
      <c r="B273" s="4">
        <f>INDEX(Albums!$B:$B, MATCH(C273,Albums!$C:$C,0))</f>
        <v>2001</v>
      </c>
      <c r="C273" t="s">
        <v>507</v>
      </c>
      <c r="D273">
        <v>5</v>
      </c>
      <c r="E273" t="s">
        <v>501</v>
      </c>
      <c r="F273" t="s">
        <v>55</v>
      </c>
      <c r="K273" s="2">
        <v>0.18333333333333335</v>
      </c>
      <c r="L273" t="str">
        <f>IF(AND(ISNUMBER(H273), COUNTIF([1]Songs!$L:$L,H273)&gt;0),"YES","")</f>
        <v/>
      </c>
    </row>
    <row r="274" spans="1:12" x14ac:dyDescent="0.25">
      <c r="A274" s="4">
        <f>INDEX(Albums!$A:$A, MATCH(C274,Albums!$C:$C,0))</f>
        <v>22</v>
      </c>
      <c r="B274" s="4">
        <f>INDEX(Albums!$B:$B, MATCH(C274,Albums!$C:$C,0))</f>
        <v>2001</v>
      </c>
      <c r="C274" t="s">
        <v>507</v>
      </c>
      <c r="D274">
        <v>6</v>
      </c>
      <c r="E274" t="s">
        <v>917</v>
      </c>
      <c r="F274" t="s">
        <v>918</v>
      </c>
      <c r="K274" s="2">
        <v>0.26041666666666669</v>
      </c>
      <c r="L274" t="str">
        <f>IF(AND(ISNUMBER(H274), COUNTIF([1]Songs!$L:$L,H274)&gt;0),"YES","")</f>
        <v/>
      </c>
    </row>
    <row r="275" spans="1:12" x14ac:dyDescent="0.25">
      <c r="A275" s="4">
        <f>INDEX(Albums!$A:$A, MATCH(C275,Albums!$C:$C,0))</f>
        <v>22</v>
      </c>
      <c r="B275" s="4">
        <f>INDEX(Albums!$B:$B, MATCH(C275,Albums!$C:$C,0))</f>
        <v>2001</v>
      </c>
      <c r="C275" t="s">
        <v>507</v>
      </c>
      <c r="D275">
        <v>7</v>
      </c>
      <c r="E275" t="s">
        <v>512</v>
      </c>
      <c r="F275" t="s">
        <v>69</v>
      </c>
      <c r="K275" s="2">
        <v>0.17500000000000002</v>
      </c>
      <c r="L275" t="str">
        <f>IF(AND(ISNUMBER(H275), COUNTIF([1]Songs!$L:$L,H275)&gt;0),"YES","")</f>
        <v/>
      </c>
    </row>
    <row r="276" spans="1:12" x14ac:dyDescent="0.25">
      <c r="A276" s="4">
        <f>INDEX(Albums!$A:$A, MATCH(C276,Albums!$C:$C,0))</f>
        <v>22</v>
      </c>
      <c r="B276" s="4">
        <f>INDEX(Albums!$B:$B, MATCH(C276,Albums!$C:$C,0))</f>
        <v>2001</v>
      </c>
      <c r="C276" t="s">
        <v>507</v>
      </c>
      <c r="D276">
        <v>8</v>
      </c>
      <c r="E276" t="s">
        <v>919</v>
      </c>
      <c r="F276" t="s">
        <v>920</v>
      </c>
      <c r="K276" s="2">
        <v>0.15555555555555556</v>
      </c>
      <c r="L276" t="str">
        <f>IF(AND(ISNUMBER(H276), COUNTIF([1]Songs!$L:$L,H276)&gt;0),"YES","")</f>
        <v/>
      </c>
    </row>
    <row r="277" spans="1:12" x14ac:dyDescent="0.25">
      <c r="A277" s="4">
        <f>INDEX(Albums!$A:$A, MATCH(C277,Albums!$C:$C,0))</f>
        <v>22</v>
      </c>
      <c r="B277" s="4">
        <f>INDEX(Albums!$B:$B, MATCH(C277,Albums!$C:$C,0))</f>
        <v>2001</v>
      </c>
      <c r="C277" t="s">
        <v>507</v>
      </c>
      <c r="D277">
        <v>9</v>
      </c>
      <c r="E277" t="s">
        <v>921</v>
      </c>
      <c r="F277" t="s">
        <v>922</v>
      </c>
      <c r="K277" s="2">
        <v>0.29236111111111113</v>
      </c>
      <c r="L277" t="str">
        <f>IF(AND(ISNUMBER(H277), COUNTIF([1]Songs!$L:$L,H277)&gt;0),"YES","")</f>
        <v/>
      </c>
    </row>
    <row r="278" spans="1:12" x14ac:dyDescent="0.25">
      <c r="A278" s="4">
        <f>INDEX(Albums!$A:$A, MATCH(C278,Albums!$C:$C,0))</f>
        <v>22</v>
      </c>
      <c r="B278" s="4">
        <f>INDEX(Albums!$B:$B, MATCH(C278,Albums!$C:$C,0))</f>
        <v>2001</v>
      </c>
      <c r="C278" t="s">
        <v>507</v>
      </c>
      <c r="D278">
        <v>10</v>
      </c>
      <c r="E278" t="s">
        <v>923</v>
      </c>
      <c r="F278" t="s">
        <v>924</v>
      </c>
      <c r="K278" s="2">
        <v>0.14375000000000002</v>
      </c>
      <c r="L278" t="str">
        <f>IF(AND(ISNUMBER(H278), COUNTIF([1]Songs!$L:$L,H278)&gt;0),"YES","")</f>
        <v/>
      </c>
    </row>
    <row r="279" spans="1:12" x14ac:dyDescent="0.25">
      <c r="A279" s="4">
        <f>INDEX(Albums!$A:$A, MATCH(C279,Albums!$C:$C,0))</f>
        <v>22</v>
      </c>
      <c r="B279" s="4">
        <f>INDEX(Albums!$B:$B, MATCH(C279,Albums!$C:$C,0))</f>
        <v>2001</v>
      </c>
      <c r="C279" t="s">
        <v>507</v>
      </c>
      <c r="D279">
        <v>11</v>
      </c>
      <c r="E279" t="s">
        <v>925</v>
      </c>
      <c r="F279" t="s">
        <v>926</v>
      </c>
      <c r="K279" s="2">
        <v>0.20625000000000002</v>
      </c>
      <c r="L279" t="str">
        <f>IF(AND(ISNUMBER(H279), COUNTIF([1]Songs!$L:$L,H279)&gt;0),"YES","")</f>
        <v/>
      </c>
    </row>
    <row r="280" spans="1:12" x14ac:dyDescent="0.25">
      <c r="A280" s="4">
        <f>INDEX(Albums!$A:$A, MATCH(C280,Albums!$C:$C,0))</f>
        <v>23</v>
      </c>
      <c r="B280" s="4">
        <f>INDEX(Albums!$B:$B, MATCH(C280,Albums!$C:$C,0))</f>
        <v>2001</v>
      </c>
      <c r="C280" t="s">
        <v>9</v>
      </c>
      <c r="D280">
        <v>1</v>
      </c>
      <c r="E280" t="s">
        <v>510</v>
      </c>
      <c r="F280" t="s">
        <v>511</v>
      </c>
      <c r="G280" t="s">
        <v>614</v>
      </c>
      <c r="H280">
        <v>3375583</v>
      </c>
      <c r="J280" t="s">
        <v>121</v>
      </c>
      <c r="L280" s="4" t="str">
        <f>IF(AND(ISNUMBER(H280), COUNTIF([1]Songs!$L:$L,H280)&gt;0),"YES","")</f>
        <v/>
      </c>
    </row>
    <row r="281" spans="1:12" x14ac:dyDescent="0.25">
      <c r="A281" s="4">
        <f>INDEX(Albums!$A:$A, MATCH(C281,Albums!$C:$C,0))</f>
        <v>23</v>
      </c>
      <c r="B281" s="4">
        <f>INDEX(Albums!$B:$B, MATCH(C281,Albums!$C:$C,0))</f>
        <v>2001</v>
      </c>
      <c r="C281" t="s">
        <v>9</v>
      </c>
      <c r="D281">
        <v>2</v>
      </c>
      <c r="E281" t="s">
        <v>512</v>
      </c>
      <c r="F281" t="s">
        <v>69</v>
      </c>
      <c r="G281" t="s">
        <v>362</v>
      </c>
      <c r="H281">
        <v>3375851</v>
      </c>
      <c r="J281" t="s">
        <v>444</v>
      </c>
      <c r="L281" s="4" t="str">
        <f>IF(AND(ISNUMBER(H281), COUNTIF([1]Songs!$L:$L,H281)&gt;0),"YES","")</f>
        <v/>
      </c>
    </row>
    <row r="282" spans="1:12" x14ac:dyDescent="0.25">
      <c r="A282" s="4">
        <f>INDEX(Albums!$A:$A, MATCH(C282,Albums!$C:$C,0))</f>
        <v>23</v>
      </c>
      <c r="B282" s="4">
        <f>INDEX(Albums!$B:$B, MATCH(C282,Albums!$C:$C,0))</f>
        <v>2001</v>
      </c>
      <c r="C282" t="s">
        <v>9</v>
      </c>
      <c r="D282">
        <v>3</v>
      </c>
      <c r="E282" t="s">
        <v>513</v>
      </c>
      <c r="F282" t="s">
        <v>514</v>
      </c>
      <c r="G282" t="s">
        <v>360</v>
      </c>
      <c r="H282">
        <v>3258208</v>
      </c>
      <c r="J282" t="s">
        <v>514</v>
      </c>
      <c r="L282" s="4" t="str">
        <f>IF(AND(ISNUMBER(H282), COUNTIF([1]Songs!$L:$L,H282)&gt;0),"YES","")</f>
        <v/>
      </c>
    </row>
    <row r="283" spans="1:12" x14ac:dyDescent="0.25">
      <c r="A283" s="4">
        <f>INDEX(Albums!$A:$A, MATCH(C283,Albums!$C:$C,0))</f>
        <v>23</v>
      </c>
      <c r="B283" s="4">
        <f>INDEX(Albums!$B:$B, MATCH(C283,Albums!$C:$C,0))</f>
        <v>2001</v>
      </c>
      <c r="C283" t="s">
        <v>9</v>
      </c>
      <c r="D283">
        <v>4</v>
      </c>
      <c r="E283" t="s">
        <v>435</v>
      </c>
      <c r="F283" t="s">
        <v>515</v>
      </c>
      <c r="G283" t="s">
        <v>363</v>
      </c>
      <c r="H283">
        <v>3258150</v>
      </c>
      <c r="J283" t="s">
        <v>121</v>
      </c>
      <c r="L283" s="4" t="str">
        <f>IF(AND(ISNUMBER(H283), COUNTIF([1]Songs!$L:$L,H283)&gt;0),"YES","")</f>
        <v/>
      </c>
    </row>
    <row r="284" spans="1:12" x14ac:dyDescent="0.25">
      <c r="A284" s="4">
        <f>INDEX(Albums!$A:$A, MATCH(C284,Albums!$C:$C,0))</f>
        <v>23</v>
      </c>
      <c r="B284" s="4">
        <f>INDEX(Albums!$B:$B, MATCH(C284,Albums!$C:$C,0))</f>
        <v>2001</v>
      </c>
      <c r="C284" t="s">
        <v>9</v>
      </c>
      <c r="D284">
        <v>5</v>
      </c>
      <c r="E284" t="s">
        <v>516</v>
      </c>
      <c r="F284" t="s">
        <v>517</v>
      </c>
      <c r="G284" t="s">
        <v>355</v>
      </c>
      <c r="H284">
        <v>3258167</v>
      </c>
      <c r="J284" t="s">
        <v>546</v>
      </c>
      <c r="L284" s="4" t="str">
        <f>IF(AND(ISNUMBER(H284), COUNTIF([1]Songs!$L:$L,H284)&gt;0),"YES","")</f>
        <v/>
      </c>
    </row>
    <row r="285" spans="1:12" x14ac:dyDescent="0.25">
      <c r="A285" s="4">
        <f>INDEX(Albums!$A:$A, MATCH(C285,Albums!$C:$C,0))</f>
        <v>23</v>
      </c>
      <c r="B285" s="4">
        <f>INDEX(Albums!$B:$B, MATCH(C285,Albums!$C:$C,0))</f>
        <v>2001</v>
      </c>
      <c r="C285" t="s">
        <v>9</v>
      </c>
      <c r="D285">
        <v>6</v>
      </c>
      <c r="E285" t="s">
        <v>518</v>
      </c>
      <c r="F285" t="s">
        <v>121</v>
      </c>
      <c r="G285" t="s">
        <v>355</v>
      </c>
      <c r="H285">
        <v>3375710</v>
      </c>
      <c r="J285" t="s">
        <v>121</v>
      </c>
      <c r="L285" s="4" t="str">
        <f>IF(AND(ISNUMBER(H285), COUNTIF([1]Songs!$L:$L,H285)&gt;0),"YES","")</f>
        <v/>
      </c>
    </row>
    <row r="286" spans="1:12" x14ac:dyDescent="0.25">
      <c r="A286" s="4">
        <f>INDEX(Albums!$A:$A, MATCH(C286,Albums!$C:$C,0))</f>
        <v>23</v>
      </c>
      <c r="B286" s="4">
        <f>INDEX(Albums!$B:$B, MATCH(C286,Albums!$C:$C,0))</f>
        <v>2001</v>
      </c>
      <c r="C286" t="s">
        <v>9</v>
      </c>
      <c r="D286">
        <v>7</v>
      </c>
      <c r="E286" t="s">
        <v>9</v>
      </c>
      <c r="F286" t="s">
        <v>76</v>
      </c>
      <c r="G286" t="s">
        <v>356</v>
      </c>
      <c r="H286">
        <v>3258174</v>
      </c>
      <c r="J286" t="s">
        <v>444</v>
      </c>
      <c r="L286" s="4" t="str">
        <f>IF(AND(ISNUMBER(H286), COUNTIF([1]Songs!$L:$L,H286)&gt;0),"YES","")</f>
        <v/>
      </c>
    </row>
    <row r="287" spans="1:12" x14ac:dyDescent="0.25">
      <c r="A287" s="4">
        <f>INDEX(Albums!$A:$A, MATCH(C287,Albums!$C:$C,0))</f>
        <v>23</v>
      </c>
      <c r="B287" s="4">
        <f>INDEX(Albums!$B:$B, MATCH(C287,Albums!$C:$C,0))</f>
        <v>2001</v>
      </c>
      <c r="C287" t="s">
        <v>9</v>
      </c>
      <c r="D287">
        <v>8</v>
      </c>
      <c r="E287" t="s">
        <v>519</v>
      </c>
      <c r="F287" t="s">
        <v>70</v>
      </c>
      <c r="G287" t="s">
        <v>358</v>
      </c>
      <c r="H287">
        <v>3220205</v>
      </c>
      <c r="J287" t="s">
        <v>121</v>
      </c>
      <c r="L287" s="4" t="str">
        <f>IF(AND(ISNUMBER(H287), COUNTIF([1]Songs!$L:$L,H287)&gt;0),"YES","")</f>
        <v/>
      </c>
    </row>
    <row r="288" spans="1:12" x14ac:dyDescent="0.25">
      <c r="A288" s="4">
        <f>INDEX(Albums!$A:$A, MATCH(C288,Albums!$C:$C,0))</f>
        <v>23</v>
      </c>
      <c r="B288" s="4">
        <f>INDEX(Albums!$B:$B, MATCH(C288,Albums!$C:$C,0))</f>
        <v>2001</v>
      </c>
      <c r="C288" t="s">
        <v>9</v>
      </c>
      <c r="D288">
        <v>9</v>
      </c>
      <c r="E288" t="s">
        <v>226</v>
      </c>
      <c r="F288" t="s">
        <v>70</v>
      </c>
      <c r="G288" t="s">
        <v>357</v>
      </c>
      <c r="H288">
        <v>3258198</v>
      </c>
      <c r="J288" t="s">
        <v>121</v>
      </c>
      <c r="L288" s="4" t="str">
        <f>IF(AND(ISNUMBER(H288), COUNTIF([1]Songs!$L:$L,H288)&gt;0),"YES","")</f>
        <v/>
      </c>
    </row>
    <row r="289" spans="1:12" x14ac:dyDescent="0.25">
      <c r="A289" s="4">
        <f>INDEX(Albums!$A:$A, MATCH(C289,Albums!$C:$C,0))</f>
        <v>23</v>
      </c>
      <c r="B289" s="4">
        <f>INDEX(Albums!$B:$B, MATCH(C289,Albums!$C:$C,0))</f>
        <v>2001</v>
      </c>
      <c r="C289" t="s">
        <v>9</v>
      </c>
      <c r="D289">
        <v>10</v>
      </c>
      <c r="E289" t="s">
        <v>520</v>
      </c>
      <c r="F289" t="s">
        <v>521</v>
      </c>
      <c r="G289" t="s">
        <v>356</v>
      </c>
      <c r="H289">
        <v>3258181</v>
      </c>
      <c r="J289" t="s">
        <v>121</v>
      </c>
      <c r="L289" s="4" t="str">
        <f>IF(AND(ISNUMBER(H289), COUNTIF([1]Songs!$L:$L,H289)&gt;0),"YES","")</f>
        <v/>
      </c>
    </row>
    <row r="290" spans="1:12" x14ac:dyDescent="0.25">
      <c r="A290" s="4">
        <f>INDEX(Albums!$A:$A, MATCH(C290,Albums!$C:$C,0))</f>
        <v>23</v>
      </c>
      <c r="B290" s="4">
        <f>INDEX(Albums!$B:$B, MATCH(C290,Albums!$C:$C,0))</f>
        <v>2001</v>
      </c>
      <c r="C290" t="s">
        <v>9</v>
      </c>
      <c r="D290">
        <v>11</v>
      </c>
      <c r="E290" t="s">
        <v>522</v>
      </c>
      <c r="F290" t="s">
        <v>521</v>
      </c>
      <c r="G290" t="s">
        <v>359</v>
      </c>
      <c r="H290">
        <v>3217555</v>
      </c>
      <c r="J290" t="s">
        <v>187</v>
      </c>
      <c r="L290" s="4" t="str">
        <f>IF(AND(ISNUMBER(H290), COUNTIF([1]Songs!$L:$L,H290)&gt;0),"YES","")</f>
        <v>YES</v>
      </c>
    </row>
    <row r="291" spans="1:12" x14ac:dyDescent="0.25">
      <c r="A291" s="4">
        <f>INDEX(Albums!$A:$A, MATCH(C291,Albums!$C:$C,0))</f>
        <v>23</v>
      </c>
      <c r="B291" s="4">
        <f>INDEX(Albums!$B:$B, MATCH(C291,Albums!$C:$C,0))</f>
        <v>2001</v>
      </c>
      <c r="C291" t="s">
        <v>9</v>
      </c>
      <c r="D291">
        <v>12</v>
      </c>
      <c r="E291" t="s">
        <v>38</v>
      </c>
      <c r="F291" t="s">
        <v>76</v>
      </c>
      <c r="G291" t="s">
        <v>615</v>
      </c>
      <c r="H291">
        <v>3207613</v>
      </c>
      <c r="J291" t="s">
        <v>514</v>
      </c>
      <c r="L291" s="4" t="str">
        <f>IF(AND(ISNUMBER(H291), COUNTIF([1]Songs!$L:$L,H291)&gt;0),"YES","")</f>
        <v/>
      </c>
    </row>
    <row r="292" spans="1:12" x14ac:dyDescent="0.25">
      <c r="A292" s="4">
        <f>INDEX(Albums!$A:$A, MATCH(C292,Albums!$C:$C,0))</f>
        <v>23</v>
      </c>
      <c r="B292" s="4">
        <f>INDEX(Albums!$B:$B, MATCH(C292,Albums!$C:$C,0))</f>
        <v>2001</v>
      </c>
      <c r="C292" t="s">
        <v>9</v>
      </c>
      <c r="D292">
        <v>13</v>
      </c>
      <c r="E292" t="s">
        <v>523</v>
      </c>
      <c r="F292" t="s">
        <v>524</v>
      </c>
      <c r="G292" t="s">
        <v>358</v>
      </c>
      <c r="H292">
        <v>3207596</v>
      </c>
      <c r="J292" t="s">
        <v>444</v>
      </c>
      <c r="L292" s="4" t="str">
        <f>IF(AND(ISNUMBER(H292), COUNTIF([1]Songs!$L:$L,H292)&gt;0),"YES","")</f>
        <v/>
      </c>
    </row>
    <row r="293" spans="1:12" x14ac:dyDescent="0.25">
      <c r="A293" s="4">
        <f>INDEX(Albums!$A:$A, MATCH(C293,Albums!$C:$C,0))</f>
        <v>24</v>
      </c>
      <c r="B293" s="4">
        <f>INDEX(Albums!$B:$B, MATCH(C293,Albums!$C:$C,0))</f>
        <v>2002</v>
      </c>
      <c r="C293" t="s">
        <v>10</v>
      </c>
      <c r="D293">
        <v>1</v>
      </c>
      <c r="E293" t="s">
        <v>10</v>
      </c>
      <c r="F293" t="s">
        <v>491</v>
      </c>
      <c r="G293" t="s">
        <v>608</v>
      </c>
      <c r="H293">
        <v>3490547</v>
      </c>
      <c r="J293" t="s">
        <v>185</v>
      </c>
      <c r="L293" s="4" t="str">
        <f>IF(AND(ISNUMBER(H293), COUNTIF([1]Songs!$L:$L,H293)&gt;0),"YES","")</f>
        <v/>
      </c>
    </row>
    <row r="294" spans="1:12" x14ac:dyDescent="0.25">
      <c r="A294" s="4">
        <f>INDEX(Albums!$A:$A, MATCH(C294,Albums!$C:$C,0))</f>
        <v>24</v>
      </c>
      <c r="B294" s="4">
        <f>INDEX(Albums!$B:$B, MATCH(C294,Albums!$C:$C,0))</f>
        <v>2002</v>
      </c>
      <c r="C294" t="s">
        <v>10</v>
      </c>
      <c r="D294">
        <v>2</v>
      </c>
      <c r="E294" t="s">
        <v>492</v>
      </c>
      <c r="F294" t="s">
        <v>69</v>
      </c>
      <c r="G294" t="s">
        <v>360</v>
      </c>
      <c r="H294">
        <v>3452767</v>
      </c>
      <c r="J294" t="s">
        <v>444</v>
      </c>
      <c r="L294" s="4" t="str">
        <f>IF(AND(ISNUMBER(H294), COUNTIF([1]Songs!$L:$L,H294)&gt;0),"YES","")</f>
        <v/>
      </c>
    </row>
    <row r="295" spans="1:12" x14ac:dyDescent="0.25">
      <c r="A295" s="4">
        <f>INDEX(Albums!$A:$A, MATCH(C295,Albums!$C:$C,0))</f>
        <v>24</v>
      </c>
      <c r="B295" s="4">
        <f>INDEX(Albums!$B:$B, MATCH(C295,Albums!$C:$C,0))</f>
        <v>2002</v>
      </c>
      <c r="C295" t="s">
        <v>10</v>
      </c>
      <c r="D295">
        <v>3</v>
      </c>
      <c r="E295" t="s">
        <v>493</v>
      </c>
      <c r="F295" t="s">
        <v>439</v>
      </c>
      <c r="G295" t="s">
        <v>603</v>
      </c>
      <c r="H295">
        <v>3490554</v>
      </c>
      <c r="J295" t="s">
        <v>121</v>
      </c>
      <c r="L295" s="4" t="str">
        <f>IF(AND(ISNUMBER(H295), COUNTIF([1]Songs!$L:$L,H295)&gt;0),"YES","")</f>
        <v/>
      </c>
    </row>
    <row r="296" spans="1:12" x14ac:dyDescent="0.25">
      <c r="A296" s="4">
        <f>INDEX(Albums!$A:$A, MATCH(C296,Albums!$C:$C,0))</f>
        <v>24</v>
      </c>
      <c r="B296" s="4">
        <f>INDEX(Albums!$B:$B, MATCH(C296,Albums!$C:$C,0))</f>
        <v>2002</v>
      </c>
      <c r="C296" t="s">
        <v>10</v>
      </c>
      <c r="D296">
        <v>4</v>
      </c>
      <c r="E296" t="s">
        <v>494</v>
      </c>
      <c r="F296" t="s">
        <v>187</v>
      </c>
      <c r="G296" t="s">
        <v>363</v>
      </c>
      <c r="H296">
        <v>3290709</v>
      </c>
      <c r="J296" t="s">
        <v>121</v>
      </c>
      <c r="L296" s="4" t="str">
        <f>IF(AND(ISNUMBER(H296), COUNTIF([1]Songs!$L:$L,H296)&gt;0),"YES","")</f>
        <v/>
      </c>
    </row>
    <row r="297" spans="1:12" x14ac:dyDescent="0.25">
      <c r="A297" s="4">
        <f>INDEX(Albums!$A:$A, MATCH(C297,Albums!$C:$C,0))</f>
        <v>24</v>
      </c>
      <c r="B297" s="4">
        <f>INDEX(Albums!$B:$B, MATCH(C297,Albums!$C:$C,0))</f>
        <v>2002</v>
      </c>
      <c r="C297" t="s">
        <v>10</v>
      </c>
      <c r="D297">
        <v>5</v>
      </c>
      <c r="E297" t="s">
        <v>495</v>
      </c>
      <c r="F297" t="s">
        <v>70</v>
      </c>
      <c r="G297" t="s">
        <v>356</v>
      </c>
      <c r="H297">
        <v>3452774</v>
      </c>
      <c r="J297" t="s">
        <v>496</v>
      </c>
      <c r="L297" s="4" t="str">
        <f>IF(AND(ISNUMBER(H297), COUNTIF([1]Songs!$L:$L,H297)&gt;0),"YES","")</f>
        <v/>
      </c>
    </row>
    <row r="298" spans="1:12" x14ac:dyDescent="0.25">
      <c r="A298" s="4">
        <f>INDEX(Albums!$A:$A, MATCH(C298,Albums!$C:$C,0))</f>
        <v>24</v>
      </c>
      <c r="B298" s="4">
        <f>INDEX(Albums!$B:$B, MATCH(C298,Albums!$C:$C,0))</f>
        <v>2002</v>
      </c>
      <c r="C298" t="s">
        <v>10</v>
      </c>
      <c r="D298">
        <v>6</v>
      </c>
      <c r="E298" t="s">
        <v>497</v>
      </c>
      <c r="F298" t="s">
        <v>609</v>
      </c>
      <c r="G298" t="s">
        <v>355</v>
      </c>
      <c r="H298">
        <v>3452781</v>
      </c>
      <c r="J298" t="s">
        <v>444</v>
      </c>
      <c r="L298" s="4" t="str">
        <f>IF(AND(ISNUMBER(H298), COUNTIF([1]Songs!$L:$L,H298)&gt;0),"YES","")</f>
        <v/>
      </c>
    </row>
    <row r="299" spans="1:12" x14ac:dyDescent="0.25">
      <c r="A299" s="4">
        <f>INDEX(Albums!$A:$A, MATCH(C299,Albums!$C:$C,0))</f>
        <v>24</v>
      </c>
      <c r="B299" s="4">
        <f>INDEX(Albums!$B:$B, MATCH(C299,Albums!$C:$C,0))</f>
        <v>2002</v>
      </c>
      <c r="C299" t="s">
        <v>10</v>
      </c>
      <c r="D299">
        <v>7</v>
      </c>
      <c r="E299" t="s">
        <v>498</v>
      </c>
      <c r="F299" t="s">
        <v>58</v>
      </c>
      <c r="G299" t="s">
        <v>360</v>
      </c>
      <c r="H299">
        <v>3452743</v>
      </c>
      <c r="J299" t="s">
        <v>499</v>
      </c>
      <c r="L299" s="4" t="str">
        <f>IF(AND(ISNUMBER(H299), COUNTIF([1]Songs!$L:$L,H299)&gt;0),"YES","")</f>
        <v/>
      </c>
    </row>
    <row r="300" spans="1:12" x14ac:dyDescent="0.25">
      <c r="A300" s="4">
        <f>INDEX(Albums!$A:$A, MATCH(C300,Albums!$C:$C,0))</f>
        <v>24</v>
      </c>
      <c r="B300" s="4">
        <f>INDEX(Albums!$B:$B, MATCH(C300,Albums!$C:$C,0))</f>
        <v>2002</v>
      </c>
      <c r="C300" t="s">
        <v>10</v>
      </c>
      <c r="D300">
        <v>8</v>
      </c>
      <c r="E300" t="s">
        <v>500</v>
      </c>
      <c r="F300" t="s">
        <v>434</v>
      </c>
      <c r="G300" t="s">
        <v>356</v>
      </c>
      <c r="H300">
        <v>3452750</v>
      </c>
      <c r="J300" t="s">
        <v>473</v>
      </c>
      <c r="L300" s="4" t="str">
        <f>IF(AND(ISNUMBER(H300), COUNTIF([1]Songs!$L:$L,H300)&gt;0),"YES","")</f>
        <v/>
      </c>
    </row>
    <row r="301" spans="1:12" x14ac:dyDescent="0.25">
      <c r="A301" s="4">
        <f>INDEX(Albums!$A:$A, MATCH(C301,Albums!$C:$C,0))</f>
        <v>24</v>
      </c>
      <c r="B301" s="4">
        <f>INDEX(Albums!$B:$B, MATCH(C301,Albums!$C:$C,0))</f>
        <v>2002</v>
      </c>
      <c r="C301" t="s">
        <v>10</v>
      </c>
      <c r="D301">
        <v>9</v>
      </c>
      <c r="E301" t="s">
        <v>501</v>
      </c>
      <c r="F301" t="s">
        <v>55</v>
      </c>
      <c r="G301" t="s">
        <v>605</v>
      </c>
      <c r="H301">
        <v>3290716</v>
      </c>
      <c r="J301" t="s">
        <v>496</v>
      </c>
      <c r="L301" s="4" t="str">
        <f>IF(AND(ISNUMBER(H301), COUNTIF([1]Songs!$L:$L,H301)&gt;0),"YES","")</f>
        <v/>
      </c>
    </row>
    <row r="302" spans="1:12" x14ac:dyDescent="0.25">
      <c r="A302" s="4">
        <f>INDEX(Albums!$A:$A, MATCH(C302,Albums!$C:$C,0))</f>
        <v>24</v>
      </c>
      <c r="B302" s="4">
        <f>INDEX(Albums!$B:$B, MATCH(C302,Albums!$C:$C,0))</f>
        <v>2002</v>
      </c>
      <c r="C302" t="s">
        <v>10</v>
      </c>
      <c r="D302">
        <v>10</v>
      </c>
      <c r="E302" t="s">
        <v>502</v>
      </c>
      <c r="F302" t="s">
        <v>503</v>
      </c>
      <c r="G302" t="s">
        <v>613</v>
      </c>
      <c r="H302">
        <v>3490578</v>
      </c>
      <c r="J302" t="s">
        <v>121</v>
      </c>
      <c r="L302" s="4" t="str">
        <f>IF(AND(ISNUMBER(H302), COUNTIF([1]Songs!$L:$L,H302)&gt;0),"YES","")</f>
        <v/>
      </c>
    </row>
    <row r="303" spans="1:12" x14ac:dyDescent="0.25">
      <c r="A303" s="4">
        <f>INDEX(Albums!$A:$A, MATCH(C303,Albums!$C:$C,0))</f>
        <v>24</v>
      </c>
      <c r="B303" s="4">
        <f>INDEX(Albums!$B:$B, MATCH(C303,Albums!$C:$C,0))</f>
        <v>2002</v>
      </c>
      <c r="C303" t="s">
        <v>10</v>
      </c>
      <c r="D303">
        <v>11</v>
      </c>
      <c r="E303" t="s">
        <v>504</v>
      </c>
      <c r="F303" t="s">
        <v>55</v>
      </c>
      <c r="G303" t="s">
        <v>362</v>
      </c>
      <c r="H303">
        <v>3452736</v>
      </c>
      <c r="J303" t="s">
        <v>496</v>
      </c>
      <c r="L303" s="4" t="str">
        <f>IF(AND(ISNUMBER(H303), COUNTIF([1]Songs!$L:$L,H303)&gt;0),"YES","")</f>
        <v/>
      </c>
    </row>
    <row r="304" spans="1:12" x14ac:dyDescent="0.25">
      <c r="A304" s="4">
        <f>INDEX(Albums!$A:$A, MATCH(C304,Albums!$C:$C,0))</f>
        <v>24</v>
      </c>
      <c r="B304" s="4">
        <f>INDEX(Albums!$B:$B, MATCH(C304,Albums!$C:$C,0))</f>
        <v>2002</v>
      </c>
      <c r="C304" t="s">
        <v>10</v>
      </c>
      <c r="D304">
        <v>12</v>
      </c>
      <c r="E304" t="s">
        <v>505</v>
      </c>
      <c r="F304" t="s">
        <v>55</v>
      </c>
      <c r="G304" t="s">
        <v>596</v>
      </c>
      <c r="H304">
        <v>3367560</v>
      </c>
      <c r="J304" t="s">
        <v>506</v>
      </c>
      <c r="L304" s="4" t="str">
        <f>IF(AND(ISNUMBER(H304), COUNTIF([1]Songs!$L:$L,H304)&gt;0),"YES","")</f>
        <v/>
      </c>
    </row>
    <row r="305" spans="1:12" x14ac:dyDescent="0.25">
      <c r="A305" s="4">
        <f>INDEX(Albums!$A:$A, MATCH(C305,Albums!$C:$C,0))</f>
        <v>24</v>
      </c>
      <c r="B305" s="4">
        <f>INDEX(Albums!$B:$B, MATCH(C305,Albums!$C:$C,0))</f>
        <v>2002</v>
      </c>
      <c r="C305" t="s">
        <v>10</v>
      </c>
      <c r="D305">
        <v>13</v>
      </c>
      <c r="E305" t="s">
        <v>507</v>
      </c>
      <c r="F305" t="s">
        <v>69</v>
      </c>
      <c r="G305" t="s">
        <v>362</v>
      </c>
      <c r="H305">
        <v>3324479</v>
      </c>
      <c r="J305" t="s">
        <v>508</v>
      </c>
      <c r="L305" s="4" t="str">
        <f>IF(AND(ISNUMBER(H305), COUNTIF([1]Songs!$L:$L,H305)&gt;0),"YES","")</f>
        <v/>
      </c>
    </row>
    <row r="306" spans="1:12" x14ac:dyDescent="0.25">
      <c r="A306" s="4">
        <f>INDEX(Albums!$A:$A, MATCH(C306,Albums!$C:$C,0))</f>
        <v>24</v>
      </c>
      <c r="B306" s="4">
        <f>INDEX(Albums!$B:$B, MATCH(C306,Albums!$C:$C,0))</f>
        <v>2002</v>
      </c>
      <c r="C306" t="s">
        <v>10</v>
      </c>
      <c r="D306">
        <v>14</v>
      </c>
      <c r="E306" t="s">
        <v>509</v>
      </c>
      <c r="F306" t="s">
        <v>55</v>
      </c>
      <c r="G306" t="s">
        <v>358</v>
      </c>
      <c r="H306">
        <v>3490585</v>
      </c>
      <c r="J306" t="s">
        <v>121</v>
      </c>
      <c r="L306" s="4" t="str">
        <f>IF(AND(ISNUMBER(H306), COUNTIF([1]Songs!$L:$L,H306)&gt;0),"YES","")</f>
        <v/>
      </c>
    </row>
    <row r="307" spans="1:12" x14ac:dyDescent="0.25">
      <c r="A307" s="4">
        <f>INDEX(Albums!$A:$A, MATCH(C307,Albums!$C:$C,0))</f>
        <v>27</v>
      </c>
      <c r="B307" s="4">
        <f>INDEX(Albums!$B:$B, MATCH(C307,Albums!$C:$C,0))</f>
        <v>2002</v>
      </c>
      <c r="C307" t="s">
        <v>487</v>
      </c>
      <c r="D307">
        <v>1</v>
      </c>
      <c r="E307" t="s">
        <v>902</v>
      </c>
      <c r="F307" t="s">
        <v>903</v>
      </c>
      <c r="K307" s="2">
        <v>2.013888888888889E-2</v>
      </c>
      <c r="L307" t="str">
        <f>IF(AND(ISNUMBER(H307), COUNTIF([1]Songs!$L:$L,H307)&gt;0),"YES","")</f>
        <v/>
      </c>
    </row>
    <row r="308" spans="1:12" x14ac:dyDescent="0.25">
      <c r="A308" s="4">
        <f>INDEX(Albums!$A:$A, MATCH(C308,Albums!$C:$C,0))</f>
        <v>27</v>
      </c>
      <c r="B308" s="4">
        <f>INDEX(Albums!$B:$B, MATCH(C308,Albums!$C:$C,0))</f>
        <v>2002</v>
      </c>
      <c r="C308" t="s">
        <v>487</v>
      </c>
      <c r="D308">
        <v>2</v>
      </c>
      <c r="E308" t="s">
        <v>904</v>
      </c>
      <c r="F308" t="s">
        <v>58</v>
      </c>
      <c r="K308" s="2">
        <v>0.21249999999999999</v>
      </c>
      <c r="L308" t="str">
        <f>IF(AND(ISNUMBER(H308), COUNTIF([1]Songs!$L:$L,H308)&gt;0),"YES","")</f>
        <v/>
      </c>
    </row>
    <row r="309" spans="1:12" x14ac:dyDescent="0.25">
      <c r="A309" s="4">
        <f>INDEX(Albums!$A:$A, MATCH(C309,Albums!$C:$C,0))</f>
        <v>27</v>
      </c>
      <c r="B309" s="4">
        <f>INDEX(Albums!$B:$B, MATCH(C309,Albums!$C:$C,0))</f>
        <v>2002</v>
      </c>
      <c r="C309" t="s">
        <v>487</v>
      </c>
      <c r="D309">
        <v>3</v>
      </c>
      <c r="E309" t="s">
        <v>488</v>
      </c>
      <c r="F309" t="s">
        <v>69</v>
      </c>
      <c r="K309" s="2">
        <v>0.16805555555555554</v>
      </c>
      <c r="L309" t="str">
        <f>IF(AND(ISNUMBER(H309), COUNTIF([1]Songs!$L:$L,H309)&gt;0),"YES","")</f>
        <v/>
      </c>
    </row>
    <row r="310" spans="1:12" x14ac:dyDescent="0.25">
      <c r="A310" s="4">
        <f>INDEX(Albums!$A:$A, MATCH(C310,Albums!$C:$C,0))</f>
        <v>27</v>
      </c>
      <c r="B310" s="4">
        <f>INDEX(Albums!$B:$B, MATCH(C310,Albums!$C:$C,0))</f>
        <v>2002</v>
      </c>
      <c r="C310" t="s">
        <v>487</v>
      </c>
      <c r="D310">
        <v>4</v>
      </c>
      <c r="E310" t="s">
        <v>905</v>
      </c>
      <c r="F310" t="s">
        <v>735</v>
      </c>
      <c r="K310" s="2">
        <v>0.21875</v>
      </c>
      <c r="L310" t="str">
        <f>IF(AND(ISNUMBER(H310), COUNTIF([1]Songs!$L:$L,H310)&gt;0),"YES","")</f>
        <v/>
      </c>
    </row>
    <row r="311" spans="1:12" x14ac:dyDescent="0.25">
      <c r="A311" s="4">
        <f>INDEX(Albums!$A:$A, MATCH(C311,Albums!$C:$C,0))</f>
        <v>27</v>
      </c>
      <c r="B311" s="4">
        <f>INDEX(Albums!$B:$B, MATCH(C311,Albums!$C:$C,0))</f>
        <v>2002</v>
      </c>
      <c r="C311" t="s">
        <v>487</v>
      </c>
      <c r="D311">
        <v>5</v>
      </c>
      <c r="E311" t="s">
        <v>907</v>
      </c>
      <c r="F311" t="s">
        <v>76</v>
      </c>
      <c r="K311" s="2">
        <v>0.25</v>
      </c>
      <c r="L311" t="str">
        <f>IF(AND(ISNUMBER(H311), COUNTIF([1]Songs!$L:$L,H311)&gt;0),"YES","")</f>
        <v/>
      </c>
    </row>
    <row r="312" spans="1:12" x14ac:dyDescent="0.25">
      <c r="A312" s="4">
        <f>INDEX(Albums!$A:$A, MATCH(C312,Albums!$C:$C,0))</f>
        <v>27</v>
      </c>
      <c r="B312" s="4">
        <f>INDEX(Albums!$B:$B, MATCH(C312,Albums!$C:$C,0))</f>
        <v>2002</v>
      </c>
      <c r="C312" t="s">
        <v>487</v>
      </c>
      <c r="D312">
        <v>6</v>
      </c>
      <c r="E312" t="s">
        <v>487</v>
      </c>
      <c r="F312" t="s">
        <v>909</v>
      </c>
      <c r="K312" s="2">
        <v>0.24513888888888888</v>
      </c>
      <c r="L312" t="str">
        <f>IF(AND(ISNUMBER(H312), COUNTIF([1]Songs!$L:$L,H312)&gt;0),"YES","")</f>
        <v/>
      </c>
    </row>
    <row r="313" spans="1:12" x14ac:dyDescent="0.25">
      <c r="A313" s="4">
        <f>INDEX(Albums!$A:$A, MATCH(C313,Albums!$C:$C,0))</f>
        <v>27</v>
      </c>
      <c r="B313" s="4">
        <f>INDEX(Albums!$B:$B, MATCH(C313,Albums!$C:$C,0))</f>
        <v>2002</v>
      </c>
      <c r="C313" t="s">
        <v>487</v>
      </c>
      <c r="D313">
        <v>7</v>
      </c>
      <c r="E313" t="s">
        <v>470</v>
      </c>
      <c r="F313" t="s">
        <v>55</v>
      </c>
      <c r="K313" s="2">
        <v>0.30763888888888891</v>
      </c>
      <c r="L313" t="str">
        <f>IF(AND(ISNUMBER(H313), COUNTIF([1]Songs!$L:$L,H313)&gt;0),"YES","")</f>
        <v/>
      </c>
    </row>
    <row r="314" spans="1:12" x14ac:dyDescent="0.25">
      <c r="A314" s="4">
        <f>INDEX(Albums!$A:$A, MATCH(C314,Albums!$C:$C,0))</f>
        <v>27</v>
      </c>
      <c r="B314" s="4">
        <f>INDEX(Albums!$B:$B, MATCH(C314,Albums!$C:$C,0))</f>
        <v>2002</v>
      </c>
      <c r="C314" t="s">
        <v>487</v>
      </c>
      <c r="D314">
        <v>8</v>
      </c>
      <c r="E314" t="s">
        <v>468</v>
      </c>
      <c r="F314" t="s">
        <v>70</v>
      </c>
      <c r="K314" s="2">
        <v>0.31875000000000003</v>
      </c>
      <c r="L314" t="str">
        <f>IF(AND(ISNUMBER(H314), COUNTIF([1]Songs!$L:$L,H314)&gt;0),"YES","")</f>
        <v/>
      </c>
    </row>
    <row r="315" spans="1:12" x14ac:dyDescent="0.25">
      <c r="A315" s="4">
        <f>INDEX(Albums!$A:$A, MATCH(C315,Albums!$C:$C,0))</f>
        <v>27</v>
      </c>
      <c r="B315" s="4">
        <f>INDEX(Albums!$B:$B, MATCH(C315,Albums!$C:$C,0))</f>
        <v>2002</v>
      </c>
      <c r="C315" t="s">
        <v>487</v>
      </c>
      <c r="D315">
        <v>9</v>
      </c>
      <c r="E315" t="s">
        <v>910</v>
      </c>
      <c r="F315" t="s">
        <v>80</v>
      </c>
      <c r="K315" s="2">
        <v>0.24027777777777778</v>
      </c>
      <c r="L315" t="str">
        <f>IF(AND(ISNUMBER(H315), COUNTIF([1]Songs!$L:$L,H315)&gt;0),"YES","")</f>
        <v/>
      </c>
    </row>
    <row r="316" spans="1:12" x14ac:dyDescent="0.25">
      <c r="A316" s="4">
        <f>INDEX(Albums!$A:$A, MATCH(C316,Albums!$C:$C,0))</f>
        <v>27</v>
      </c>
      <c r="B316" s="4">
        <f>INDEX(Albums!$B:$B, MATCH(C316,Albums!$C:$C,0))</f>
        <v>2002</v>
      </c>
      <c r="C316" t="s">
        <v>487</v>
      </c>
      <c r="D316">
        <v>10</v>
      </c>
      <c r="E316" t="s">
        <v>911</v>
      </c>
      <c r="F316" t="s">
        <v>76</v>
      </c>
      <c r="K316" s="2">
        <v>0.20833333333333334</v>
      </c>
      <c r="L316" t="str">
        <f>IF(AND(ISNUMBER(H316), COUNTIF([1]Songs!$L:$L,H316)&gt;0),"YES","")</f>
        <v/>
      </c>
    </row>
    <row r="317" spans="1:12" x14ac:dyDescent="0.25">
      <c r="A317" s="4">
        <f>INDEX(Albums!$A:$A, MATCH(C317,Albums!$C:$C,0))</f>
        <v>27</v>
      </c>
      <c r="B317" s="4">
        <f>INDEX(Albums!$B:$B, MATCH(C317,Albums!$C:$C,0))</f>
        <v>2002</v>
      </c>
      <c r="C317" t="s">
        <v>487</v>
      </c>
      <c r="D317">
        <v>11</v>
      </c>
      <c r="E317" t="s">
        <v>492</v>
      </c>
      <c r="F317" t="s">
        <v>76</v>
      </c>
      <c r="K317" s="2">
        <v>0.19652777777777777</v>
      </c>
      <c r="L317" t="str">
        <f>IF(AND(ISNUMBER(H317), COUNTIF([1]Songs!$L:$L,H317)&gt;0),"YES","")</f>
        <v/>
      </c>
    </row>
    <row r="318" spans="1:12" x14ac:dyDescent="0.25">
      <c r="A318" s="4">
        <f>INDEX(Albums!$A:$A, MATCH(C318,Albums!$C:$C,0))</f>
        <v>27</v>
      </c>
      <c r="B318" s="4">
        <f>INDEX(Albums!$B:$B, MATCH(C318,Albums!$C:$C,0))</f>
        <v>2002</v>
      </c>
      <c r="C318" t="s">
        <v>487</v>
      </c>
      <c r="D318">
        <v>12</v>
      </c>
      <c r="E318" t="s">
        <v>912</v>
      </c>
      <c r="F318" t="s">
        <v>672</v>
      </c>
      <c r="K318" s="2">
        <v>0.23333333333333331</v>
      </c>
      <c r="L318" t="str">
        <f>IF(AND(ISNUMBER(H318), COUNTIF([1]Songs!$L:$L,H318)&gt;0),"YES","")</f>
        <v/>
      </c>
    </row>
    <row r="319" spans="1:12" x14ac:dyDescent="0.25">
      <c r="A319" s="4">
        <f>INDEX(Albums!$A:$A, MATCH(C319,Albums!$C:$C,0))</f>
        <v>27</v>
      </c>
      <c r="B319" s="4">
        <f>INDEX(Albums!$B:$B, MATCH(C319,Albums!$C:$C,0))</f>
        <v>2002</v>
      </c>
      <c r="C319" t="s">
        <v>487</v>
      </c>
      <c r="D319">
        <v>13</v>
      </c>
      <c r="E319" t="s">
        <v>904</v>
      </c>
      <c r="F319" t="s">
        <v>913</v>
      </c>
      <c r="I319" s="7" t="s">
        <v>955</v>
      </c>
      <c r="K319" s="2">
        <v>0.14930555555555555</v>
      </c>
      <c r="L319" t="str">
        <f>IF(AND(ISNUMBER(H319), COUNTIF([1]Songs!$L:$L,H319)&gt;0),"YES","")</f>
        <v/>
      </c>
    </row>
    <row r="320" spans="1:12" x14ac:dyDescent="0.25">
      <c r="A320" s="4">
        <f>INDEX(Albums!$A:$A, MATCH(C320,Albums!$C:$C,0))</f>
        <v>27</v>
      </c>
      <c r="B320" s="4">
        <f>INDEX(Albums!$B:$B, MATCH(C320,Albums!$C:$C,0))</f>
        <v>2002</v>
      </c>
      <c r="C320" t="s">
        <v>487</v>
      </c>
      <c r="D320">
        <v>14</v>
      </c>
      <c r="E320" t="s">
        <v>911</v>
      </c>
      <c r="F320" t="s">
        <v>913</v>
      </c>
      <c r="I320" s="7" t="s">
        <v>955</v>
      </c>
      <c r="K320" s="2">
        <v>0.15555555555555556</v>
      </c>
      <c r="L320" t="str">
        <f>IF(AND(ISNUMBER(H320), COUNTIF([1]Songs!$L:$L,H320)&gt;0),"YES","")</f>
        <v/>
      </c>
    </row>
    <row r="321" spans="1:12" x14ac:dyDescent="0.25">
      <c r="A321" s="4">
        <f>INDEX(Albums!$A:$A, MATCH(C321,Albums!$C:$C,0))</f>
        <v>30</v>
      </c>
      <c r="B321" s="4">
        <f>INDEX(Albums!$B:$B, MATCH(C321,Albums!$C:$C,0))</f>
        <v>2004</v>
      </c>
      <c r="C321" t="s">
        <v>37</v>
      </c>
      <c r="D321">
        <v>1</v>
      </c>
      <c r="E321" t="s">
        <v>1131</v>
      </c>
      <c r="K321" s="2">
        <v>0.15694444444444444</v>
      </c>
      <c r="L321" s="4"/>
    </row>
    <row r="322" spans="1:12" x14ac:dyDescent="0.25">
      <c r="A322" s="4">
        <f>INDEX(Albums!$A:$A, MATCH(C322,Albums!$C:$C,0))</f>
        <v>30</v>
      </c>
      <c r="B322" s="4">
        <f>INDEX(Albums!$B:$B, MATCH(C322,Albums!$C:$C,0))</f>
        <v>2004</v>
      </c>
      <c r="C322" t="s">
        <v>37</v>
      </c>
      <c r="D322">
        <v>2</v>
      </c>
      <c r="E322" t="s">
        <v>1132</v>
      </c>
      <c r="K322" s="2">
        <v>0.24027777777777778</v>
      </c>
      <c r="L322" s="4"/>
    </row>
    <row r="323" spans="1:12" x14ac:dyDescent="0.25">
      <c r="A323" s="4">
        <f>INDEX(Albums!$A:$A, MATCH(C323,Albums!$C:$C,0))</f>
        <v>30</v>
      </c>
      <c r="B323" s="4">
        <f>INDEX(Albums!$B:$B, MATCH(C323,Albums!$C:$C,0))</f>
        <v>2004</v>
      </c>
      <c r="C323" t="s">
        <v>37</v>
      </c>
      <c r="D323">
        <v>3</v>
      </c>
      <c r="E323" t="s">
        <v>1133</v>
      </c>
      <c r="K323" s="2">
        <v>0.22638888888888889</v>
      </c>
      <c r="L323" s="4"/>
    </row>
    <row r="324" spans="1:12" x14ac:dyDescent="0.25">
      <c r="A324" s="4">
        <f>INDEX(Albums!$A:$A, MATCH(C324,Albums!$C:$C,0))</f>
        <v>30</v>
      </c>
      <c r="B324" s="4">
        <f>INDEX(Albums!$B:$B, MATCH(C324,Albums!$C:$C,0))</f>
        <v>2004</v>
      </c>
      <c r="C324" t="s">
        <v>37</v>
      </c>
      <c r="D324">
        <v>4</v>
      </c>
      <c r="E324" t="s">
        <v>1134</v>
      </c>
      <c r="K324" s="2">
        <v>0.22847222222222222</v>
      </c>
      <c r="L324" s="4"/>
    </row>
    <row r="325" spans="1:12" x14ac:dyDescent="0.25">
      <c r="A325" s="4">
        <f>INDEX(Albums!$A:$A, MATCH(C325,Albums!$C:$C,0))</f>
        <v>30</v>
      </c>
      <c r="B325" s="4">
        <f>INDEX(Albums!$B:$B, MATCH(C325,Albums!$C:$C,0))</f>
        <v>2004</v>
      </c>
      <c r="C325" t="s">
        <v>37</v>
      </c>
      <c r="D325">
        <v>5</v>
      </c>
      <c r="E325" t="s">
        <v>671</v>
      </c>
      <c r="K325" s="2">
        <v>0.16527777777777777</v>
      </c>
      <c r="L325" s="4"/>
    </row>
    <row r="326" spans="1:12" x14ac:dyDescent="0.25">
      <c r="A326" s="4">
        <f>INDEX(Albums!$A:$A, MATCH(C326,Albums!$C:$C,0))</f>
        <v>30</v>
      </c>
      <c r="B326" s="4">
        <f>INDEX(Albums!$B:$B, MATCH(C326,Albums!$C:$C,0))</f>
        <v>2004</v>
      </c>
      <c r="C326" t="s">
        <v>37</v>
      </c>
      <c r="D326">
        <v>6</v>
      </c>
      <c r="E326" t="s">
        <v>1135</v>
      </c>
      <c r="K326" s="2">
        <v>0.1763888888888889</v>
      </c>
      <c r="L326" s="4"/>
    </row>
    <row r="327" spans="1:12" x14ac:dyDescent="0.25">
      <c r="A327" s="4">
        <f>INDEX(Albums!$A:$A, MATCH(C327,Albums!$C:$C,0))</f>
        <v>30</v>
      </c>
      <c r="B327" s="4">
        <f>INDEX(Albums!$B:$B, MATCH(C327,Albums!$C:$C,0))</f>
        <v>2004</v>
      </c>
      <c r="C327" t="s">
        <v>37</v>
      </c>
      <c r="D327">
        <v>7</v>
      </c>
      <c r="E327" t="s">
        <v>1136</v>
      </c>
      <c r="K327" s="2">
        <v>0.22013888888888888</v>
      </c>
      <c r="L327" s="4"/>
    </row>
    <row r="328" spans="1:12" x14ac:dyDescent="0.25">
      <c r="A328" s="4">
        <f>INDEX(Albums!$A:$A, MATCH(C328,Albums!$C:$C,0))</f>
        <v>30</v>
      </c>
      <c r="B328" s="4">
        <f>INDEX(Albums!$B:$B, MATCH(C328,Albums!$C:$C,0))</f>
        <v>2004</v>
      </c>
      <c r="C328" t="s">
        <v>37</v>
      </c>
      <c r="D328">
        <v>8</v>
      </c>
      <c r="E328" t="s">
        <v>1137</v>
      </c>
      <c r="K328" s="2">
        <v>0.2076388888888889</v>
      </c>
      <c r="L328" s="4"/>
    </row>
    <row r="329" spans="1:12" x14ac:dyDescent="0.25">
      <c r="A329" s="4">
        <f>INDEX(Albums!$A:$A, MATCH(C329,Albums!$C:$C,0))</f>
        <v>30</v>
      </c>
      <c r="B329" s="4">
        <f>INDEX(Albums!$B:$B, MATCH(C329,Albums!$C:$C,0))</f>
        <v>2004</v>
      </c>
      <c r="C329" t="s">
        <v>37</v>
      </c>
      <c r="D329">
        <v>9</v>
      </c>
      <c r="E329" t="s">
        <v>1138</v>
      </c>
      <c r="K329" s="2">
        <v>0.15972222222222224</v>
      </c>
      <c r="L329" s="4"/>
    </row>
    <row r="330" spans="1:12" x14ac:dyDescent="0.25">
      <c r="A330" s="4">
        <f>INDEX(Albums!$A:$A, MATCH(C330,Albums!$C:$C,0))</f>
        <v>30</v>
      </c>
      <c r="B330" s="4">
        <f>INDEX(Albums!$B:$B, MATCH(C330,Albums!$C:$C,0))</f>
        <v>2004</v>
      </c>
      <c r="C330" t="s">
        <v>37</v>
      </c>
      <c r="D330">
        <v>10</v>
      </c>
      <c r="E330" t="s">
        <v>1139</v>
      </c>
      <c r="K330" s="2">
        <v>0.21944444444444444</v>
      </c>
      <c r="L330" s="4"/>
    </row>
    <row r="331" spans="1:12" x14ac:dyDescent="0.25">
      <c r="A331" s="4">
        <f>INDEX(Albums!$A:$A, MATCH(C331,Albums!$C:$C,0))</f>
        <v>30</v>
      </c>
      <c r="B331" s="4">
        <f>INDEX(Albums!$B:$B, MATCH(C331,Albums!$C:$C,0))</f>
        <v>2004</v>
      </c>
      <c r="C331" t="s">
        <v>37</v>
      </c>
      <c r="D331">
        <v>11</v>
      </c>
      <c r="E331" t="s">
        <v>1140</v>
      </c>
      <c r="K331" s="2">
        <v>0.13472222222222222</v>
      </c>
      <c r="L331" s="4"/>
    </row>
    <row r="332" spans="1:12" x14ac:dyDescent="0.25">
      <c r="A332" s="4">
        <f>INDEX(Albums!$A:$A, MATCH(C332,Albums!$C:$C,0))</f>
        <v>30</v>
      </c>
      <c r="B332" s="4">
        <f>INDEX(Albums!$B:$B, MATCH(C332,Albums!$C:$C,0))</f>
        <v>2004</v>
      </c>
      <c r="C332" t="s">
        <v>37</v>
      </c>
      <c r="D332">
        <v>12</v>
      </c>
      <c r="E332" t="s">
        <v>500</v>
      </c>
      <c r="K332" s="2">
        <v>0.22638888888888889</v>
      </c>
      <c r="L332" s="4"/>
    </row>
    <row r="333" spans="1:12" x14ac:dyDescent="0.25">
      <c r="A333" s="4">
        <f>INDEX(Albums!$A:$A, MATCH(C333,Albums!$C:$C,0))</f>
        <v>29</v>
      </c>
      <c r="B333" s="4">
        <f>INDEX(Albums!$B:$B, MATCH(C333,Albums!$C:$C,0))</f>
        <v>2003</v>
      </c>
      <c r="C333" t="s">
        <v>11</v>
      </c>
      <c r="D333">
        <v>1</v>
      </c>
      <c r="E333" t="s">
        <v>467</v>
      </c>
      <c r="F333" t="s">
        <v>69</v>
      </c>
      <c r="G333" t="s">
        <v>594</v>
      </c>
      <c r="H333">
        <v>3979862</v>
      </c>
      <c r="J333" t="s">
        <v>69</v>
      </c>
      <c r="L333" s="4" t="str">
        <f>IF(AND(ISNUMBER(H333), COUNTIF([1]Songs!$L:$L,H333)&gt;0),"YES","")</f>
        <v/>
      </c>
    </row>
    <row r="334" spans="1:12" x14ac:dyDescent="0.25">
      <c r="A334" s="4">
        <f>INDEX(Albums!$A:$A, MATCH(C334,Albums!$C:$C,0))</f>
        <v>29</v>
      </c>
      <c r="B334" s="4">
        <f>INDEX(Albums!$B:$B, MATCH(C334,Albums!$C:$C,0))</f>
        <v>2003</v>
      </c>
      <c r="C334" t="s">
        <v>11</v>
      </c>
      <c r="D334">
        <v>2</v>
      </c>
      <c r="E334" t="s">
        <v>468</v>
      </c>
      <c r="F334" t="s">
        <v>55</v>
      </c>
      <c r="G334" t="s">
        <v>360</v>
      </c>
      <c r="H334">
        <v>3744592</v>
      </c>
      <c r="J334" t="s">
        <v>185</v>
      </c>
      <c r="L334" s="4" t="str">
        <f>IF(AND(ISNUMBER(H334), COUNTIF([1]Songs!$L:$L,H334)&gt;0),"YES","")</f>
        <v/>
      </c>
    </row>
    <row r="335" spans="1:12" x14ac:dyDescent="0.25">
      <c r="A335" s="4">
        <f>INDEX(Albums!$A:$A, MATCH(C335,Albums!$C:$C,0))</f>
        <v>29</v>
      </c>
      <c r="B335" s="4">
        <f>INDEX(Albums!$B:$B, MATCH(C335,Albums!$C:$C,0))</f>
        <v>2003</v>
      </c>
      <c r="C335" t="s">
        <v>11</v>
      </c>
      <c r="D335">
        <v>3</v>
      </c>
      <c r="E335" t="s">
        <v>469</v>
      </c>
      <c r="F335" t="s">
        <v>434</v>
      </c>
      <c r="G335" t="s">
        <v>356</v>
      </c>
      <c r="H335">
        <v>3979879</v>
      </c>
      <c r="J335" t="s">
        <v>121</v>
      </c>
      <c r="L335" s="4" t="str">
        <f>IF(AND(ISNUMBER(H335), COUNTIF([1]Songs!$L:$L,H335)&gt;0),"YES","")</f>
        <v/>
      </c>
    </row>
    <row r="336" spans="1:12" x14ac:dyDescent="0.25">
      <c r="A336" s="4">
        <f>INDEX(Albums!$A:$A, MATCH(C336,Albums!$C:$C,0))</f>
        <v>29</v>
      </c>
      <c r="B336" s="4">
        <f>INDEX(Albums!$B:$B, MATCH(C336,Albums!$C:$C,0))</f>
        <v>2003</v>
      </c>
      <c r="C336" t="s">
        <v>11</v>
      </c>
      <c r="D336">
        <v>4</v>
      </c>
      <c r="E336" t="s">
        <v>470</v>
      </c>
      <c r="F336" t="s">
        <v>70</v>
      </c>
      <c r="G336" t="s">
        <v>359</v>
      </c>
      <c r="H336">
        <v>3744585</v>
      </c>
      <c r="J336" t="s">
        <v>121</v>
      </c>
      <c r="L336" s="4" t="str">
        <f>IF(AND(ISNUMBER(H336), COUNTIF([1]Songs!$L:$L,H336)&gt;0),"YES","")</f>
        <v/>
      </c>
    </row>
    <row r="337" spans="1:12" x14ac:dyDescent="0.25">
      <c r="A337" s="4">
        <f>INDEX(Albums!$A:$A, MATCH(C337,Albums!$C:$C,0))</f>
        <v>29</v>
      </c>
      <c r="B337" s="4">
        <f>INDEX(Albums!$B:$B, MATCH(C337,Albums!$C:$C,0))</f>
        <v>2003</v>
      </c>
      <c r="C337" t="s">
        <v>11</v>
      </c>
      <c r="D337">
        <v>5</v>
      </c>
      <c r="E337" t="s">
        <v>471</v>
      </c>
      <c r="F337" t="s">
        <v>121</v>
      </c>
      <c r="G337" t="s">
        <v>355</v>
      </c>
      <c r="H337">
        <v>3951062</v>
      </c>
      <c r="J337" t="s">
        <v>121</v>
      </c>
      <c r="L337" s="4" t="str">
        <f>IF(AND(ISNUMBER(H337), COUNTIF([1]Songs!$L:$L,H337)&gt;0),"YES","")</f>
        <v/>
      </c>
    </row>
    <row r="338" spans="1:12" x14ac:dyDescent="0.25">
      <c r="A338" s="4">
        <f>INDEX(Albums!$A:$A, MATCH(C338,Albums!$C:$C,0))</f>
        <v>29</v>
      </c>
      <c r="B338" s="4">
        <f>INDEX(Albums!$B:$B, MATCH(C338,Albums!$C:$C,0))</f>
        <v>2003</v>
      </c>
      <c r="C338" t="s">
        <v>11</v>
      </c>
      <c r="D338">
        <v>6</v>
      </c>
      <c r="E338" t="s">
        <v>472</v>
      </c>
      <c r="F338" t="s">
        <v>70</v>
      </c>
      <c r="G338" t="s">
        <v>358</v>
      </c>
      <c r="H338">
        <v>3940963</v>
      </c>
      <c r="J338" t="s">
        <v>473</v>
      </c>
      <c r="L338" s="4" t="str">
        <f>IF(AND(ISNUMBER(H338), COUNTIF([1]Songs!$L:$L,H338)&gt;0),"YES","")</f>
        <v>YES</v>
      </c>
    </row>
    <row r="339" spans="1:12" x14ac:dyDescent="0.25">
      <c r="A339" s="4">
        <f>INDEX(Albums!$A:$A, MATCH(C339,Albums!$C:$C,0))</f>
        <v>29</v>
      </c>
      <c r="B339" s="4">
        <f>INDEX(Albums!$B:$B, MATCH(C339,Albums!$C:$C,0))</f>
        <v>2003</v>
      </c>
      <c r="C339" t="s">
        <v>11</v>
      </c>
      <c r="D339">
        <v>7</v>
      </c>
      <c r="E339" t="s">
        <v>474</v>
      </c>
      <c r="F339" t="s">
        <v>76</v>
      </c>
      <c r="G339" t="s">
        <v>360</v>
      </c>
      <c r="H339">
        <v>3979886</v>
      </c>
      <c r="J339" t="s">
        <v>499</v>
      </c>
      <c r="L339" s="4" t="str">
        <f>IF(AND(ISNUMBER(H339), COUNTIF([1]Songs!$L:$L,H339)&gt;0),"YES","")</f>
        <v/>
      </c>
    </row>
    <row r="340" spans="1:12" x14ac:dyDescent="0.25">
      <c r="A340" s="4">
        <f>INDEX(Albums!$A:$A, MATCH(C340,Albums!$C:$C,0))</f>
        <v>29</v>
      </c>
      <c r="B340" s="4">
        <f>INDEX(Albums!$B:$B, MATCH(C340,Albums!$C:$C,0))</f>
        <v>2003</v>
      </c>
      <c r="C340" t="s">
        <v>11</v>
      </c>
      <c r="D340">
        <v>8</v>
      </c>
      <c r="E340" t="s">
        <v>475</v>
      </c>
      <c r="F340" t="s">
        <v>587</v>
      </c>
      <c r="G340" t="s">
        <v>603</v>
      </c>
      <c r="H340">
        <v>3979941</v>
      </c>
      <c r="J340" t="s">
        <v>473</v>
      </c>
      <c r="L340" s="4" t="str">
        <f>IF(AND(ISNUMBER(H340), COUNTIF([1]Songs!$L:$L,H340)&gt;0),"YES","")</f>
        <v/>
      </c>
    </row>
    <row r="341" spans="1:12" x14ac:dyDescent="0.25">
      <c r="A341" s="4">
        <f>INDEX(Albums!$A:$A, MATCH(C341,Albums!$C:$C,0))</f>
        <v>29</v>
      </c>
      <c r="B341" s="4">
        <f>INDEX(Albums!$B:$B, MATCH(C341,Albums!$C:$C,0))</f>
        <v>2003</v>
      </c>
      <c r="C341" t="s">
        <v>11</v>
      </c>
      <c r="D341">
        <v>9</v>
      </c>
      <c r="E341" t="s">
        <v>476</v>
      </c>
      <c r="F341" t="s">
        <v>477</v>
      </c>
      <c r="G341" t="s">
        <v>357</v>
      </c>
      <c r="H341">
        <v>3988767</v>
      </c>
      <c r="I341" s="7" t="s">
        <v>611</v>
      </c>
      <c r="J341" t="s">
        <v>121</v>
      </c>
      <c r="L341" s="4" t="str">
        <f>IF(AND(ISNUMBER(H341), COUNTIF([1]Songs!$L:$L,H341)&gt;0),"YES","")</f>
        <v/>
      </c>
    </row>
    <row r="342" spans="1:12" x14ac:dyDescent="0.25">
      <c r="A342" s="4">
        <f>INDEX(Albums!$A:$A, MATCH(C342,Albums!$C:$C,0))</f>
        <v>29</v>
      </c>
      <c r="B342" s="4">
        <f>INDEX(Albums!$B:$B, MATCH(C342,Albums!$C:$C,0))</f>
        <v>2003</v>
      </c>
      <c r="C342" t="s">
        <v>11</v>
      </c>
      <c r="D342">
        <v>10</v>
      </c>
      <c r="E342" t="s">
        <v>478</v>
      </c>
      <c r="F342" t="s">
        <v>479</v>
      </c>
      <c r="G342" t="s">
        <v>360</v>
      </c>
      <c r="H342" t="s">
        <v>606</v>
      </c>
      <c r="I342" s="7" t="s">
        <v>611</v>
      </c>
      <c r="J342" t="s">
        <v>576</v>
      </c>
      <c r="L342" s="4" t="str">
        <f>IF(AND(ISNUMBER(H342), COUNTIF([1]Songs!$L:$L,H342)&gt;0),"YES","")</f>
        <v/>
      </c>
    </row>
    <row r="343" spans="1:12" x14ac:dyDescent="0.25">
      <c r="A343" s="4">
        <f>INDEX(Albums!$A:$A, MATCH(C343,Albums!$C:$C,0))</f>
        <v>29</v>
      </c>
      <c r="B343" s="4">
        <f>INDEX(Albums!$B:$B, MATCH(C343,Albums!$C:$C,0))</f>
        <v>2003</v>
      </c>
      <c r="C343" t="s">
        <v>11</v>
      </c>
      <c r="D343">
        <v>11</v>
      </c>
      <c r="E343" t="s">
        <v>480</v>
      </c>
      <c r="F343" t="s">
        <v>70</v>
      </c>
      <c r="G343" t="s">
        <v>358</v>
      </c>
      <c r="H343">
        <v>3979958</v>
      </c>
      <c r="J343" t="s">
        <v>121</v>
      </c>
      <c r="L343" s="4" t="str">
        <f>IF(AND(ISNUMBER(H343), COUNTIF([1]Songs!$L:$L,H343)&gt;0),"YES","")</f>
        <v/>
      </c>
    </row>
    <row r="344" spans="1:12" x14ac:dyDescent="0.25">
      <c r="A344" s="4">
        <f>INDEX(Albums!$A:$A, MATCH(C344,Albums!$C:$C,0))</f>
        <v>29</v>
      </c>
      <c r="B344" s="4">
        <f>INDEX(Albums!$B:$B, MATCH(C344,Albums!$C:$C,0))</f>
        <v>2003</v>
      </c>
      <c r="C344" t="s">
        <v>11</v>
      </c>
      <c r="D344">
        <v>12</v>
      </c>
      <c r="E344" t="s">
        <v>481</v>
      </c>
      <c r="F344" t="s">
        <v>69</v>
      </c>
      <c r="G344" t="s">
        <v>607</v>
      </c>
      <c r="H344">
        <v>3979972</v>
      </c>
      <c r="J344" t="s">
        <v>121</v>
      </c>
      <c r="L344" s="4" t="str">
        <f>IF(AND(ISNUMBER(H344), COUNTIF([1]Songs!$L:$L,H344)&gt;0),"YES","")</f>
        <v/>
      </c>
    </row>
    <row r="345" spans="1:12" x14ac:dyDescent="0.25">
      <c r="A345" s="4">
        <f>INDEX(Albums!$A:$A, MATCH(C345,Albums!$C:$C,0))</f>
        <v>29</v>
      </c>
      <c r="B345" s="4">
        <f>INDEX(Albums!$B:$B, MATCH(C345,Albums!$C:$C,0))</f>
        <v>2003</v>
      </c>
      <c r="C345" t="s">
        <v>11</v>
      </c>
      <c r="D345">
        <v>13</v>
      </c>
      <c r="E345" t="s">
        <v>482</v>
      </c>
      <c r="F345" t="s">
        <v>577</v>
      </c>
      <c r="G345" t="s">
        <v>358</v>
      </c>
      <c r="H345">
        <v>3988750</v>
      </c>
      <c r="J345" t="s">
        <v>483</v>
      </c>
      <c r="L345" s="4" t="str">
        <f>IF(AND(ISNUMBER(H345), COUNTIF([1]Songs!$L:$L,H345)&gt;0),"YES","")</f>
        <v/>
      </c>
    </row>
    <row r="346" spans="1:12" x14ac:dyDescent="0.25">
      <c r="A346" s="4">
        <f>INDEX(Albums!$A:$A, MATCH(C346,Albums!$C:$C,0))</f>
        <v>29</v>
      </c>
      <c r="B346" s="4">
        <f>INDEX(Albums!$B:$B, MATCH(C346,Albums!$C:$C,0))</f>
        <v>2003</v>
      </c>
      <c r="C346" t="s">
        <v>11</v>
      </c>
      <c r="D346">
        <v>14</v>
      </c>
      <c r="E346" t="s">
        <v>484</v>
      </c>
      <c r="F346" t="s">
        <v>187</v>
      </c>
      <c r="G346" t="s">
        <v>357</v>
      </c>
      <c r="H346">
        <v>3713901</v>
      </c>
      <c r="J346" t="s">
        <v>578</v>
      </c>
      <c r="L346" s="4" t="str">
        <f>IF(AND(ISNUMBER(H346), COUNTIF([1]Songs!$L:$L,H346)&gt;0),"YES","")</f>
        <v/>
      </c>
    </row>
    <row r="347" spans="1:12" x14ac:dyDescent="0.25">
      <c r="A347" s="4">
        <f>INDEX(Albums!$A:$A, MATCH(C347,Albums!$C:$C,0))</f>
        <v>29</v>
      </c>
      <c r="B347" s="4">
        <f>INDEX(Albums!$B:$B, MATCH(C347,Albums!$C:$C,0))</f>
        <v>2003</v>
      </c>
      <c r="C347" t="s">
        <v>11</v>
      </c>
      <c r="D347">
        <v>15</v>
      </c>
      <c r="E347" t="s">
        <v>485</v>
      </c>
      <c r="F347" t="s">
        <v>486</v>
      </c>
      <c r="G347" t="s">
        <v>358</v>
      </c>
      <c r="H347">
        <v>3979965</v>
      </c>
      <c r="J347" t="s">
        <v>579</v>
      </c>
      <c r="L347" s="4" t="str">
        <f>IF(AND(ISNUMBER(H347), COUNTIF([1]Songs!$L:$L,H347)&gt;0),"YES","")</f>
        <v/>
      </c>
    </row>
    <row r="348" spans="1:12" x14ac:dyDescent="0.25">
      <c r="A348" s="4">
        <f>INDEX(Albums!$A:$A, MATCH(C348,Albums!$C:$C,0))</f>
        <v>29</v>
      </c>
      <c r="B348" s="4">
        <f>INDEX(Albums!$B:$B, MATCH(C348,Albums!$C:$C,0))</f>
        <v>2003</v>
      </c>
      <c r="C348" t="s">
        <v>11</v>
      </c>
      <c r="D348">
        <v>16</v>
      </c>
      <c r="E348" t="s">
        <v>487</v>
      </c>
      <c r="F348" t="s">
        <v>588</v>
      </c>
      <c r="G348" t="s">
        <v>356</v>
      </c>
      <c r="H348">
        <v>3744578</v>
      </c>
      <c r="J348" t="s">
        <v>69</v>
      </c>
      <c r="L348" s="4" t="str">
        <f>IF(AND(ISNUMBER(H348), COUNTIF([1]Songs!$L:$L,H348)&gt;0),"YES","")</f>
        <v/>
      </c>
    </row>
    <row r="349" spans="1:12" x14ac:dyDescent="0.25">
      <c r="A349" s="4">
        <f>INDEX(Albums!$A:$A, MATCH(C349,Albums!$C:$C,0))</f>
        <v>29</v>
      </c>
      <c r="B349" s="4">
        <f>INDEX(Albums!$B:$B, MATCH(C349,Albums!$C:$C,0))</f>
        <v>2003</v>
      </c>
      <c r="C349" t="s">
        <v>11</v>
      </c>
      <c r="D349">
        <v>17</v>
      </c>
      <c r="E349" t="s">
        <v>488</v>
      </c>
      <c r="F349" t="s">
        <v>76</v>
      </c>
      <c r="G349" t="s">
        <v>362</v>
      </c>
      <c r="H349">
        <v>3744547</v>
      </c>
      <c r="J349" t="s">
        <v>489</v>
      </c>
      <c r="L349" s="4" t="str">
        <f>IF(AND(ISNUMBER(H349), COUNTIF([1]Songs!$L:$L,H349)&gt;0),"YES","")</f>
        <v/>
      </c>
    </row>
    <row r="350" spans="1:12" x14ac:dyDescent="0.25">
      <c r="A350" s="4">
        <f>INDEX(Albums!$A:$A, MATCH(C350,Albums!$C:$C,0))</f>
        <v>29</v>
      </c>
      <c r="B350" s="4">
        <f>INDEX(Albums!$B:$B, MATCH(C350,Albums!$C:$C,0))</f>
        <v>2003</v>
      </c>
      <c r="C350" t="s">
        <v>11</v>
      </c>
      <c r="D350">
        <v>18</v>
      </c>
      <c r="E350" t="s">
        <v>480</v>
      </c>
      <c r="F350" t="s">
        <v>490</v>
      </c>
      <c r="G350" t="s">
        <v>358</v>
      </c>
      <c r="H350">
        <v>3979958</v>
      </c>
      <c r="I350" s="7" t="s">
        <v>610</v>
      </c>
      <c r="J350" t="s">
        <v>121</v>
      </c>
      <c r="L350" s="4" t="str">
        <f>IF(AND(ISNUMBER(H350), COUNTIF([1]Songs!$L:$L,H350)&gt;0),"YES","")</f>
        <v/>
      </c>
    </row>
    <row r="351" spans="1:12" x14ac:dyDescent="0.25">
      <c r="A351" s="4">
        <f>INDEX(Albums!$A:$A, MATCH(C351,Albums!$C:$C,0))</f>
        <v>31</v>
      </c>
      <c r="B351" s="4">
        <f>INDEX(Albums!$B:$B, MATCH(C351,Albums!$C:$C,0))</f>
        <v>2004</v>
      </c>
      <c r="C351" t="s">
        <v>12</v>
      </c>
      <c r="D351">
        <v>1</v>
      </c>
      <c r="E351" t="s">
        <v>12</v>
      </c>
      <c r="F351" t="s">
        <v>55</v>
      </c>
      <c r="G351" t="s">
        <v>360</v>
      </c>
      <c r="H351">
        <v>4254689</v>
      </c>
      <c r="J351" t="s">
        <v>185</v>
      </c>
      <c r="L351" s="4" t="str">
        <f>IF(AND(ISNUMBER(H351), COUNTIF([1]Songs!$L:$L,H351)&gt;0),"YES","")</f>
        <v/>
      </c>
    </row>
    <row r="352" spans="1:12" x14ac:dyDescent="0.25">
      <c r="A352" s="4">
        <f>INDEX(Albums!$A:$A, MATCH(C352,Albums!$C:$C,0))</f>
        <v>31</v>
      </c>
      <c r="B352" s="4">
        <f>INDEX(Albums!$B:$B, MATCH(C352,Albums!$C:$C,0))</f>
        <v>2004</v>
      </c>
      <c r="C352" t="s">
        <v>12</v>
      </c>
      <c r="D352">
        <v>2</v>
      </c>
      <c r="E352" t="s">
        <v>453</v>
      </c>
      <c r="F352" t="s">
        <v>584</v>
      </c>
      <c r="G352" t="s">
        <v>362</v>
      </c>
      <c r="H352">
        <v>4222082</v>
      </c>
      <c r="J352" t="s">
        <v>585</v>
      </c>
      <c r="L352" s="4" t="str">
        <f>IF(AND(ISNUMBER(H352), COUNTIF([1]Songs!$L:$L,H352)&gt;0),"YES","")</f>
        <v/>
      </c>
    </row>
    <row r="353" spans="1:12" x14ac:dyDescent="0.25">
      <c r="A353" s="4">
        <f>INDEX(Albums!$A:$A, MATCH(C353,Albums!$C:$C,0))</f>
        <v>31</v>
      </c>
      <c r="B353" s="4">
        <f>INDEX(Albums!$B:$B, MATCH(C353,Albums!$C:$C,0))</f>
        <v>2004</v>
      </c>
      <c r="C353" t="s">
        <v>12</v>
      </c>
      <c r="D353">
        <v>3</v>
      </c>
      <c r="E353" t="s">
        <v>454</v>
      </c>
      <c r="F353" t="s">
        <v>58</v>
      </c>
      <c r="G353" t="s">
        <v>356</v>
      </c>
      <c r="H353">
        <v>4222116</v>
      </c>
      <c r="J353" t="s">
        <v>444</v>
      </c>
      <c r="L353" s="4" t="str">
        <f>IF(AND(ISNUMBER(H353), COUNTIF([1]Songs!$L:$L,H353)&gt;0),"YES","")</f>
        <v/>
      </c>
    </row>
    <row r="354" spans="1:12" x14ac:dyDescent="0.25">
      <c r="A354" s="4">
        <f>INDEX(Albums!$A:$A, MATCH(C354,Albums!$C:$C,0))</f>
        <v>31</v>
      </c>
      <c r="B354" s="4">
        <f>INDEX(Albums!$B:$B, MATCH(C354,Albums!$C:$C,0))</f>
        <v>2004</v>
      </c>
      <c r="C354" t="s">
        <v>12</v>
      </c>
      <c r="D354">
        <v>4</v>
      </c>
      <c r="E354" t="s">
        <v>455</v>
      </c>
      <c r="F354" t="s">
        <v>55</v>
      </c>
      <c r="G354" t="s">
        <v>355</v>
      </c>
      <c r="H354">
        <v>4257734</v>
      </c>
      <c r="J354" t="s">
        <v>185</v>
      </c>
      <c r="L354" s="4" t="str">
        <f>IF(AND(ISNUMBER(H354), COUNTIF([1]Songs!$L:$L,H354)&gt;0),"YES","")</f>
        <v/>
      </c>
    </row>
    <row r="355" spans="1:12" x14ac:dyDescent="0.25">
      <c r="A355" s="4">
        <f>INDEX(Albums!$A:$A, MATCH(C355,Albums!$C:$C,0))</f>
        <v>31</v>
      </c>
      <c r="B355" s="4">
        <f>INDEX(Albums!$B:$B, MATCH(C355,Albums!$C:$C,0))</f>
        <v>2004</v>
      </c>
      <c r="C355" t="s">
        <v>12</v>
      </c>
      <c r="D355">
        <v>5</v>
      </c>
      <c r="E355" t="s">
        <v>612</v>
      </c>
      <c r="F355" t="s">
        <v>55</v>
      </c>
      <c r="G355" t="s">
        <v>359</v>
      </c>
      <c r="H355">
        <v>4222075</v>
      </c>
      <c r="J355" t="s">
        <v>506</v>
      </c>
      <c r="L355" s="4" t="str">
        <f>IF(AND(ISNUMBER(H355), COUNTIF([1]Songs!$L:$L,H355)&gt;0),"YES","")</f>
        <v/>
      </c>
    </row>
    <row r="356" spans="1:12" x14ac:dyDescent="0.25">
      <c r="A356" s="4">
        <f>INDEX(Albums!$A:$A, MATCH(C356,Albums!$C:$C,0))</f>
        <v>31</v>
      </c>
      <c r="B356" s="4">
        <f>INDEX(Albums!$B:$B, MATCH(C356,Albums!$C:$C,0))</f>
        <v>2004</v>
      </c>
      <c r="C356" t="s">
        <v>12</v>
      </c>
      <c r="D356">
        <v>6</v>
      </c>
      <c r="E356" t="s">
        <v>457</v>
      </c>
      <c r="F356" t="s">
        <v>583</v>
      </c>
      <c r="G356" t="s">
        <v>358</v>
      </c>
      <c r="H356">
        <v>4257741</v>
      </c>
      <c r="J356" t="s">
        <v>544</v>
      </c>
      <c r="L356" s="4" t="str">
        <f>IF(AND(ISNUMBER(H356), COUNTIF([1]Songs!$L:$L,H356)&gt;0),"YES","")</f>
        <v/>
      </c>
    </row>
    <row r="357" spans="1:12" x14ac:dyDescent="0.25">
      <c r="A357" s="4">
        <f>INDEX(Albums!$A:$A, MATCH(C357,Albums!$C:$C,0))</f>
        <v>31</v>
      </c>
      <c r="B357" s="4">
        <f>INDEX(Albums!$B:$B, MATCH(C357,Albums!$C:$C,0))</f>
        <v>2004</v>
      </c>
      <c r="C357" t="s">
        <v>12</v>
      </c>
      <c r="D357">
        <v>7</v>
      </c>
      <c r="E357" t="s">
        <v>458</v>
      </c>
      <c r="F357" t="s">
        <v>121</v>
      </c>
      <c r="G357" t="s">
        <v>356</v>
      </c>
      <c r="H357">
        <v>4257727</v>
      </c>
      <c r="J357" t="s">
        <v>121</v>
      </c>
      <c r="L357" s="4" t="str">
        <f>IF(AND(ISNUMBER(H357), COUNTIF([1]Songs!$L:$L,H357)&gt;0),"YES","")</f>
        <v/>
      </c>
    </row>
    <row r="358" spans="1:12" x14ac:dyDescent="0.25">
      <c r="A358" s="4">
        <f>INDEX(Albums!$A:$A, MATCH(C358,Albums!$C:$C,0))</f>
        <v>31</v>
      </c>
      <c r="B358" s="4">
        <f>INDEX(Albums!$B:$B, MATCH(C358,Albums!$C:$C,0))</f>
        <v>2004</v>
      </c>
      <c r="C358" t="s">
        <v>12</v>
      </c>
      <c r="D358">
        <v>8</v>
      </c>
      <c r="E358" t="s">
        <v>459</v>
      </c>
      <c r="F358" t="s">
        <v>69</v>
      </c>
      <c r="G358" t="s">
        <v>356</v>
      </c>
      <c r="H358">
        <v>4257758</v>
      </c>
      <c r="J358" t="s">
        <v>69</v>
      </c>
      <c r="L358" s="4" t="str">
        <f>IF(AND(ISNUMBER(H358), COUNTIF([1]Songs!$L:$L,H358)&gt;0),"YES","")</f>
        <v/>
      </c>
    </row>
    <row r="359" spans="1:12" x14ac:dyDescent="0.25">
      <c r="A359" s="4">
        <f>INDEX(Albums!$A:$A, MATCH(C359,Albums!$C:$C,0))</f>
        <v>31</v>
      </c>
      <c r="B359" s="4">
        <f>INDEX(Albums!$B:$B, MATCH(C359,Albums!$C:$C,0))</f>
        <v>2004</v>
      </c>
      <c r="C359" t="s">
        <v>12</v>
      </c>
      <c r="D359">
        <v>9</v>
      </c>
      <c r="E359" t="s">
        <v>460</v>
      </c>
      <c r="F359" t="s">
        <v>434</v>
      </c>
      <c r="G359" t="s">
        <v>600</v>
      </c>
      <c r="H359">
        <v>4257765</v>
      </c>
      <c r="J359" t="s">
        <v>545</v>
      </c>
      <c r="L359" s="4" t="str">
        <f>IF(AND(ISNUMBER(H359), COUNTIF([1]Songs!$L:$L,H359)&gt;0),"YES","")</f>
        <v/>
      </c>
    </row>
    <row r="360" spans="1:12" x14ac:dyDescent="0.25">
      <c r="A360" s="4">
        <f>INDEX(Albums!$A:$A, MATCH(C360,Albums!$C:$C,0))</f>
        <v>31</v>
      </c>
      <c r="B360" s="4">
        <f>INDEX(Albums!$B:$B, MATCH(C360,Albums!$C:$C,0))</f>
        <v>2004</v>
      </c>
      <c r="C360" t="s">
        <v>12</v>
      </c>
      <c r="D360">
        <v>10</v>
      </c>
      <c r="E360" t="s">
        <v>461</v>
      </c>
      <c r="F360" t="s">
        <v>434</v>
      </c>
      <c r="G360" t="s">
        <v>357</v>
      </c>
      <c r="H360">
        <v>4222099</v>
      </c>
      <c r="J360" t="s">
        <v>483</v>
      </c>
      <c r="L360" s="4" t="str">
        <f>IF(AND(ISNUMBER(H360), COUNTIF([1]Songs!$L:$L,H360)&gt;0),"YES","")</f>
        <v/>
      </c>
    </row>
    <row r="361" spans="1:12" x14ac:dyDescent="0.25">
      <c r="A361" s="4">
        <f>INDEX(Albums!$A:$A, MATCH(C361,Albums!$C:$C,0))</f>
        <v>31</v>
      </c>
      <c r="B361" s="4">
        <f>INDEX(Albums!$B:$B, MATCH(C361,Albums!$C:$C,0))</f>
        <v>2004</v>
      </c>
      <c r="C361" t="s">
        <v>12</v>
      </c>
      <c r="D361">
        <v>11</v>
      </c>
      <c r="E361" t="s">
        <v>462</v>
      </c>
      <c r="F361" t="s">
        <v>187</v>
      </c>
      <c r="G361" t="s">
        <v>356</v>
      </c>
      <c r="H361">
        <v>4257772</v>
      </c>
      <c r="J361" t="s">
        <v>187</v>
      </c>
      <c r="L361" s="4" t="str">
        <f>IF(AND(ISNUMBER(H361), COUNTIF([1]Songs!$L:$L,H361)&gt;0),"YES","")</f>
        <v/>
      </c>
    </row>
    <row r="362" spans="1:12" x14ac:dyDescent="0.25">
      <c r="A362" s="4">
        <f>INDEX(Albums!$A:$A, MATCH(C362,Albums!$C:$C,0))</f>
        <v>31</v>
      </c>
      <c r="B362" s="4">
        <f>INDEX(Albums!$B:$B, MATCH(C362,Albums!$C:$C,0))</f>
        <v>2004</v>
      </c>
      <c r="C362" t="s">
        <v>12</v>
      </c>
      <c r="D362">
        <v>12</v>
      </c>
      <c r="E362" t="s">
        <v>463</v>
      </c>
      <c r="F362" t="s">
        <v>69</v>
      </c>
      <c r="G362" t="s">
        <v>359</v>
      </c>
      <c r="H362">
        <v>4120029</v>
      </c>
      <c r="J362" t="s">
        <v>444</v>
      </c>
      <c r="L362" s="4" t="str">
        <f>IF(AND(ISNUMBER(H362), COUNTIF([1]Songs!$L:$L,H362)&gt;0),"YES","")</f>
        <v/>
      </c>
    </row>
    <row r="363" spans="1:12" x14ac:dyDescent="0.25">
      <c r="A363" s="4">
        <f>INDEX(Albums!$A:$A, MATCH(C363,Albums!$C:$C,0))</f>
        <v>31</v>
      </c>
      <c r="B363" s="4">
        <f>INDEX(Albums!$B:$B, MATCH(C363,Albums!$C:$C,0))</f>
        <v>2004</v>
      </c>
      <c r="C363" t="s">
        <v>12</v>
      </c>
      <c r="D363">
        <v>13</v>
      </c>
      <c r="E363" t="s">
        <v>464</v>
      </c>
      <c r="F363" t="s">
        <v>55</v>
      </c>
      <c r="G363" t="s">
        <v>356</v>
      </c>
      <c r="H363">
        <v>4222051</v>
      </c>
      <c r="J363" t="s">
        <v>573</v>
      </c>
      <c r="L363" s="4" t="str">
        <f>IF(AND(ISNUMBER(H363), COUNTIF([1]Songs!$L:$L,H363)&gt;0),"YES","")</f>
        <v/>
      </c>
    </row>
    <row r="364" spans="1:12" x14ac:dyDescent="0.25">
      <c r="A364" s="4">
        <f>INDEX(Albums!$A:$A, MATCH(C364,Albums!$C:$C,0))</f>
        <v>31</v>
      </c>
      <c r="B364" s="4">
        <f>INDEX(Albums!$B:$B, MATCH(C364,Albums!$C:$C,0))</f>
        <v>2004</v>
      </c>
      <c r="C364" t="s">
        <v>12</v>
      </c>
      <c r="D364">
        <v>14</v>
      </c>
      <c r="E364" t="s">
        <v>465</v>
      </c>
      <c r="F364" t="s">
        <v>574</v>
      </c>
      <c r="G364" t="s">
        <v>359</v>
      </c>
      <c r="H364">
        <v>4257789</v>
      </c>
      <c r="J364" t="s">
        <v>121</v>
      </c>
      <c r="L364" s="4" t="str">
        <f>IF(AND(ISNUMBER(H364), COUNTIF([1]Songs!$L:$L,H364)&gt;0),"YES","")</f>
        <v/>
      </c>
    </row>
    <row r="365" spans="1:12" x14ac:dyDescent="0.25">
      <c r="A365" s="4">
        <f>INDEX(Albums!$A:$A, MATCH(C365,Albums!$C:$C,0))</f>
        <v>31</v>
      </c>
      <c r="B365" s="4">
        <f>INDEX(Albums!$B:$B, MATCH(C365,Albums!$C:$C,0))</f>
        <v>2004</v>
      </c>
      <c r="C365" t="s">
        <v>12</v>
      </c>
      <c r="D365">
        <v>15</v>
      </c>
      <c r="E365" t="s">
        <v>466</v>
      </c>
      <c r="F365" t="s">
        <v>55</v>
      </c>
      <c r="G365" t="s">
        <v>356</v>
      </c>
      <c r="H365">
        <v>4257796</v>
      </c>
      <c r="J365" t="s">
        <v>575</v>
      </c>
      <c r="L365" s="4" t="str">
        <f>IF(AND(ISNUMBER(H365), COUNTIF([1]Songs!$L:$L,H365)&gt;0),"YES","")</f>
        <v/>
      </c>
    </row>
    <row r="366" spans="1:12" x14ac:dyDescent="0.25">
      <c r="A366" s="4">
        <f>INDEX(Albums!$A:$A, MATCH(C366,Albums!$C:$C,0))</f>
        <v>32</v>
      </c>
      <c r="B366" s="4">
        <f>INDEX(Albums!$B:$B, MATCH(C366,Albums!$C:$C,0))</f>
        <v>2004</v>
      </c>
      <c r="C366" t="s">
        <v>464</v>
      </c>
      <c r="D366">
        <v>1</v>
      </c>
      <c r="E366" t="s">
        <v>453</v>
      </c>
      <c r="F366" t="s">
        <v>729</v>
      </c>
      <c r="J366" t="s">
        <v>768</v>
      </c>
      <c r="K366" s="2">
        <v>0.17152777777777775</v>
      </c>
      <c r="L366" t="str">
        <f>IF(AND(ISNUMBER(H366), COUNTIF([1]Songs!$L:$L,H366)&gt;0),"YES","")</f>
        <v/>
      </c>
    </row>
    <row r="367" spans="1:12" x14ac:dyDescent="0.25">
      <c r="A367" s="4">
        <f>INDEX(Albums!$A:$A, MATCH(C367,Albums!$C:$C,0))</f>
        <v>32</v>
      </c>
      <c r="B367" s="4">
        <f>INDEX(Albums!$B:$B, MATCH(C367,Albums!$C:$C,0))</f>
        <v>2004</v>
      </c>
      <c r="C367" t="s">
        <v>464</v>
      </c>
      <c r="D367">
        <v>2</v>
      </c>
      <c r="E367" t="s">
        <v>861</v>
      </c>
      <c r="F367" t="s">
        <v>69</v>
      </c>
      <c r="J367" t="s">
        <v>69</v>
      </c>
      <c r="K367" s="2">
        <v>0.15138888888888888</v>
      </c>
      <c r="L367" t="str">
        <f>IF(AND(ISNUMBER(H367), COUNTIF([1]Songs!$L:$L,H367)&gt;0),"YES","")</f>
        <v/>
      </c>
    </row>
    <row r="368" spans="1:12" x14ac:dyDescent="0.25">
      <c r="A368" s="4">
        <f>INDEX(Albums!$A:$A, MATCH(C368,Albums!$C:$C,0))</f>
        <v>32</v>
      </c>
      <c r="B368" s="4">
        <f>INDEX(Albums!$B:$B, MATCH(C368,Albums!$C:$C,0))</f>
        <v>2004</v>
      </c>
      <c r="C368" t="s">
        <v>464</v>
      </c>
      <c r="D368">
        <v>3</v>
      </c>
      <c r="E368" t="s">
        <v>454</v>
      </c>
      <c r="F368" t="s">
        <v>672</v>
      </c>
      <c r="J368" t="s">
        <v>58</v>
      </c>
      <c r="K368" s="2">
        <v>0.18819444444444444</v>
      </c>
      <c r="L368" t="str">
        <f>IF(AND(ISNUMBER(H368), COUNTIF([1]Songs!$L:$L,H368)&gt;0),"YES","")</f>
        <v/>
      </c>
    </row>
    <row r="369" spans="1:12" x14ac:dyDescent="0.25">
      <c r="A369" s="4">
        <f>INDEX(Albums!$A:$A, MATCH(C369,Albums!$C:$C,0))</f>
        <v>32</v>
      </c>
      <c r="B369" s="4">
        <f>INDEX(Albums!$B:$B, MATCH(C369,Albums!$C:$C,0))</f>
        <v>2004</v>
      </c>
      <c r="C369" t="s">
        <v>464</v>
      </c>
      <c r="D369">
        <v>4</v>
      </c>
      <c r="E369" t="s">
        <v>862</v>
      </c>
      <c r="F369" t="s">
        <v>672</v>
      </c>
      <c r="J369" t="s">
        <v>769</v>
      </c>
      <c r="K369" s="2">
        <v>0.17152777777777775</v>
      </c>
      <c r="L369" t="str">
        <f>IF(AND(ISNUMBER(H369), COUNTIF([1]Songs!$L:$L,H369)&gt;0),"YES","")</f>
        <v/>
      </c>
    </row>
    <row r="370" spans="1:12" x14ac:dyDescent="0.25">
      <c r="A370" s="4">
        <f>INDEX(Albums!$A:$A, MATCH(C370,Albums!$C:$C,0))</f>
        <v>32</v>
      </c>
      <c r="B370" s="4">
        <f>INDEX(Albums!$B:$B, MATCH(C370,Albums!$C:$C,0))</f>
        <v>2004</v>
      </c>
      <c r="C370" t="s">
        <v>464</v>
      </c>
      <c r="D370">
        <v>5</v>
      </c>
      <c r="E370" t="s">
        <v>463</v>
      </c>
      <c r="F370" t="s">
        <v>76</v>
      </c>
      <c r="J370" t="s">
        <v>69</v>
      </c>
      <c r="K370" s="2">
        <v>0.30624999999999997</v>
      </c>
      <c r="L370" t="str">
        <f>IF(AND(ISNUMBER(H370), COUNTIF([1]Songs!$L:$L,H370)&gt;0),"YES","")</f>
        <v/>
      </c>
    </row>
    <row r="371" spans="1:12" x14ac:dyDescent="0.25">
      <c r="A371" s="4">
        <f>INDEX(Albums!$A:$A, MATCH(C371,Albums!$C:$C,0))</f>
        <v>32</v>
      </c>
      <c r="B371" s="4">
        <f>INDEX(Albums!$B:$B, MATCH(C371,Albums!$C:$C,0))</f>
        <v>2004</v>
      </c>
      <c r="C371" t="s">
        <v>464</v>
      </c>
      <c r="D371">
        <v>6</v>
      </c>
      <c r="E371" t="s">
        <v>863</v>
      </c>
      <c r="F371" t="s">
        <v>775</v>
      </c>
      <c r="J371" t="s">
        <v>69</v>
      </c>
      <c r="K371" s="2">
        <v>5.9027777777777783E-2</v>
      </c>
      <c r="L371" t="str">
        <f>IF(AND(ISNUMBER(H371), COUNTIF([1]Songs!$L:$L,H371)&gt;0),"YES","")</f>
        <v/>
      </c>
    </row>
    <row r="372" spans="1:12" x14ac:dyDescent="0.25">
      <c r="A372" s="4">
        <f>INDEX(Albums!$A:$A, MATCH(C372,Albums!$C:$C,0))</f>
        <v>32</v>
      </c>
      <c r="B372" s="4">
        <f>INDEX(Albums!$B:$B, MATCH(C372,Albums!$C:$C,0))</f>
        <v>2004</v>
      </c>
      <c r="C372" t="s">
        <v>464</v>
      </c>
      <c r="D372">
        <v>7</v>
      </c>
      <c r="E372" t="s">
        <v>864</v>
      </c>
      <c r="F372" t="s">
        <v>78</v>
      </c>
      <c r="J372" t="s">
        <v>770</v>
      </c>
      <c r="K372" s="2">
        <v>0.27638888888888885</v>
      </c>
      <c r="L372" t="str">
        <f>IF(AND(ISNUMBER(H372), COUNTIF([1]Songs!$L:$L,H372)&gt;0),"YES","")</f>
        <v/>
      </c>
    </row>
    <row r="373" spans="1:12" x14ac:dyDescent="0.25">
      <c r="A373" s="4">
        <f>INDEX(Albums!$A:$A, MATCH(C373,Albums!$C:$C,0))</f>
        <v>32</v>
      </c>
      <c r="B373" s="4">
        <f>INDEX(Albums!$B:$B, MATCH(C373,Albums!$C:$C,0))</f>
        <v>2004</v>
      </c>
      <c r="C373" t="s">
        <v>464</v>
      </c>
      <c r="D373">
        <v>8</v>
      </c>
      <c r="E373" t="s">
        <v>612</v>
      </c>
      <c r="F373" t="s">
        <v>55</v>
      </c>
      <c r="J373" t="s">
        <v>771</v>
      </c>
      <c r="K373" s="2">
        <v>0.3215277777777778</v>
      </c>
      <c r="L373" t="str">
        <f>IF(AND(ISNUMBER(H373), COUNTIF([1]Songs!$L:$L,H373)&gt;0),"YES","")</f>
        <v/>
      </c>
    </row>
    <row r="374" spans="1:12" x14ac:dyDescent="0.25">
      <c r="A374" s="4">
        <f>INDEX(Albums!$A:$A, MATCH(C374,Albums!$C:$C,0))</f>
        <v>32</v>
      </c>
      <c r="B374" s="4">
        <f>INDEX(Albums!$B:$B, MATCH(C374,Albums!$C:$C,0))</f>
        <v>2004</v>
      </c>
      <c r="C374" t="s">
        <v>464</v>
      </c>
      <c r="D374">
        <v>9</v>
      </c>
      <c r="E374" t="s">
        <v>835</v>
      </c>
      <c r="F374" t="s">
        <v>672</v>
      </c>
      <c r="J374" t="s">
        <v>58</v>
      </c>
      <c r="K374" s="2">
        <v>0.25763888888888892</v>
      </c>
      <c r="L374" t="str">
        <f>IF(AND(ISNUMBER(H374), COUNTIF([1]Songs!$L:$L,H374)&gt;0),"YES","")</f>
        <v/>
      </c>
    </row>
    <row r="375" spans="1:12" x14ac:dyDescent="0.25">
      <c r="A375" s="4">
        <f>INDEX(Albums!$A:$A, MATCH(C375,Albums!$C:$C,0))</f>
        <v>32</v>
      </c>
      <c r="B375" s="4">
        <f>INDEX(Albums!$B:$B, MATCH(C375,Albums!$C:$C,0))</f>
        <v>2004</v>
      </c>
      <c r="C375" t="s">
        <v>464</v>
      </c>
      <c r="D375">
        <v>10</v>
      </c>
      <c r="E375" t="s">
        <v>865</v>
      </c>
      <c r="F375" t="s">
        <v>772</v>
      </c>
      <c r="J375" t="s">
        <v>772</v>
      </c>
      <c r="K375" s="2">
        <v>0.33124999999999999</v>
      </c>
      <c r="L375" t="str">
        <f>IF(AND(ISNUMBER(H375), COUNTIF([1]Songs!$L:$L,H375)&gt;0),"YES","")</f>
        <v/>
      </c>
    </row>
    <row r="376" spans="1:12" x14ac:dyDescent="0.25">
      <c r="A376" s="4">
        <f>INDEX(Albums!$A:$A, MATCH(C376,Albums!$C:$C,0))</f>
        <v>32</v>
      </c>
      <c r="B376" s="4">
        <f>INDEX(Albums!$B:$B, MATCH(C376,Albums!$C:$C,0))</f>
        <v>2004</v>
      </c>
      <c r="C376" t="s">
        <v>464</v>
      </c>
      <c r="D376">
        <v>11</v>
      </c>
      <c r="E376" t="s">
        <v>464</v>
      </c>
      <c r="F376" t="s">
        <v>70</v>
      </c>
      <c r="J376" t="s">
        <v>69</v>
      </c>
      <c r="K376" s="2">
        <v>0.28541666666666665</v>
      </c>
      <c r="L376" t="str">
        <f>IF(AND(ISNUMBER(H376), COUNTIF([1]Songs!$L:$L,H376)&gt;0),"YES","")</f>
        <v/>
      </c>
    </row>
    <row r="377" spans="1:12" x14ac:dyDescent="0.25">
      <c r="A377" s="4">
        <f>INDEX(Albums!$A:$A, MATCH(C377,Albums!$C:$C,0))</f>
        <v>32</v>
      </c>
      <c r="B377" s="4">
        <f>INDEX(Albums!$B:$B, MATCH(C377,Albums!$C:$C,0))</f>
        <v>2004</v>
      </c>
      <c r="C377" t="s">
        <v>464</v>
      </c>
      <c r="D377">
        <v>12</v>
      </c>
      <c r="E377" t="s">
        <v>866</v>
      </c>
      <c r="F377" t="s">
        <v>773</v>
      </c>
      <c r="J377" t="s">
        <v>69</v>
      </c>
      <c r="K377" s="2">
        <v>0.10833333333333334</v>
      </c>
      <c r="L377" t="str">
        <f>IF(AND(ISNUMBER(H377), COUNTIF([1]Songs!$L:$L,H377)&gt;0),"YES","")</f>
        <v/>
      </c>
    </row>
    <row r="378" spans="1:12" x14ac:dyDescent="0.25">
      <c r="A378" s="4">
        <f>INDEX(Albums!$A:$A, MATCH(C378,Albums!$C:$C,0))</f>
        <v>32</v>
      </c>
      <c r="B378" s="4">
        <f>INDEX(Albums!$B:$B, MATCH(C378,Albums!$C:$C,0))</f>
        <v>2004</v>
      </c>
      <c r="C378" t="s">
        <v>464</v>
      </c>
      <c r="D378">
        <v>13</v>
      </c>
      <c r="E378" t="s">
        <v>867</v>
      </c>
      <c r="F378" t="s">
        <v>76</v>
      </c>
      <c r="J378" t="s">
        <v>69</v>
      </c>
      <c r="K378" s="2">
        <v>0.15902777777777777</v>
      </c>
      <c r="L378" t="str">
        <f>IF(AND(ISNUMBER(H378), COUNTIF([1]Songs!$L:$L,H378)&gt;0),"YES","")</f>
        <v/>
      </c>
    </row>
    <row r="379" spans="1:12" x14ac:dyDescent="0.25">
      <c r="A379" s="4">
        <f>INDEX(Albums!$A:$A, MATCH(C379,Albums!$C:$C,0))</f>
        <v>32</v>
      </c>
      <c r="B379" s="4">
        <f>INDEX(Albums!$B:$B, MATCH(C379,Albums!$C:$C,0))</f>
        <v>2004</v>
      </c>
      <c r="C379" t="s">
        <v>464</v>
      </c>
      <c r="D379">
        <v>14</v>
      </c>
      <c r="E379" t="s">
        <v>868</v>
      </c>
      <c r="F379" t="s">
        <v>774</v>
      </c>
      <c r="J379" t="s">
        <v>473</v>
      </c>
      <c r="K379" s="2">
        <v>0.14930555555555555</v>
      </c>
      <c r="L379" t="str">
        <f>IF(AND(ISNUMBER(H379), COUNTIF([1]Songs!$L:$L,H379)&gt;0),"YES","")</f>
        <v/>
      </c>
    </row>
    <row r="380" spans="1:12" x14ac:dyDescent="0.25">
      <c r="A380" s="4">
        <f>INDEX(Albums!$A:$A, MATCH(C380,Albums!$C:$C,0))</f>
        <v>32</v>
      </c>
      <c r="B380" s="4">
        <f>INDEX(Albums!$B:$B, MATCH(C380,Albums!$C:$C,0))</f>
        <v>2004</v>
      </c>
      <c r="C380" t="s">
        <v>464</v>
      </c>
      <c r="D380">
        <v>15</v>
      </c>
      <c r="E380" t="s">
        <v>836</v>
      </c>
      <c r="F380" t="s">
        <v>76</v>
      </c>
      <c r="J380" t="s">
        <v>69</v>
      </c>
      <c r="K380" s="2">
        <v>0.18888888888888888</v>
      </c>
      <c r="L380" t="str">
        <f>IF(AND(ISNUMBER(H380), COUNTIF([1]Songs!$L:$L,H380)&gt;0),"YES","")</f>
        <v/>
      </c>
    </row>
    <row r="381" spans="1:12" x14ac:dyDescent="0.25">
      <c r="A381" s="4">
        <f>INDEX(Albums!$A:$A, MATCH(C381,Albums!$C:$C,0))</f>
        <v>33</v>
      </c>
      <c r="B381" s="4">
        <f>INDEX(Albums!$B:$B, MATCH(C381,Albums!$C:$C,0))</f>
        <v>2004</v>
      </c>
      <c r="C381" t="s">
        <v>1225</v>
      </c>
      <c r="D381">
        <v>1</v>
      </c>
      <c r="E381" s="4" t="s">
        <v>542</v>
      </c>
      <c r="F381" t="s">
        <v>58</v>
      </c>
      <c r="K381" s="2">
        <v>0.22152777777777777</v>
      </c>
    </row>
    <row r="382" spans="1:12" x14ac:dyDescent="0.25">
      <c r="A382" s="4">
        <f>INDEX(Albums!$A:$A, MATCH(C382,Albums!$C:$C,0))</f>
        <v>33</v>
      </c>
      <c r="B382" s="4">
        <f>INDEX(Albums!$B:$B, MATCH(C382,Albums!$C:$C,0))</f>
        <v>2004</v>
      </c>
      <c r="C382" t="s">
        <v>1225</v>
      </c>
      <c r="D382">
        <v>2</v>
      </c>
      <c r="E382" s="4" t="s">
        <v>488</v>
      </c>
      <c r="F382" t="s">
        <v>69</v>
      </c>
      <c r="K382" s="2">
        <v>0.17083333333333331</v>
      </c>
    </row>
    <row r="383" spans="1:12" x14ac:dyDescent="0.25">
      <c r="A383" s="4">
        <f>INDEX(Albums!$A:$A, MATCH(C383,Albums!$C:$C,0))</f>
        <v>33</v>
      </c>
      <c r="B383" s="4">
        <f>INDEX(Albums!$B:$B, MATCH(C383,Albums!$C:$C,0))</f>
        <v>2004</v>
      </c>
      <c r="C383" t="s">
        <v>1225</v>
      </c>
      <c r="D383">
        <v>3</v>
      </c>
      <c r="E383" s="4" t="s">
        <v>1039</v>
      </c>
      <c r="F383" t="s">
        <v>55</v>
      </c>
      <c r="K383" s="2">
        <v>0.33819444444444446</v>
      </c>
    </row>
    <row r="384" spans="1:12" x14ac:dyDescent="0.25">
      <c r="A384" s="4">
        <f>INDEX(Albums!$A:$A, MATCH(C384,Albums!$C:$C,0))</f>
        <v>33</v>
      </c>
      <c r="B384" s="4">
        <f>INDEX(Albums!$B:$B, MATCH(C384,Albums!$C:$C,0))</f>
        <v>2004</v>
      </c>
      <c r="C384" t="s">
        <v>1225</v>
      </c>
      <c r="D384">
        <v>4</v>
      </c>
      <c r="E384" s="4" t="s">
        <v>522</v>
      </c>
      <c r="F384" t="s">
        <v>121</v>
      </c>
      <c r="K384" s="2">
        <v>0.26111111111111113</v>
      </c>
    </row>
    <row r="385" spans="1:12" x14ac:dyDescent="0.25">
      <c r="A385" s="4">
        <f>INDEX(Albums!$A:$A, MATCH(C385,Albums!$C:$C,0))</f>
        <v>33</v>
      </c>
      <c r="B385" s="4">
        <f>INDEX(Albums!$B:$B, MATCH(C385,Albums!$C:$C,0))</f>
        <v>2004</v>
      </c>
      <c r="C385" t="s">
        <v>1225</v>
      </c>
      <c r="D385">
        <v>5</v>
      </c>
      <c r="E385" s="4" t="s">
        <v>1286</v>
      </c>
      <c r="F385" t="s">
        <v>926</v>
      </c>
      <c r="K385" s="2">
        <v>0.34166666666666662</v>
      </c>
    </row>
    <row r="386" spans="1:12" x14ac:dyDescent="0.25">
      <c r="A386" s="4">
        <f>INDEX(Albums!$A:$A, MATCH(C386,Albums!$C:$C,0))</f>
        <v>33</v>
      </c>
      <c r="B386" s="4">
        <f>INDEX(Albums!$B:$B, MATCH(C386,Albums!$C:$C,0))</f>
        <v>2004</v>
      </c>
      <c r="C386" t="s">
        <v>1225</v>
      </c>
      <c r="D386">
        <v>6</v>
      </c>
      <c r="E386" s="4" t="s">
        <v>507</v>
      </c>
      <c r="F386" t="s">
        <v>76</v>
      </c>
      <c r="K386" s="2">
        <v>0.17291666666666669</v>
      </c>
    </row>
    <row r="387" spans="1:12" x14ac:dyDescent="0.25">
      <c r="A387" s="4">
        <f>INDEX(Albums!$A:$A, MATCH(C387,Albums!$C:$C,0))</f>
        <v>33</v>
      </c>
      <c r="B387" s="4">
        <f>INDEX(Albums!$B:$B, MATCH(C387,Albums!$C:$C,0))</f>
        <v>2004</v>
      </c>
      <c r="C387" t="s">
        <v>1225</v>
      </c>
      <c r="D387">
        <v>7</v>
      </c>
      <c r="E387" s="4" t="s">
        <v>1287</v>
      </c>
      <c r="F387" t="s">
        <v>773</v>
      </c>
      <c r="K387" s="2">
        <v>0.41319444444444442</v>
      </c>
    </row>
    <row r="388" spans="1:12" x14ac:dyDescent="0.25">
      <c r="A388" s="4">
        <f>INDEX(Albums!$A:$A, MATCH(C388,Albums!$C:$C,0))</f>
        <v>33</v>
      </c>
      <c r="B388" s="4">
        <f>INDEX(Albums!$B:$B, MATCH(C388,Albums!$C:$C,0))</f>
        <v>2004</v>
      </c>
      <c r="C388" t="s">
        <v>1225</v>
      </c>
      <c r="D388">
        <v>8</v>
      </c>
      <c r="E388" s="4" t="s">
        <v>1288</v>
      </c>
      <c r="F388" t="s">
        <v>1292</v>
      </c>
      <c r="K388" s="2">
        <v>0.26527777777777778</v>
      </c>
    </row>
    <row r="389" spans="1:12" x14ac:dyDescent="0.25">
      <c r="A389" s="4">
        <f>INDEX(Albums!$A:$A, MATCH(C389,Albums!$C:$C,0))</f>
        <v>33</v>
      </c>
      <c r="B389" s="4">
        <f>INDEX(Albums!$B:$B, MATCH(C389,Albums!$C:$C,0))</f>
        <v>2004</v>
      </c>
      <c r="C389" t="s">
        <v>1225</v>
      </c>
      <c r="D389">
        <v>9</v>
      </c>
      <c r="E389" s="4" t="s">
        <v>1289</v>
      </c>
      <c r="F389" t="s">
        <v>1293</v>
      </c>
      <c r="K389" s="2">
        <v>0.25555555555555559</v>
      </c>
    </row>
    <row r="390" spans="1:12" x14ac:dyDescent="0.25">
      <c r="A390" s="4">
        <f>INDEX(Albums!$A:$A, MATCH(C390,Albums!$C:$C,0))</f>
        <v>33</v>
      </c>
      <c r="B390" s="4">
        <f>INDEX(Albums!$B:$B, MATCH(C390,Albums!$C:$C,0))</f>
        <v>2004</v>
      </c>
      <c r="C390" t="s">
        <v>1225</v>
      </c>
      <c r="D390">
        <v>10</v>
      </c>
      <c r="E390" s="4" t="s">
        <v>1290</v>
      </c>
      <c r="F390" t="s">
        <v>773</v>
      </c>
      <c r="K390" s="2">
        <v>0.22569444444444445</v>
      </c>
    </row>
    <row r="391" spans="1:12" x14ac:dyDescent="0.25">
      <c r="A391" s="4">
        <f>INDEX(Albums!$A:$A, MATCH(C391,Albums!$C:$C,0))</f>
        <v>33</v>
      </c>
      <c r="B391" s="4">
        <f>INDEX(Albums!$B:$B, MATCH(C391,Albums!$C:$C,0))</f>
        <v>2004</v>
      </c>
      <c r="C391" t="s">
        <v>1225</v>
      </c>
      <c r="D391">
        <v>11</v>
      </c>
      <c r="E391" s="4" t="s">
        <v>1291</v>
      </c>
      <c r="F391" t="s">
        <v>773</v>
      </c>
      <c r="K391" s="2">
        <v>0.4201388888888889</v>
      </c>
    </row>
    <row r="392" spans="1:12" x14ac:dyDescent="0.25">
      <c r="A392" s="4">
        <f>INDEX(Albums!$A:$A, MATCH(C392,Albums!$C:$C,0))</f>
        <v>34</v>
      </c>
      <c r="B392" s="4">
        <f>INDEX(Albums!$B:$B, MATCH(C392,Albums!$C:$C,0))</f>
        <v>2005</v>
      </c>
      <c r="C392" t="s">
        <v>13</v>
      </c>
      <c r="D392">
        <v>1</v>
      </c>
      <c r="E392" t="s">
        <v>429</v>
      </c>
      <c r="F392" t="s">
        <v>55</v>
      </c>
      <c r="G392" t="s">
        <v>356</v>
      </c>
      <c r="H392">
        <v>4433390</v>
      </c>
      <c r="J392" t="s">
        <v>430</v>
      </c>
      <c r="L392" s="4" t="str">
        <f>IF(AND(ISNUMBER(H392), COUNTIF([1]Songs!$L:$L,H392)&gt;0),"YES","")</f>
        <v/>
      </c>
    </row>
    <row r="393" spans="1:12" x14ac:dyDescent="0.25">
      <c r="A393" s="4">
        <f>INDEX(Albums!$A:$A, MATCH(C393,Albums!$C:$C,0))</f>
        <v>34</v>
      </c>
      <c r="B393" s="4">
        <f>INDEX(Albums!$B:$B, MATCH(C393,Albums!$C:$C,0))</f>
        <v>2005</v>
      </c>
      <c r="C393" t="s">
        <v>13</v>
      </c>
      <c r="D393">
        <v>2</v>
      </c>
      <c r="E393" t="s">
        <v>431</v>
      </c>
      <c r="F393" t="s">
        <v>58</v>
      </c>
      <c r="G393" t="s">
        <v>362</v>
      </c>
      <c r="H393">
        <v>4451327</v>
      </c>
      <c r="J393" t="s">
        <v>432</v>
      </c>
      <c r="L393" s="4" t="str">
        <f>IF(AND(ISNUMBER(H393), COUNTIF([1]Songs!$L:$L,H393)&gt;0),"YES","")</f>
        <v/>
      </c>
    </row>
    <row r="394" spans="1:12" x14ac:dyDescent="0.25">
      <c r="A394" s="4">
        <f>INDEX(Albums!$A:$A, MATCH(C394,Albums!$C:$C,0))</f>
        <v>34</v>
      </c>
      <c r="B394" s="4">
        <f>INDEX(Albums!$B:$B, MATCH(C394,Albums!$C:$C,0))</f>
        <v>2005</v>
      </c>
      <c r="C394" t="s">
        <v>13</v>
      </c>
      <c r="D394">
        <v>3</v>
      </c>
      <c r="E394" t="s">
        <v>433</v>
      </c>
      <c r="F394" t="s">
        <v>434</v>
      </c>
      <c r="G394" t="s">
        <v>360</v>
      </c>
      <c r="H394">
        <v>4433400</v>
      </c>
      <c r="J394" t="s">
        <v>550</v>
      </c>
      <c r="L394" s="4" t="str">
        <f>IF(AND(ISNUMBER(H394), COUNTIF([1]Songs!$L:$L,H394)&gt;0),"YES","")</f>
        <v/>
      </c>
    </row>
    <row r="395" spans="1:12" x14ac:dyDescent="0.25">
      <c r="A395" s="4">
        <f>INDEX(Albums!$A:$A, MATCH(C395,Albums!$C:$C,0))</f>
        <v>34</v>
      </c>
      <c r="B395" s="4">
        <f>INDEX(Albums!$B:$B, MATCH(C395,Albums!$C:$C,0))</f>
        <v>2005</v>
      </c>
      <c r="C395" t="s">
        <v>13</v>
      </c>
      <c r="D395">
        <v>4</v>
      </c>
      <c r="E395" t="s">
        <v>435</v>
      </c>
      <c r="F395" t="s">
        <v>55</v>
      </c>
      <c r="G395" t="s">
        <v>360</v>
      </c>
      <c r="H395">
        <v>4433417</v>
      </c>
      <c r="J395" t="s">
        <v>430</v>
      </c>
      <c r="L395" s="4" t="str">
        <f>IF(AND(ISNUMBER(H395), COUNTIF([1]Songs!$L:$L,H395)&gt;0),"YES","")</f>
        <v/>
      </c>
    </row>
    <row r="396" spans="1:12" x14ac:dyDescent="0.25">
      <c r="A396" s="4">
        <f>INDEX(Albums!$A:$A, MATCH(C396,Albums!$C:$C,0))</f>
        <v>34</v>
      </c>
      <c r="B396" s="4">
        <f>INDEX(Albums!$B:$B, MATCH(C396,Albums!$C:$C,0))</f>
        <v>2005</v>
      </c>
      <c r="C396" t="s">
        <v>13</v>
      </c>
      <c r="D396">
        <v>5</v>
      </c>
      <c r="E396" t="s">
        <v>436</v>
      </c>
      <c r="F396" t="s">
        <v>121</v>
      </c>
      <c r="G396" t="s">
        <v>358</v>
      </c>
      <c r="H396">
        <v>4433424</v>
      </c>
      <c r="J396" t="s">
        <v>437</v>
      </c>
      <c r="L396" s="4" t="str">
        <f>IF(AND(ISNUMBER(H396), COUNTIF([1]Songs!$L:$L,H396)&gt;0),"YES","")</f>
        <v/>
      </c>
    </row>
    <row r="397" spans="1:12" x14ac:dyDescent="0.25">
      <c r="A397" s="4">
        <f>INDEX(Albums!$A:$A, MATCH(C397,Albums!$C:$C,0))</f>
        <v>34</v>
      </c>
      <c r="B397" s="4">
        <f>INDEX(Albums!$B:$B, MATCH(C397,Albums!$C:$C,0))</f>
        <v>2005</v>
      </c>
      <c r="C397" t="s">
        <v>13</v>
      </c>
      <c r="D397">
        <v>6</v>
      </c>
      <c r="E397" t="s">
        <v>438</v>
      </c>
      <c r="F397" t="s">
        <v>439</v>
      </c>
      <c r="G397" t="s">
        <v>358</v>
      </c>
      <c r="H397">
        <v>4433431</v>
      </c>
      <c r="J397" t="s">
        <v>440</v>
      </c>
      <c r="L397" s="4" t="str">
        <f>IF(AND(ISNUMBER(H397), COUNTIF([1]Songs!$L:$L,H397)&gt;0),"YES","")</f>
        <v/>
      </c>
    </row>
    <row r="398" spans="1:12" x14ac:dyDescent="0.25">
      <c r="A398" s="4">
        <f>INDEX(Albums!$A:$A, MATCH(C398,Albums!$C:$C,0))</f>
        <v>34</v>
      </c>
      <c r="B398" s="4">
        <f>INDEX(Albums!$B:$B, MATCH(C398,Albums!$C:$C,0))</f>
        <v>2005</v>
      </c>
      <c r="C398" t="s">
        <v>13</v>
      </c>
      <c r="D398">
        <v>7</v>
      </c>
      <c r="E398" t="s">
        <v>441</v>
      </c>
      <c r="F398" t="s">
        <v>442</v>
      </c>
      <c r="H398" t="s">
        <v>604</v>
      </c>
      <c r="I398" s="7" t="s">
        <v>611</v>
      </c>
      <c r="J398" t="s">
        <v>121</v>
      </c>
      <c r="L398" s="4" t="str">
        <f>IF(AND(ISNUMBER(H398), COUNTIF([1]Songs!$L:$L,H398)&gt;0),"YES","")</f>
        <v/>
      </c>
    </row>
    <row r="399" spans="1:12" x14ac:dyDescent="0.25">
      <c r="A399" s="4">
        <f>INDEX(Albums!$A:$A, MATCH(C399,Albums!$C:$C,0))</f>
        <v>34</v>
      </c>
      <c r="B399" s="4">
        <f>INDEX(Albums!$B:$B, MATCH(C399,Albums!$C:$C,0))</f>
        <v>2005</v>
      </c>
      <c r="C399" t="s">
        <v>13</v>
      </c>
      <c r="D399">
        <v>8</v>
      </c>
      <c r="E399" t="s">
        <v>443</v>
      </c>
      <c r="F399" t="s">
        <v>58</v>
      </c>
      <c r="G399" t="s">
        <v>596</v>
      </c>
      <c r="H399">
        <v>4433448</v>
      </c>
      <c r="J399" t="s">
        <v>444</v>
      </c>
      <c r="L399" s="4" t="str">
        <f>IF(AND(ISNUMBER(H399), COUNTIF([1]Songs!$L:$L,H399)&gt;0),"YES","")</f>
        <v/>
      </c>
    </row>
    <row r="400" spans="1:12" x14ac:dyDescent="0.25">
      <c r="A400" s="4">
        <f>INDEX(Albums!$A:$A, MATCH(C400,Albums!$C:$C,0))</f>
        <v>34</v>
      </c>
      <c r="B400" s="4">
        <f>INDEX(Albums!$B:$B, MATCH(C400,Albums!$C:$C,0))</f>
        <v>2005</v>
      </c>
      <c r="C400" t="s">
        <v>13</v>
      </c>
      <c r="D400">
        <v>9</v>
      </c>
      <c r="E400" t="s">
        <v>445</v>
      </c>
      <c r="F400" t="s">
        <v>187</v>
      </c>
      <c r="G400" t="s">
        <v>358</v>
      </c>
      <c r="H400">
        <v>4435790</v>
      </c>
      <c r="J400" t="s">
        <v>121</v>
      </c>
      <c r="L400" s="4" t="str">
        <f>IF(AND(ISNUMBER(H400), COUNTIF([1]Songs!$L:$L,H400)&gt;0),"YES","")</f>
        <v/>
      </c>
    </row>
    <row r="401" spans="1:12" x14ac:dyDescent="0.25">
      <c r="A401" s="4">
        <f>INDEX(Albums!$A:$A, MATCH(C401,Albums!$C:$C,0))</f>
        <v>34</v>
      </c>
      <c r="B401" s="4">
        <f>INDEX(Albums!$B:$B, MATCH(C401,Albums!$C:$C,0))</f>
        <v>2005</v>
      </c>
      <c r="C401" t="s">
        <v>13</v>
      </c>
      <c r="D401">
        <v>10</v>
      </c>
      <c r="E401" t="s">
        <v>446</v>
      </c>
      <c r="F401" t="s">
        <v>55</v>
      </c>
      <c r="G401" t="s">
        <v>356</v>
      </c>
      <c r="H401">
        <v>4437846</v>
      </c>
      <c r="J401" t="s">
        <v>430</v>
      </c>
      <c r="L401" s="4" t="str">
        <f>IF(AND(ISNUMBER(H401), COUNTIF([1]Songs!$L:$L,H401)&gt;0),"YES","")</f>
        <v/>
      </c>
    </row>
    <row r="402" spans="1:12" x14ac:dyDescent="0.25">
      <c r="A402" s="4">
        <f>INDEX(Albums!$A:$A, MATCH(C402,Albums!$C:$C,0))</f>
        <v>34</v>
      </c>
      <c r="B402" s="4">
        <f>INDEX(Albums!$B:$B, MATCH(C402,Albums!$C:$C,0))</f>
        <v>2005</v>
      </c>
      <c r="C402" t="s">
        <v>13</v>
      </c>
      <c r="D402">
        <v>11</v>
      </c>
      <c r="E402" t="s">
        <v>447</v>
      </c>
      <c r="F402" t="s">
        <v>78</v>
      </c>
      <c r="G402" t="s">
        <v>355</v>
      </c>
      <c r="H402">
        <v>4455220</v>
      </c>
      <c r="J402" t="s">
        <v>448</v>
      </c>
      <c r="L402" s="4" t="str">
        <f>IF(AND(ISNUMBER(H402), COUNTIF([1]Songs!$L:$L,H402)&gt;0),"YES","")</f>
        <v/>
      </c>
    </row>
    <row r="403" spans="1:12" x14ac:dyDescent="0.25">
      <c r="A403" s="4">
        <f>INDEX(Albums!$A:$A, MATCH(C403,Albums!$C:$C,0))</f>
        <v>34</v>
      </c>
      <c r="B403" s="4">
        <f>INDEX(Albums!$B:$B, MATCH(C403,Albums!$C:$C,0))</f>
        <v>2005</v>
      </c>
      <c r="C403" t="s">
        <v>13</v>
      </c>
      <c r="D403">
        <v>12</v>
      </c>
      <c r="E403" t="s">
        <v>449</v>
      </c>
      <c r="F403" t="s">
        <v>121</v>
      </c>
      <c r="G403" t="s">
        <v>605</v>
      </c>
      <c r="H403">
        <v>4437853</v>
      </c>
      <c r="J403" t="s">
        <v>568</v>
      </c>
      <c r="L403" s="4" t="str">
        <f>IF(AND(ISNUMBER(H403), COUNTIF([1]Songs!$L:$L,H403)&gt;0),"YES","")</f>
        <v/>
      </c>
    </row>
    <row r="404" spans="1:12" x14ac:dyDescent="0.25">
      <c r="A404" s="4">
        <f>INDEX(Albums!$A:$A, MATCH(C404,Albums!$C:$C,0))</f>
        <v>34</v>
      </c>
      <c r="B404" s="4">
        <f>INDEX(Albums!$B:$B, MATCH(C404,Albums!$C:$C,0))</f>
        <v>2005</v>
      </c>
      <c r="C404" t="s">
        <v>13</v>
      </c>
      <c r="D404">
        <v>13</v>
      </c>
      <c r="E404" t="s">
        <v>450</v>
      </c>
      <c r="F404" t="s">
        <v>583</v>
      </c>
      <c r="G404" t="s">
        <v>357</v>
      </c>
      <c r="H404">
        <v>4455237</v>
      </c>
      <c r="J404" t="s">
        <v>69</v>
      </c>
      <c r="L404" s="4" t="str">
        <f>IF(AND(ISNUMBER(H404), COUNTIF([1]Songs!$L:$L,H404)&gt;0),"YES","")</f>
        <v/>
      </c>
    </row>
    <row r="405" spans="1:12" x14ac:dyDescent="0.25">
      <c r="A405" s="4">
        <f>INDEX(Albums!$A:$A, MATCH(C405,Albums!$C:$C,0))</f>
        <v>34</v>
      </c>
      <c r="B405" s="4">
        <f>INDEX(Albums!$B:$B, MATCH(C405,Albums!$C:$C,0))</f>
        <v>2005</v>
      </c>
      <c r="C405" t="s">
        <v>13</v>
      </c>
      <c r="D405">
        <v>14</v>
      </c>
      <c r="E405" t="s">
        <v>451</v>
      </c>
      <c r="F405" t="s">
        <v>569</v>
      </c>
      <c r="G405" t="s">
        <v>359</v>
      </c>
      <c r="H405">
        <v>4455196</v>
      </c>
      <c r="J405" t="s">
        <v>570</v>
      </c>
      <c r="L405" s="4" t="str">
        <f>IF(AND(ISNUMBER(H405), COUNTIF([1]Songs!$L:$L,H405)&gt;0),"YES","")</f>
        <v/>
      </c>
    </row>
    <row r="406" spans="1:12" x14ac:dyDescent="0.25">
      <c r="A406" s="4">
        <f>INDEX(Albums!$A:$A, MATCH(C406,Albums!$C:$C,0))</f>
        <v>34</v>
      </c>
      <c r="B406" s="4">
        <f>INDEX(Albums!$B:$B, MATCH(C406,Albums!$C:$C,0))</f>
        <v>2005</v>
      </c>
      <c r="C406" t="s">
        <v>13</v>
      </c>
      <c r="D406">
        <v>15</v>
      </c>
      <c r="E406" t="s">
        <v>452</v>
      </c>
      <c r="F406" t="s">
        <v>571</v>
      </c>
      <c r="G406" t="s">
        <v>359</v>
      </c>
      <c r="H406">
        <v>4451310</v>
      </c>
      <c r="J406" t="s">
        <v>572</v>
      </c>
      <c r="L406" s="4" t="str">
        <f>IF(AND(ISNUMBER(H406), COUNTIF([1]Songs!$L:$L,H406)&gt;0),"YES","")</f>
        <v/>
      </c>
    </row>
    <row r="407" spans="1:12" x14ac:dyDescent="0.25">
      <c r="A407" s="4">
        <f>INDEX(Albums!$A:$A, MATCH(C407,Albums!$C:$C,0))</f>
        <v>35</v>
      </c>
      <c r="B407" s="4">
        <f>INDEX(Albums!$B:$B, MATCH(C407,Albums!$C:$C,0))</f>
        <v>2005</v>
      </c>
      <c r="C407" t="s">
        <v>660</v>
      </c>
      <c r="D407">
        <v>1</v>
      </c>
      <c r="E407" t="s">
        <v>854</v>
      </c>
      <c r="F407" t="s">
        <v>58</v>
      </c>
      <c r="G407" t="s">
        <v>362</v>
      </c>
      <c r="H407">
        <v>4451327</v>
      </c>
      <c r="J407" t="s">
        <v>58</v>
      </c>
      <c r="K407" s="2">
        <v>0.19583333333333333</v>
      </c>
      <c r="L407" t="str">
        <f>IF(AND(ISNUMBER(H407), COUNTIF([1]Songs!$L:$L,H407)&gt;0),"YES","")</f>
        <v/>
      </c>
    </row>
    <row r="408" spans="1:12" x14ac:dyDescent="0.25">
      <c r="A408" s="4">
        <f>INDEX(Albums!$A:$A, MATCH(C408,Albums!$C:$C,0))</f>
        <v>35</v>
      </c>
      <c r="B408" s="4">
        <f>INDEX(Albums!$B:$B, MATCH(C408,Albums!$C:$C,0))</f>
        <v>2005</v>
      </c>
      <c r="C408" t="s">
        <v>660</v>
      </c>
      <c r="D408">
        <v>2</v>
      </c>
      <c r="E408" t="s">
        <v>452</v>
      </c>
      <c r="F408" t="s">
        <v>759</v>
      </c>
      <c r="G408" t="s">
        <v>359</v>
      </c>
      <c r="H408">
        <v>4451310</v>
      </c>
      <c r="J408" t="s">
        <v>760</v>
      </c>
      <c r="K408" s="2">
        <v>0.16944444444444443</v>
      </c>
      <c r="L408" t="str">
        <f>IF(AND(ISNUMBER(H408), COUNTIF([1]Songs!$L:$L,H408)&gt;0),"YES","")</f>
        <v/>
      </c>
    </row>
    <row r="409" spans="1:12" x14ac:dyDescent="0.25">
      <c r="A409" s="4">
        <f>INDEX(Albums!$A:$A, MATCH(C409,Albums!$C:$C,0))</f>
        <v>35</v>
      </c>
      <c r="B409" s="4">
        <f>INDEX(Albums!$B:$B, MATCH(C409,Albums!$C:$C,0))</f>
        <v>2005</v>
      </c>
      <c r="C409" t="s">
        <v>660</v>
      </c>
      <c r="D409">
        <v>3</v>
      </c>
      <c r="E409" t="s">
        <v>660</v>
      </c>
      <c r="F409" t="s">
        <v>76</v>
      </c>
      <c r="G409" t="s">
        <v>363</v>
      </c>
      <c r="H409">
        <v>4455141</v>
      </c>
      <c r="J409" t="s">
        <v>69</v>
      </c>
      <c r="K409" s="2">
        <v>0.22291666666666665</v>
      </c>
      <c r="L409" t="str">
        <f>IF(AND(ISNUMBER(H409), COUNTIF([1]Songs!$L:$L,H409)&gt;0),"YES","")</f>
        <v/>
      </c>
    </row>
    <row r="410" spans="1:12" x14ac:dyDescent="0.25">
      <c r="A410" s="4">
        <f>INDEX(Albums!$A:$A, MATCH(C410,Albums!$C:$C,0))</f>
        <v>35</v>
      </c>
      <c r="B410" s="4">
        <f>INDEX(Albums!$B:$B, MATCH(C410,Albums!$C:$C,0))</f>
        <v>2005</v>
      </c>
      <c r="C410" t="s">
        <v>660</v>
      </c>
      <c r="D410">
        <v>4</v>
      </c>
      <c r="E410" t="s">
        <v>855</v>
      </c>
      <c r="F410" t="s">
        <v>76</v>
      </c>
      <c r="G410" t="s">
        <v>360</v>
      </c>
      <c r="H410">
        <v>4455213</v>
      </c>
      <c r="J410" t="s">
        <v>69</v>
      </c>
      <c r="K410" s="2">
        <v>0.26805555555555555</v>
      </c>
      <c r="L410" t="str">
        <f>IF(AND(ISNUMBER(H410), COUNTIF([1]Songs!$L:$L,H410)&gt;0),"YES","")</f>
        <v/>
      </c>
    </row>
    <row r="411" spans="1:12" x14ac:dyDescent="0.25">
      <c r="A411" s="4">
        <f>INDEX(Albums!$A:$A, MATCH(C411,Albums!$C:$C,0))</f>
        <v>35</v>
      </c>
      <c r="B411" s="4">
        <f>INDEX(Albums!$B:$B, MATCH(C411,Albums!$C:$C,0))</f>
        <v>2005</v>
      </c>
      <c r="C411" t="s">
        <v>660</v>
      </c>
      <c r="D411">
        <v>5</v>
      </c>
      <c r="E411" t="s">
        <v>447</v>
      </c>
      <c r="F411" t="s">
        <v>78</v>
      </c>
      <c r="G411" t="s">
        <v>355</v>
      </c>
      <c r="H411">
        <v>4455220</v>
      </c>
      <c r="J411" t="s">
        <v>761</v>
      </c>
      <c r="K411" s="2">
        <v>0.24722222222222223</v>
      </c>
      <c r="L411" t="str">
        <f>IF(AND(ISNUMBER(H411), COUNTIF([1]Songs!$L:$L,H411)&gt;0),"YES","")</f>
        <v/>
      </c>
    </row>
    <row r="412" spans="1:12" x14ac:dyDescent="0.25">
      <c r="A412" s="4">
        <f>INDEX(Albums!$A:$A, MATCH(C412,Albums!$C:$C,0))</f>
        <v>35</v>
      </c>
      <c r="B412" s="4">
        <f>INDEX(Albums!$B:$B, MATCH(C412,Albums!$C:$C,0))</f>
        <v>2005</v>
      </c>
      <c r="C412" t="s">
        <v>660</v>
      </c>
      <c r="D412">
        <v>6</v>
      </c>
      <c r="E412" t="s">
        <v>840</v>
      </c>
      <c r="F412" t="s">
        <v>762</v>
      </c>
      <c r="G412" t="s">
        <v>359</v>
      </c>
      <c r="H412">
        <v>4455206</v>
      </c>
      <c r="J412" t="s">
        <v>588</v>
      </c>
      <c r="K412" s="2">
        <v>0.1361111111111111</v>
      </c>
      <c r="L412" t="str">
        <f>IF(AND(ISNUMBER(H412), COUNTIF([1]Songs!$L:$L,H412)&gt;0),"YES","")</f>
        <v/>
      </c>
    </row>
    <row r="413" spans="1:12" x14ac:dyDescent="0.25">
      <c r="A413" s="4">
        <f>INDEX(Albums!$A:$A, MATCH(C413,Albums!$C:$C,0))</f>
        <v>35</v>
      </c>
      <c r="B413" s="4">
        <f>INDEX(Albums!$B:$B, MATCH(C413,Albums!$C:$C,0))</f>
        <v>2005</v>
      </c>
      <c r="C413" t="s">
        <v>660</v>
      </c>
      <c r="D413">
        <v>7</v>
      </c>
      <c r="E413" t="s">
        <v>856</v>
      </c>
      <c r="F413" t="s">
        <v>763</v>
      </c>
      <c r="G413" t="s">
        <v>357</v>
      </c>
      <c r="H413">
        <v>4455237</v>
      </c>
      <c r="J413" t="s">
        <v>473</v>
      </c>
      <c r="K413" s="2">
        <v>0.3125</v>
      </c>
      <c r="L413" t="str">
        <f>IF(AND(ISNUMBER(H413), COUNTIF([1]Songs!$L:$L,H413)&gt;0),"YES","")</f>
        <v/>
      </c>
    </row>
    <row r="414" spans="1:12" x14ac:dyDescent="0.25">
      <c r="A414" s="4">
        <f>INDEX(Albums!$A:$A, MATCH(C414,Albums!$C:$C,0))</f>
        <v>35</v>
      </c>
      <c r="B414" s="4">
        <f>INDEX(Albums!$B:$B, MATCH(C414,Albums!$C:$C,0))</f>
        <v>2005</v>
      </c>
      <c r="C414" t="s">
        <v>660</v>
      </c>
      <c r="D414">
        <v>8</v>
      </c>
      <c r="E414" t="s">
        <v>451</v>
      </c>
      <c r="F414" t="s">
        <v>764</v>
      </c>
      <c r="G414" t="s">
        <v>359</v>
      </c>
      <c r="H414">
        <v>4455196</v>
      </c>
      <c r="J414" t="s">
        <v>69</v>
      </c>
      <c r="K414" s="2">
        <v>0.12847222222222224</v>
      </c>
      <c r="L414" t="str">
        <f>IF(AND(ISNUMBER(H414), COUNTIF([1]Songs!$L:$L,H414)&gt;0),"YES","")</f>
        <v/>
      </c>
    </row>
    <row r="415" spans="1:12" x14ac:dyDescent="0.25">
      <c r="A415" s="4">
        <f>INDEX(Albums!$A:$A, MATCH(C415,Albums!$C:$C,0))</f>
        <v>35</v>
      </c>
      <c r="B415" s="4">
        <f>INDEX(Albums!$B:$B, MATCH(C415,Albums!$C:$C,0))</f>
        <v>2005</v>
      </c>
      <c r="C415" t="s">
        <v>660</v>
      </c>
      <c r="D415">
        <v>9</v>
      </c>
      <c r="E415" t="s">
        <v>857</v>
      </c>
      <c r="F415" t="s">
        <v>177</v>
      </c>
      <c r="G415" t="s">
        <v>596</v>
      </c>
      <c r="H415">
        <v>4455165</v>
      </c>
      <c r="J415" t="s">
        <v>80</v>
      </c>
      <c r="K415" s="2">
        <v>0.15763888888888888</v>
      </c>
      <c r="L415" t="str">
        <f>IF(AND(ISNUMBER(H415), COUNTIF([1]Songs!$L:$L,H415)&gt;0),"YES","")</f>
        <v/>
      </c>
    </row>
    <row r="416" spans="1:12" x14ac:dyDescent="0.25">
      <c r="A416" s="4">
        <f>INDEX(Albums!$A:$A, MATCH(C416,Albums!$C:$C,0))</f>
        <v>35</v>
      </c>
      <c r="B416" s="4">
        <f>INDEX(Albums!$B:$B, MATCH(C416,Albums!$C:$C,0))</f>
        <v>2005</v>
      </c>
      <c r="C416" t="s">
        <v>660</v>
      </c>
      <c r="D416">
        <v>10</v>
      </c>
      <c r="E416" t="s">
        <v>858</v>
      </c>
      <c r="F416" t="s">
        <v>76</v>
      </c>
      <c r="G416" t="s">
        <v>358</v>
      </c>
      <c r="H416">
        <v>4455158</v>
      </c>
      <c r="J416" t="s">
        <v>69</v>
      </c>
      <c r="K416" s="2">
        <v>0.27083333333333331</v>
      </c>
      <c r="L416" t="str">
        <f>IF(AND(ISNUMBER(H416), COUNTIF([1]Songs!$L:$L,H416)&gt;0),"YES","")</f>
        <v/>
      </c>
    </row>
    <row r="417" spans="1:12" x14ac:dyDescent="0.25">
      <c r="A417" s="4">
        <f>INDEX(Albums!$A:$A, MATCH(C417,Albums!$C:$C,0))</f>
        <v>35</v>
      </c>
      <c r="B417" s="4">
        <f>INDEX(Albums!$B:$B, MATCH(C417,Albums!$C:$C,0))</f>
        <v>2005</v>
      </c>
      <c r="C417" t="s">
        <v>660</v>
      </c>
      <c r="D417">
        <v>11</v>
      </c>
      <c r="E417" s="5" t="s">
        <v>834</v>
      </c>
      <c r="F417" t="s">
        <v>765</v>
      </c>
      <c r="G417" t="s">
        <v>360</v>
      </c>
      <c r="H417">
        <v>4455189</v>
      </c>
      <c r="J417" t="s">
        <v>58</v>
      </c>
      <c r="K417" s="2">
        <v>0.25555555555555559</v>
      </c>
      <c r="L417" t="str">
        <f>IF(AND(ISNUMBER(H417), COUNTIF([1]Songs!$L:$L,H417)&gt;0),"YES","")</f>
        <v/>
      </c>
    </row>
    <row r="418" spans="1:12" x14ac:dyDescent="0.25">
      <c r="A418" s="4">
        <f>INDEX(Albums!$A:$A, MATCH(C418,Albums!$C:$C,0))</f>
        <v>35</v>
      </c>
      <c r="B418" s="4">
        <f>INDEX(Albums!$B:$B, MATCH(C418,Albums!$C:$C,0))</f>
        <v>2005</v>
      </c>
      <c r="C418" t="s">
        <v>660</v>
      </c>
      <c r="D418">
        <v>12</v>
      </c>
      <c r="E418" t="s">
        <v>859</v>
      </c>
      <c r="F418" t="s">
        <v>766</v>
      </c>
      <c r="G418" t="s">
        <v>359</v>
      </c>
      <c r="H418">
        <v>4455172</v>
      </c>
      <c r="J418" t="s">
        <v>757</v>
      </c>
      <c r="K418" s="2">
        <v>0.30277777777777776</v>
      </c>
      <c r="L418" t="str">
        <f>IF(AND(ISNUMBER(H418), COUNTIF([1]Songs!$L:$L,H418)&gt;0),"YES","")</f>
        <v/>
      </c>
    </row>
    <row r="419" spans="1:12" x14ac:dyDescent="0.25">
      <c r="A419" s="4">
        <f>INDEX(Albums!$A:$A, MATCH(C419,Albums!$C:$C,0))</f>
        <v>35</v>
      </c>
      <c r="B419" s="4">
        <f>INDEX(Albums!$B:$B, MATCH(C419,Albums!$C:$C,0))</f>
        <v>2005</v>
      </c>
      <c r="C419" t="s">
        <v>660</v>
      </c>
      <c r="D419">
        <v>13</v>
      </c>
      <c r="E419" t="s">
        <v>860</v>
      </c>
      <c r="F419" t="s">
        <v>767</v>
      </c>
      <c r="G419" t="s">
        <v>954</v>
      </c>
      <c r="H419">
        <v>41099</v>
      </c>
      <c r="J419" t="s">
        <v>58</v>
      </c>
      <c r="K419" s="2">
        <v>0.22083333333333333</v>
      </c>
      <c r="L419" t="str">
        <f>IF(AND(ISNUMBER(H419), COUNTIF([1]Songs!$L:$L,H419)&gt;0),"YES","")</f>
        <v/>
      </c>
    </row>
    <row r="420" spans="1:12" x14ac:dyDescent="0.25">
      <c r="A420" s="4">
        <f>INDEX(Albums!$A:$A, MATCH(C420,Albums!$C:$C,0))</f>
        <v>37</v>
      </c>
      <c r="B420" s="4">
        <f>INDEX(Albums!$B:$B, MATCH(C420,Albums!$C:$C,0))</f>
        <v>2006</v>
      </c>
      <c r="C420" t="s">
        <v>1226</v>
      </c>
      <c r="D420">
        <v>1</v>
      </c>
      <c r="E420" t="s">
        <v>1294</v>
      </c>
      <c r="F420" t="s">
        <v>1311</v>
      </c>
      <c r="K420" s="2"/>
      <c r="L420" s="4"/>
    </row>
    <row r="421" spans="1:12" x14ac:dyDescent="0.25">
      <c r="A421" s="4">
        <f>INDEX(Albums!$A:$A, MATCH(C421,Albums!$C:$C,0))</f>
        <v>37</v>
      </c>
      <c r="B421" s="4">
        <f>INDEX(Albums!$B:$B, MATCH(C421,Albums!$C:$C,0))</f>
        <v>2006</v>
      </c>
      <c r="C421" t="s">
        <v>1226</v>
      </c>
      <c r="D421">
        <v>2</v>
      </c>
      <c r="E421" t="s">
        <v>235</v>
      </c>
      <c r="F421" t="s">
        <v>1303</v>
      </c>
      <c r="K421" s="2"/>
      <c r="L421" s="4"/>
    </row>
    <row r="422" spans="1:12" x14ac:dyDescent="0.25">
      <c r="A422" s="4">
        <f>INDEX(Albums!$A:$A, MATCH(C422,Albums!$C:$C,0))</f>
        <v>37</v>
      </c>
      <c r="B422" s="4">
        <f>INDEX(Albums!$B:$B, MATCH(C422,Albums!$C:$C,0))</f>
        <v>2006</v>
      </c>
      <c r="C422" t="s">
        <v>1226</v>
      </c>
      <c r="D422">
        <v>3</v>
      </c>
      <c r="E422" t="s">
        <v>1295</v>
      </c>
      <c r="F422" t="s">
        <v>1304</v>
      </c>
      <c r="K422" s="2"/>
      <c r="L422" s="4"/>
    </row>
    <row r="423" spans="1:12" x14ac:dyDescent="0.25">
      <c r="A423" s="4">
        <f>INDEX(Albums!$A:$A, MATCH(C423,Albums!$C:$C,0))</f>
        <v>37</v>
      </c>
      <c r="B423" s="4">
        <f>INDEX(Albums!$B:$B, MATCH(C423,Albums!$C:$C,0))</f>
        <v>2006</v>
      </c>
      <c r="C423" t="s">
        <v>1226</v>
      </c>
      <c r="D423">
        <v>4</v>
      </c>
      <c r="E423" t="s">
        <v>1296</v>
      </c>
      <c r="F423" t="s">
        <v>78</v>
      </c>
      <c r="K423" s="2"/>
      <c r="L423" s="4"/>
    </row>
    <row r="424" spans="1:12" x14ac:dyDescent="0.25">
      <c r="A424" s="4">
        <f>INDEX(Albums!$A:$A, MATCH(C424,Albums!$C:$C,0))</f>
        <v>37</v>
      </c>
      <c r="B424" s="4">
        <f>INDEX(Albums!$B:$B, MATCH(C424,Albums!$C:$C,0))</f>
        <v>2006</v>
      </c>
      <c r="C424" t="s">
        <v>1226</v>
      </c>
      <c r="D424">
        <v>5</v>
      </c>
      <c r="E424" t="s">
        <v>1297</v>
      </c>
      <c r="F424" t="s">
        <v>1305</v>
      </c>
      <c r="K424" s="2"/>
      <c r="L424" s="4"/>
    </row>
    <row r="425" spans="1:12" x14ac:dyDescent="0.25">
      <c r="A425" s="4">
        <f>INDEX(Albums!$A:$A, MATCH(C425,Albums!$C:$C,0))</f>
        <v>37</v>
      </c>
      <c r="B425" s="4">
        <f>INDEX(Albums!$B:$B, MATCH(C425,Albums!$C:$C,0))</f>
        <v>2006</v>
      </c>
      <c r="C425" t="s">
        <v>1226</v>
      </c>
      <c r="D425">
        <v>6</v>
      </c>
      <c r="E425" t="s">
        <v>1298</v>
      </c>
      <c r="F425" t="s">
        <v>1306</v>
      </c>
      <c r="K425" s="2"/>
      <c r="L425" s="4"/>
    </row>
    <row r="426" spans="1:12" x14ac:dyDescent="0.25">
      <c r="A426" s="4">
        <f>INDEX(Albums!$A:$A, MATCH(C426,Albums!$C:$C,0))</f>
        <v>37</v>
      </c>
      <c r="B426" s="4">
        <f>INDEX(Albums!$B:$B, MATCH(C426,Albums!$C:$C,0))</f>
        <v>2006</v>
      </c>
      <c r="C426" t="s">
        <v>1226</v>
      </c>
      <c r="D426">
        <v>7</v>
      </c>
      <c r="E426" t="s">
        <v>1299</v>
      </c>
      <c r="F426" t="s">
        <v>1307</v>
      </c>
      <c r="K426" s="2"/>
      <c r="L426" s="4"/>
    </row>
    <row r="427" spans="1:12" x14ac:dyDescent="0.25">
      <c r="A427" s="4">
        <f>INDEX(Albums!$A:$A, MATCH(C427,Albums!$C:$C,0))</f>
        <v>37</v>
      </c>
      <c r="B427" s="4">
        <f>INDEX(Albums!$B:$B, MATCH(C427,Albums!$C:$C,0))</f>
        <v>2006</v>
      </c>
      <c r="C427" t="s">
        <v>1226</v>
      </c>
      <c r="D427">
        <v>8</v>
      </c>
      <c r="E427" t="s">
        <v>1269</v>
      </c>
      <c r="F427" t="s">
        <v>1308</v>
      </c>
      <c r="K427" s="2"/>
      <c r="L427" s="4"/>
    </row>
    <row r="428" spans="1:12" x14ac:dyDescent="0.25">
      <c r="A428" s="4">
        <f>INDEX(Albums!$A:$A, MATCH(C428,Albums!$C:$C,0))</f>
        <v>37</v>
      </c>
      <c r="B428" s="4">
        <f>INDEX(Albums!$B:$B, MATCH(C428,Albums!$C:$C,0))</f>
        <v>2006</v>
      </c>
      <c r="C428" t="s">
        <v>1226</v>
      </c>
      <c r="D428">
        <v>9</v>
      </c>
      <c r="E428" t="s">
        <v>435</v>
      </c>
      <c r="F428" t="s">
        <v>434</v>
      </c>
      <c r="K428" s="2"/>
      <c r="L428" s="4"/>
    </row>
    <row r="429" spans="1:12" x14ac:dyDescent="0.25">
      <c r="A429" s="4">
        <f>INDEX(Albums!$A:$A, MATCH(C429,Albums!$C:$C,0))</f>
        <v>37</v>
      </c>
      <c r="B429" s="4">
        <f>INDEX(Albums!$B:$B, MATCH(C429,Albums!$C:$C,0))</f>
        <v>2006</v>
      </c>
      <c r="C429" t="s">
        <v>1226</v>
      </c>
      <c r="D429">
        <v>10</v>
      </c>
      <c r="E429" t="s">
        <v>1300</v>
      </c>
      <c r="F429" t="s">
        <v>1309</v>
      </c>
      <c r="K429" s="2"/>
      <c r="L429" s="4"/>
    </row>
    <row r="430" spans="1:12" x14ac:dyDescent="0.25">
      <c r="A430" s="4">
        <f>INDEX(Albums!$A:$A, MATCH(C430,Albums!$C:$C,0))</f>
        <v>37</v>
      </c>
      <c r="B430" s="4">
        <f>INDEX(Albums!$B:$B, MATCH(C430,Albums!$C:$C,0))</f>
        <v>2006</v>
      </c>
      <c r="C430" t="s">
        <v>1226</v>
      </c>
      <c r="D430">
        <v>11</v>
      </c>
      <c r="E430" t="s">
        <v>1301</v>
      </c>
      <c r="F430" t="s">
        <v>1310</v>
      </c>
      <c r="K430" s="2"/>
      <c r="L430" s="4"/>
    </row>
    <row r="431" spans="1:12" x14ac:dyDescent="0.25">
      <c r="A431" s="4">
        <f>INDEX(Albums!$A:$A, MATCH(C431,Albums!$C:$C,0))</f>
        <v>37</v>
      </c>
      <c r="B431" s="4">
        <f>INDEX(Albums!$B:$B, MATCH(C431,Albums!$C:$C,0))</f>
        <v>2006</v>
      </c>
      <c r="C431" t="s">
        <v>1226</v>
      </c>
      <c r="D431">
        <v>12</v>
      </c>
      <c r="E431" t="s">
        <v>1302</v>
      </c>
      <c r="F431" t="s">
        <v>1005</v>
      </c>
      <c r="K431" s="2"/>
      <c r="L431" s="4"/>
    </row>
    <row r="432" spans="1:12" x14ac:dyDescent="0.25">
      <c r="A432" s="4">
        <f>INDEX(Albums!$A:$A, MATCH(C432,Albums!$C:$C,0))</f>
        <v>38</v>
      </c>
      <c r="B432" s="4">
        <f>INDEX(Albums!$B:$B, MATCH(C432,Albums!$C:$C,0))</f>
        <v>2006</v>
      </c>
      <c r="C432" t="s">
        <v>14</v>
      </c>
      <c r="D432">
        <v>1</v>
      </c>
      <c r="E432" t="s">
        <v>189</v>
      </c>
      <c r="F432" t="s">
        <v>599</v>
      </c>
      <c r="G432" t="s">
        <v>362</v>
      </c>
      <c r="H432">
        <v>4705152</v>
      </c>
      <c r="J432" t="s">
        <v>69</v>
      </c>
      <c r="K432" s="2">
        <v>0.17013888888888887</v>
      </c>
      <c r="L432" s="4" t="str">
        <f>IF(AND(ISNUMBER(H432), COUNTIF([1]Songs!$L:$L,H432)&gt;0),"YES","")</f>
        <v/>
      </c>
    </row>
    <row r="433" spans="1:12" x14ac:dyDescent="0.25">
      <c r="A433" s="4">
        <f>INDEX(Albums!$A:$A, MATCH(C433,Albums!$C:$C,0))</f>
        <v>38</v>
      </c>
      <c r="B433" s="4">
        <f>INDEX(Albums!$B:$B, MATCH(C433,Albums!$C:$C,0))</f>
        <v>2006</v>
      </c>
      <c r="C433" t="s">
        <v>14</v>
      </c>
      <c r="D433">
        <v>2</v>
      </c>
      <c r="E433" t="s">
        <v>190</v>
      </c>
      <c r="F433" t="s">
        <v>191</v>
      </c>
      <c r="G433" t="s">
        <v>356</v>
      </c>
      <c r="H433">
        <v>4591861</v>
      </c>
      <c r="J433" t="s">
        <v>58</v>
      </c>
      <c r="K433" s="2">
        <v>0.18402777777777779</v>
      </c>
      <c r="L433" s="4" t="str">
        <f>IF(AND(ISNUMBER(H433), COUNTIF([1]Songs!$L:$L,H433)&gt;0),"YES","")</f>
        <v/>
      </c>
    </row>
    <row r="434" spans="1:12" x14ac:dyDescent="0.25">
      <c r="A434" s="4">
        <f>INDEX(Albums!$A:$A, MATCH(C434,Albums!$C:$C,0))</f>
        <v>38</v>
      </c>
      <c r="B434" s="4">
        <f>INDEX(Albums!$B:$B, MATCH(C434,Albums!$C:$C,0))</f>
        <v>2006</v>
      </c>
      <c r="C434" t="s">
        <v>14</v>
      </c>
      <c r="D434">
        <v>3</v>
      </c>
      <c r="E434" t="s">
        <v>192</v>
      </c>
      <c r="F434" t="s">
        <v>69</v>
      </c>
      <c r="G434" t="s">
        <v>362</v>
      </c>
      <c r="H434">
        <v>4591799</v>
      </c>
      <c r="J434" t="s">
        <v>62</v>
      </c>
      <c r="K434" s="2">
        <v>0.18611111111111112</v>
      </c>
      <c r="L434" s="4" t="str">
        <f>IF(AND(ISNUMBER(H434), COUNTIF([1]Songs!$L:$L,H434)&gt;0),"YES","")</f>
        <v/>
      </c>
    </row>
    <row r="435" spans="1:12" x14ac:dyDescent="0.25">
      <c r="A435" s="4">
        <f>INDEX(Albums!$A:$A, MATCH(C435,Albums!$C:$C,0))</f>
        <v>38</v>
      </c>
      <c r="B435" s="4">
        <f>INDEX(Albums!$B:$B, MATCH(C435,Albums!$C:$C,0))</f>
        <v>2006</v>
      </c>
      <c r="C435" t="s">
        <v>14</v>
      </c>
      <c r="D435">
        <v>4</v>
      </c>
      <c r="E435" t="s">
        <v>193</v>
      </c>
      <c r="F435" t="s">
        <v>147</v>
      </c>
      <c r="G435" t="s">
        <v>358</v>
      </c>
      <c r="H435">
        <v>4599715</v>
      </c>
      <c r="J435" t="s">
        <v>576</v>
      </c>
      <c r="K435" s="2">
        <v>0.26458333333333334</v>
      </c>
      <c r="L435" s="4" t="str">
        <f>IF(AND(ISNUMBER(H435), COUNTIF([1]Songs!$L:$L,H435)&gt;0),"YES","")</f>
        <v/>
      </c>
    </row>
    <row r="436" spans="1:12" x14ac:dyDescent="0.25">
      <c r="A436" s="4">
        <f>INDEX(Albums!$A:$A, MATCH(C436,Albums!$C:$C,0))</f>
        <v>38</v>
      </c>
      <c r="B436" s="4">
        <f>INDEX(Albums!$B:$B, MATCH(C436,Albums!$C:$C,0))</f>
        <v>2006</v>
      </c>
      <c r="C436" t="s">
        <v>14</v>
      </c>
      <c r="D436">
        <v>5</v>
      </c>
      <c r="E436" t="s">
        <v>194</v>
      </c>
      <c r="F436" t="s">
        <v>185</v>
      </c>
      <c r="G436" t="s">
        <v>360</v>
      </c>
      <c r="H436">
        <v>4591816</v>
      </c>
      <c r="J436" t="s">
        <v>121</v>
      </c>
      <c r="K436" s="2">
        <v>0.28402777777777777</v>
      </c>
      <c r="L436" s="4" t="str">
        <f>IF(AND(ISNUMBER(H436), COUNTIF([1]Songs!$L:$L,H436)&gt;0),"YES","")</f>
        <v/>
      </c>
    </row>
    <row r="437" spans="1:12" x14ac:dyDescent="0.25">
      <c r="A437" s="4">
        <f>INDEX(Albums!$A:$A, MATCH(C437,Albums!$C:$C,0))</f>
        <v>38</v>
      </c>
      <c r="B437" s="4">
        <f>INDEX(Albums!$B:$B, MATCH(C437,Albums!$C:$C,0))</f>
        <v>2006</v>
      </c>
      <c r="C437" t="s">
        <v>14</v>
      </c>
      <c r="D437">
        <v>6</v>
      </c>
      <c r="E437" t="s">
        <v>195</v>
      </c>
      <c r="F437" t="s">
        <v>58</v>
      </c>
      <c r="G437" t="s">
        <v>358</v>
      </c>
      <c r="H437">
        <v>4705176</v>
      </c>
      <c r="J437" t="s">
        <v>69</v>
      </c>
      <c r="K437" s="2">
        <v>0.24444444444444446</v>
      </c>
      <c r="L437" s="4" t="str">
        <f>IF(AND(ISNUMBER(H437), COUNTIF([1]Songs!$L:$L,H437)&gt;0),"YES","")</f>
        <v>YES</v>
      </c>
    </row>
    <row r="438" spans="1:12" x14ac:dyDescent="0.25">
      <c r="A438" s="4">
        <f>INDEX(Albums!$A:$A, MATCH(C438,Albums!$C:$C,0))</f>
        <v>38</v>
      </c>
      <c r="B438" s="4">
        <f>INDEX(Albums!$B:$B, MATCH(C438,Albums!$C:$C,0))</f>
        <v>2006</v>
      </c>
      <c r="C438" t="s">
        <v>14</v>
      </c>
      <c r="D438">
        <v>7</v>
      </c>
      <c r="E438" t="s">
        <v>196</v>
      </c>
      <c r="F438" t="s">
        <v>197</v>
      </c>
      <c r="G438" t="s">
        <v>362</v>
      </c>
      <c r="H438">
        <v>4599722</v>
      </c>
      <c r="J438" t="s">
        <v>197</v>
      </c>
      <c r="K438" s="2">
        <v>0.21736111111111112</v>
      </c>
      <c r="L438" s="4" t="str">
        <f>IF(AND(ISNUMBER(H438), COUNTIF([1]Songs!$L:$L,H438)&gt;0),"YES","")</f>
        <v/>
      </c>
    </row>
    <row r="439" spans="1:12" x14ac:dyDescent="0.25">
      <c r="A439" s="4">
        <f>INDEX(Albums!$A:$A, MATCH(C439,Albums!$C:$C,0))</f>
        <v>38</v>
      </c>
      <c r="B439" s="4">
        <f>INDEX(Albums!$B:$B, MATCH(C439,Albums!$C:$C,0))</f>
        <v>2006</v>
      </c>
      <c r="C439" t="s">
        <v>14</v>
      </c>
      <c r="D439">
        <v>8</v>
      </c>
      <c r="E439" t="s">
        <v>198</v>
      </c>
      <c r="F439" t="s">
        <v>601</v>
      </c>
      <c r="G439" t="s">
        <v>600</v>
      </c>
      <c r="H439">
        <v>4599698</v>
      </c>
      <c r="J439" t="s">
        <v>548</v>
      </c>
      <c r="K439" s="2">
        <v>0.18958333333333333</v>
      </c>
      <c r="L439" s="4" t="str">
        <f>IF(AND(ISNUMBER(H439), COUNTIF([1]Songs!$L:$L,H439)&gt;0),"YES","")</f>
        <v/>
      </c>
    </row>
    <row r="440" spans="1:12" x14ac:dyDescent="0.25">
      <c r="A440" s="4">
        <f>INDEX(Albums!$A:$A, MATCH(C440,Albums!$C:$C,0))</f>
        <v>38</v>
      </c>
      <c r="B440" s="4">
        <f>INDEX(Albums!$B:$B, MATCH(C440,Albums!$C:$C,0))</f>
        <v>2006</v>
      </c>
      <c r="C440" t="s">
        <v>14</v>
      </c>
      <c r="D440">
        <v>9</v>
      </c>
      <c r="E440" t="s">
        <v>199</v>
      </c>
      <c r="F440" t="s">
        <v>549</v>
      </c>
      <c r="G440" t="s">
        <v>362</v>
      </c>
      <c r="H440">
        <v>4591823</v>
      </c>
      <c r="J440" t="s">
        <v>200</v>
      </c>
      <c r="K440" s="2">
        <v>0.18541666666666667</v>
      </c>
      <c r="L440" s="4" t="str">
        <f>IF(AND(ISNUMBER(H440), COUNTIF([1]Songs!$L:$L,H440)&gt;0),"YES","")</f>
        <v/>
      </c>
    </row>
    <row r="441" spans="1:12" x14ac:dyDescent="0.25">
      <c r="A441" s="4">
        <f>INDEX(Albums!$A:$A, MATCH(C441,Albums!$C:$C,0))</f>
        <v>38</v>
      </c>
      <c r="B441" s="4">
        <f>INDEX(Albums!$B:$B, MATCH(C441,Albums!$C:$C,0))</f>
        <v>2006</v>
      </c>
      <c r="C441" t="s">
        <v>14</v>
      </c>
      <c r="D441">
        <v>10</v>
      </c>
      <c r="E441" t="s">
        <v>201</v>
      </c>
      <c r="F441" t="s">
        <v>69</v>
      </c>
      <c r="G441" t="s">
        <v>356</v>
      </c>
      <c r="H441">
        <v>4591854</v>
      </c>
      <c r="J441" t="s">
        <v>547</v>
      </c>
      <c r="K441" s="2">
        <v>0.16041666666666668</v>
      </c>
      <c r="L441" s="4" t="str">
        <f>IF(AND(ISNUMBER(H441), COUNTIF([1]Songs!$L:$L,H441)&gt;0),"YES","")</f>
        <v/>
      </c>
    </row>
    <row r="442" spans="1:12" x14ac:dyDescent="0.25">
      <c r="A442" s="4">
        <f>INDEX(Albums!$A:$A, MATCH(C442,Albums!$C:$C,0))</f>
        <v>38</v>
      </c>
      <c r="B442" s="4">
        <f>INDEX(Albums!$B:$B, MATCH(C442,Albums!$C:$C,0))</f>
        <v>2006</v>
      </c>
      <c r="C442" t="s">
        <v>14</v>
      </c>
      <c r="D442">
        <v>11</v>
      </c>
      <c r="E442" t="s">
        <v>202</v>
      </c>
      <c r="F442" t="s">
        <v>602</v>
      </c>
      <c r="G442" t="s">
        <v>603</v>
      </c>
      <c r="H442">
        <v>4691084</v>
      </c>
      <c r="J442" t="s">
        <v>547</v>
      </c>
      <c r="K442" s="2">
        <v>0.15763888888888888</v>
      </c>
      <c r="L442" s="4" t="str">
        <f>IF(AND(ISNUMBER(H442), COUNTIF([1]Songs!$L:$L,H442)&gt;0),"YES","")</f>
        <v/>
      </c>
    </row>
    <row r="443" spans="1:12" x14ac:dyDescent="0.25">
      <c r="A443" s="4">
        <f>INDEX(Albums!$A:$A, MATCH(C443,Albums!$C:$C,0))</f>
        <v>38</v>
      </c>
      <c r="B443" s="4">
        <f>INDEX(Albums!$B:$B, MATCH(C443,Albums!$C:$C,0))</f>
        <v>2006</v>
      </c>
      <c r="C443" t="s">
        <v>14</v>
      </c>
      <c r="D443">
        <v>12</v>
      </c>
      <c r="E443" t="s">
        <v>203</v>
      </c>
      <c r="F443" t="s">
        <v>54</v>
      </c>
      <c r="G443" t="s">
        <v>362</v>
      </c>
      <c r="H443">
        <v>4591830</v>
      </c>
      <c r="J443" t="s">
        <v>81</v>
      </c>
      <c r="K443" s="2">
        <v>0.21319444444444444</v>
      </c>
      <c r="L443" s="4" t="str">
        <f>IF(AND(ISNUMBER(H443), COUNTIF([1]Songs!$L:$L,H443)&gt;0),"YES","")</f>
        <v/>
      </c>
    </row>
    <row r="444" spans="1:12" x14ac:dyDescent="0.25">
      <c r="A444" s="4">
        <f>INDEX(Albums!$A:$A, MATCH(C444,Albums!$C:$C,0))</f>
        <v>38</v>
      </c>
      <c r="B444" s="4">
        <f>INDEX(Albums!$B:$B, MATCH(C444,Albums!$C:$C,0))</f>
        <v>2006</v>
      </c>
      <c r="C444" t="s">
        <v>14</v>
      </c>
      <c r="D444">
        <v>13</v>
      </c>
      <c r="E444" t="s">
        <v>204</v>
      </c>
      <c r="F444" t="s">
        <v>134</v>
      </c>
      <c r="G444" t="s">
        <v>362</v>
      </c>
      <c r="H444">
        <v>4726186</v>
      </c>
      <c r="J444" t="s">
        <v>121</v>
      </c>
      <c r="K444" s="2">
        <v>0.24166666666666667</v>
      </c>
      <c r="L444" s="4" t="str">
        <f>IF(AND(ISNUMBER(H444), COUNTIF([1]Songs!$L:$L,H444)&gt;0),"YES","")</f>
        <v/>
      </c>
    </row>
    <row r="445" spans="1:12" x14ac:dyDescent="0.25">
      <c r="A445" s="4">
        <f>INDEX(Albums!$A:$A, MATCH(C445,Albums!$C:$C,0))</f>
        <v>38</v>
      </c>
      <c r="B445" s="4">
        <f>INDEX(Albums!$B:$B, MATCH(C445,Albums!$C:$C,0))</f>
        <v>2006</v>
      </c>
      <c r="C445" t="s">
        <v>14</v>
      </c>
      <c r="D445">
        <v>14</v>
      </c>
      <c r="E445" t="s">
        <v>205</v>
      </c>
      <c r="F445" t="s">
        <v>206</v>
      </c>
      <c r="H445" t="s">
        <v>361</v>
      </c>
      <c r="I445" s="7" t="s">
        <v>611</v>
      </c>
      <c r="J445" t="s">
        <v>121</v>
      </c>
      <c r="K445" s="2">
        <v>0.35902777777777778</v>
      </c>
      <c r="L445" s="4" t="str">
        <f>IF(AND(ISNUMBER(H445), COUNTIF([1]Songs!$L:$L,H445)&gt;0),"YES","")</f>
        <v/>
      </c>
    </row>
    <row r="446" spans="1:12" x14ac:dyDescent="0.25">
      <c r="A446" s="4">
        <f>INDEX(Albums!$A:$A, MATCH(C446,Albums!$C:$C,0))</f>
        <v>38</v>
      </c>
      <c r="B446" s="4">
        <f>INDEX(Albums!$B:$B, MATCH(C446,Albums!$C:$C,0))</f>
        <v>2006</v>
      </c>
      <c r="C446" t="s">
        <v>14</v>
      </c>
      <c r="D446">
        <v>15</v>
      </c>
      <c r="E446" t="s">
        <v>14</v>
      </c>
      <c r="F446" t="s">
        <v>147</v>
      </c>
      <c r="G446" t="s">
        <v>359</v>
      </c>
      <c r="H446">
        <v>4591782</v>
      </c>
      <c r="J446" t="s">
        <v>55</v>
      </c>
      <c r="K446" s="2">
        <v>0.28472222222222221</v>
      </c>
      <c r="L446" s="4" t="str">
        <f>IF(AND(ISNUMBER(H446), COUNTIF([1]Songs!$L:$L,H446)&gt;0),"YES","")</f>
        <v>YES</v>
      </c>
    </row>
    <row r="447" spans="1:12" x14ac:dyDescent="0.25">
      <c r="A447" s="4">
        <f>INDEX(Albums!$A:$A, MATCH(C447,Albums!$C:$C,0))</f>
        <v>39</v>
      </c>
      <c r="B447" s="4">
        <f>INDEX(Albums!$B:$B, MATCH(C447,Albums!$C:$C,0))</f>
        <v>2006</v>
      </c>
      <c r="C447" t="s">
        <v>36</v>
      </c>
      <c r="D447">
        <v>1</v>
      </c>
      <c r="E447" t="s">
        <v>1242</v>
      </c>
      <c r="F447" t="s">
        <v>1156</v>
      </c>
      <c r="K447" s="2">
        <v>0.19166666666666665</v>
      </c>
      <c r="L447" s="4"/>
    </row>
    <row r="448" spans="1:12" x14ac:dyDescent="0.25">
      <c r="A448" s="4">
        <f>INDEX(Albums!$A:$A, MATCH(C448,Albums!$C:$C,0))</f>
        <v>39</v>
      </c>
      <c r="B448" s="4">
        <f>INDEX(Albums!$B:$B, MATCH(C448,Albums!$C:$C,0))</f>
        <v>2006</v>
      </c>
      <c r="C448" t="s">
        <v>36</v>
      </c>
      <c r="D448">
        <v>2</v>
      </c>
      <c r="E448" t="s">
        <v>1243</v>
      </c>
      <c r="F448" t="s">
        <v>1157</v>
      </c>
      <c r="K448" s="2">
        <v>0.17430555555555557</v>
      </c>
      <c r="L448" s="4"/>
    </row>
    <row r="449" spans="1:12" x14ac:dyDescent="0.25">
      <c r="A449" s="4">
        <f>INDEX(Albums!$A:$A, MATCH(C449,Albums!$C:$C,0))</f>
        <v>39</v>
      </c>
      <c r="B449" s="4">
        <f>INDEX(Albums!$B:$B, MATCH(C449,Albums!$C:$C,0))</f>
        <v>2006</v>
      </c>
      <c r="C449" t="s">
        <v>36</v>
      </c>
      <c r="D449">
        <v>3</v>
      </c>
      <c r="E449" t="s">
        <v>1244</v>
      </c>
      <c r="F449" t="s">
        <v>1163</v>
      </c>
      <c r="K449" s="2">
        <v>0.25347222222222221</v>
      </c>
      <c r="L449" s="4"/>
    </row>
    <row r="450" spans="1:12" x14ac:dyDescent="0.25">
      <c r="A450" s="4">
        <f>INDEX(Albums!$A:$A, MATCH(C450,Albums!$C:$C,0))</f>
        <v>39</v>
      </c>
      <c r="B450" s="4">
        <f>INDEX(Albums!$B:$B, MATCH(C450,Albums!$C:$C,0))</f>
        <v>2006</v>
      </c>
      <c r="C450" t="s">
        <v>36</v>
      </c>
      <c r="D450">
        <v>4</v>
      </c>
      <c r="E450" t="s">
        <v>1245</v>
      </c>
      <c r="F450" t="s">
        <v>1158</v>
      </c>
      <c r="K450" s="2">
        <v>0.17222222222222225</v>
      </c>
      <c r="L450" s="4"/>
    </row>
    <row r="451" spans="1:12" x14ac:dyDescent="0.25">
      <c r="A451" s="4">
        <f>INDEX(Albums!$A:$A, MATCH(C451,Albums!$C:$C,0))</f>
        <v>39</v>
      </c>
      <c r="B451" s="4">
        <f>INDEX(Albums!$B:$B, MATCH(C451,Albums!$C:$C,0))</f>
        <v>2006</v>
      </c>
      <c r="C451" t="s">
        <v>36</v>
      </c>
      <c r="D451">
        <v>5</v>
      </c>
      <c r="E451" t="s">
        <v>436</v>
      </c>
      <c r="F451" t="s">
        <v>121</v>
      </c>
      <c r="K451" s="2">
        <v>0.20555555555555557</v>
      </c>
      <c r="L451" s="4"/>
    </row>
    <row r="452" spans="1:12" x14ac:dyDescent="0.25">
      <c r="A452" s="4">
        <f>INDEX(Albums!$A:$A, MATCH(C452,Albums!$C:$C,0))</f>
        <v>39</v>
      </c>
      <c r="B452" s="4">
        <f>INDEX(Albums!$B:$B, MATCH(C452,Albums!$C:$C,0))</f>
        <v>2006</v>
      </c>
      <c r="C452" t="s">
        <v>36</v>
      </c>
      <c r="D452">
        <v>6</v>
      </c>
      <c r="E452" t="s">
        <v>876</v>
      </c>
      <c r="F452" t="s">
        <v>1159</v>
      </c>
      <c r="K452" s="2">
        <v>0.18958333333333333</v>
      </c>
      <c r="L452" s="4"/>
    </row>
    <row r="453" spans="1:12" x14ac:dyDescent="0.25">
      <c r="A453" s="4">
        <f>INDEX(Albums!$A:$A, MATCH(C453,Albums!$C:$C,0))</f>
        <v>39</v>
      </c>
      <c r="B453" s="4">
        <f>INDEX(Albums!$B:$B, MATCH(C453,Albums!$C:$C,0))</f>
        <v>2006</v>
      </c>
      <c r="C453" t="s">
        <v>36</v>
      </c>
      <c r="D453">
        <v>7</v>
      </c>
      <c r="E453" t="s">
        <v>1246</v>
      </c>
      <c r="F453" t="s">
        <v>78</v>
      </c>
      <c r="K453" s="2">
        <v>0.19444444444444445</v>
      </c>
      <c r="L453" s="4"/>
    </row>
    <row r="454" spans="1:12" x14ac:dyDescent="0.25">
      <c r="A454" s="4">
        <f>INDEX(Albums!$A:$A, MATCH(C454,Albums!$C:$C,0))</f>
        <v>39</v>
      </c>
      <c r="B454" s="4">
        <f>INDEX(Albums!$B:$B, MATCH(C454,Albums!$C:$C,0))</f>
        <v>2006</v>
      </c>
      <c r="C454" t="s">
        <v>36</v>
      </c>
      <c r="D454">
        <v>8</v>
      </c>
      <c r="E454" t="s">
        <v>462</v>
      </c>
      <c r="F454" t="s">
        <v>187</v>
      </c>
      <c r="K454" s="2">
        <v>0.18333333333333335</v>
      </c>
      <c r="L454" s="4"/>
    </row>
    <row r="455" spans="1:12" x14ac:dyDescent="0.25">
      <c r="A455" s="4">
        <f>INDEX(Albums!$A:$A, MATCH(C455,Albums!$C:$C,0))</f>
        <v>39</v>
      </c>
      <c r="B455" s="4">
        <f>INDEX(Albums!$B:$B, MATCH(C455,Albums!$C:$C,0))</f>
        <v>2006</v>
      </c>
      <c r="C455" t="s">
        <v>36</v>
      </c>
      <c r="D455">
        <v>9</v>
      </c>
      <c r="E455" t="s">
        <v>1247</v>
      </c>
      <c r="F455" t="s">
        <v>121</v>
      </c>
      <c r="K455" s="2">
        <v>0.18333333333333335</v>
      </c>
      <c r="L455" s="4"/>
    </row>
    <row r="456" spans="1:12" x14ac:dyDescent="0.25">
      <c r="A456" s="4">
        <f>INDEX(Albums!$A:$A, MATCH(C456,Albums!$C:$C,0))</f>
        <v>39</v>
      </c>
      <c r="B456" s="4">
        <f>INDEX(Albums!$B:$B, MATCH(C456,Albums!$C:$C,0))</f>
        <v>2006</v>
      </c>
      <c r="C456" t="s">
        <v>36</v>
      </c>
      <c r="D456">
        <v>10</v>
      </c>
      <c r="E456" t="s">
        <v>1248</v>
      </c>
      <c r="F456" t="s">
        <v>1160</v>
      </c>
      <c r="K456" s="2">
        <v>0.24444444444444446</v>
      </c>
      <c r="L456" s="4"/>
    </row>
    <row r="457" spans="1:12" x14ac:dyDescent="0.25">
      <c r="A457" s="4">
        <f>INDEX(Albums!$A:$A, MATCH(C457,Albums!$C:$C,0))</f>
        <v>39</v>
      </c>
      <c r="B457" s="4">
        <f>INDEX(Albums!$B:$B, MATCH(C457,Albums!$C:$C,0))</f>
        <v>2006</v>
      </c>
      <c r="C457" t="s">
        <v>36</v>
      </c>
      <c r="D457">
        <v>11</v>
      </c>
      <c r="E457" t="s">
        <v>522</v>
      </c>
      <c r="F457" t="s">
        <v>121</v>
      </c>
      <c r="K457" s="2">
        <v>0.23124999999999998</v>
      </c>
      <c r="L457" s="4"/>
    </row>
    <row r="458" spans="1:12" x14ac:dyDescent="0.25">
      <c r="A458" s="4">
        <f>INDEX(Albums!$A:$A, MATCH(C458,Albums!$C:$C,0))</f>
        <v>39</v>
      </c>
      <c r="B458" s="4">
        <f>INDEX(Albums!$B:$B, MATCH(C458,Albums!$C:$C,0))</f>
        <v>2006</v>
      </c>
      <c r="C458" t="s">
        <v>36</v>
      </c>
      <c r="D458">
        <v>12</v>
      </c>
      <c r="E458" t="s">
        <v>1249</v>
      </c>
      <c r="F458" t="s">
        <v>1161</v>
      </c>
      <c r="K458" s="2">
        <v>0.11944444444444445</v>
      </c>
      <c r="L458" s="4"/>
    </row>
    <row r="459" spans="1:12" x14ac:dyDescent="0.25">
      <c r="A459" s="4">
        <f>INDEX(Albums!$A:$A, MATCH(C459,Albums!$C:$C,0))</f>
        <v>39</v>
      </c>
      <c r="B459" s="4">
        <f>INDEX(Albums!$B:$B, MATCH(C459,Albums!$C:$C,0))</f>
        <v>2006</v>
      </c>
      <c r="C459" t="s">
        <v>36</v>
      </c>
      <c r="D459">
        <v>13</v>
      </c>
      <c r="E459" t="s">
        <v>967</v>
      </c>
      <c r="F459" t="s">
        <v>55</v>
      </c>
      <c r="K459" s="2">
        <v>0.22152777777777777</v>
      </c>
      <c r="L459" s="4"/>
    </row>
    <row r="460" spans="1:12" x14ac:dyDescent="0.25">
      <c r="A460" s="4">
        <f>INDEX(Albums!$A:$A, MATCH(C460,Albums!$C:$C,0))</f>
        <v>39</v>
      </c>
      <c r="B460" s="4">
        <f>INDEX(Albums!$B:$B, MATCH(C460,Albums!$C:$C,0))</f>
        <v>2006</v>
      </c>
      <c r="C460" t="s">
        <v>36</v>
      </c>
      <c r="D460">
        <v>14</v>
      </c>
      <c r="E460" t="s">
        <v>1250</v>
      </c>
      <c r="F460" t="s">
        <v>1162</v>
      </c>
      <c r="K460" s="2">
        <v>0.17291666666666669</v>
      </c>
      <c r="L460" s="4"/>
    </row>
    <row r="461" spans="1:12" x14ac:dyDescent="0.25">
      <c r="A461" s="4">
        <f>INDEX(Albums!$A:$A, MATCH(C461,Albums!$C:$C,0))</f>
        <v>40</v>
      </c>
      <c r="B461" s="4">
        <f>INDEX(Albums!$B:$B, MATCH(C461,Albums!$C:$C,0))</f>
        <v>2006</v>
      </c>
      <c r="C461" t="s">
        <v>661</v>
      </c>
      <c r="D461">
        <v>1</v>
      </c>
      <c r="E461" t="s">
        <v>844</v>
      </c>
      <c r="F461" t="s">
        <v>751</v>
      </c>
      <c r="H461" t="s">
        <v>361</v>
      </c>
      <c r="I461" s="7" t="s">
        <v>657</v>
      </c>
      <c r="K461" s="2">
        <v>6.3888888888888884E-2</v>
      </c>
      <c r="L461" t="str">
        <f>IF(AND(ISNUMBER(H461), COUNTIF([1]Songs!$L:$L,H461)&gt;0),"YES","")</f>
        <v/>
      </c>
    </row>
    <row r="462" spans="1:12" x14ac:dyDescent="0.25">
      <c r="A462" s="4">
        <f>INDEX(Albums!$A:$A, MATCH(C462,Albums!$C:$C,0))</f>
        <v>40</v>
      </c>
      <c r="B462" s="4">
        <f>INDEX(Albums!$B:$B, MATCH(C462,Albums!$C:$C,0))</f>
        <v>2006</v>
      </c>
      <c r="C462" t="s">
        <v>661</v>
      </c>
      <c r="D462">
        <v>2</v>
      </c>
      <c r="E462" t="s">
        <v>833</v>
      </c>
      <c r="F462" t="s">
        <v>58</v>
      </c>
      <c r="G462" t="s">
        <v>359</v>
      </c>
      <c r="H462">
        <v>4705145</v>
      </c>
      <c r="J462" t="s">
        <v>58</v>
      </c>
      <c r="K462" s="2">
        <v>0.19444444444444445</v>
      </c>
      <c r="L462" t="str">
        <f>IF(AND(ISNUMBER(H462), COUNTIF([1]Songs!$L:$L,H462)&gt;0),"YES","")</f>
        <v/>
      </c>
    </row>
    <row r="463" spans="1:12" x14ac:dyDescent="0.25">
      <c r="A463" s="4">
        <f>INDEX(Albums!$A:$A, MATCH(C463,Albums!$C:$C,0))</f>
        <v>40</v>
      </c>
      <c r="B463" s="4">
        <f>INDEX(Albums!$B:$B, MATCH(C463,Albums!$C:$C,0))</f>
        <v>2006</v>
      </c>
      <c r="C463" t="s">
        <v>661</v>
      </c>
      <c r="D463">
        <v>3</v>
      </c>
      <c r="E463" t="s">
        <v>189</v>
      </c>
      <c r="F463" t="s">
        <v>599</v>
      </c>
      <c r="G463" t="s">
        <v>362</v>
      </c>
      <c r="H463">
        <v>4705152</v>
      </c>
      <c r="J463" t="s">
        <v>69</v>
      </c>
      <c r="K463" s="2">
        <v>0.13055555555555556</v>
      </c>
      <c r="L463" t="str">
        <f>IF(AND(ISNUMBER(H463), COUNTIF([1]Songs!$L:$L,H463)&gt;0),"YES","")</f>
        <v/>
      </c>
    </row>
    <row r="464" spans="1:12" x14ac:dyDescent="0.25">
      <c r="A464" s="4">
        <f>INDEX(Albums!$A:$A, MATCH(C464,Albums!$C:$C,0))</f>
        <v>40</v>
      </c>
      <c r="B464" s="4">
        <f>INDEX(Albums!$B:$B, MATCH(C464,Albums!$C:$C,0))</f>
        <v>2006</v>
      </c>
      <c r="C464" t="s">
        <v>661</v>
      </c>
      <c r="D464">
        <v>4</v>
      </c>
      <c r="E464" t="s">
        <v>845</v>
      </c>
      <c r="F464" t="s">
        <v>76</v>
      </c>
      <c r="G464" t="s">
        <v>594</v>
      </c>
      <c r="H464">
        <v>4705169</v>
      </c>
      <c r="J464" t="s">
        <v>752</v>
      </c>
      <c r="K464" s="2">
        <v>0.13958333333333334</v>
      </c>
      <c r="L464" t="str">
        <f>IF(AND(ISNUMBER(H464), COUNTIF([1]Songs!$L:$L,H464)&gt;0),"YES","")</f>
        <v/>
      </c>
    </row>
    <row r="465" spans="1:12" x14ac:dyDescent="0.25">
      <c r="A465" s="4">
        <f>INDEX(Albums!$A:$A, MATCH(C465,Albums!$C:$C,0))</f>
        <v>40</v>
      </c>
      <c r="B465" s="4">
        <f>INDEX(Albums!$B:$B, MATCH(C465,Albums!$C:$C,0))</f>
        <v>2006</v>
      </c>
      <c r="C465" t="s">
        <v>661</v>
      </c>
      <c r="D465">
        <v>5</v>
      </c>
      <c r="E465" t="s">
        <v>823</v>
      </c>
      <c r="F465" t="s">
        <v>672</v>
      </c>
      <c r="G465" t="s">
        <v>358</v>
      </c>
      <c r="H465">
        <v>4705176</v>
      </c>
      <c r="I465" s="7" t="s">
        <v>953</v>
      </c>
      <c r="J465" t="s">
        <v>58</v>
      </c>
      <c r="K465" s="2">
        <v>0.26250000000000001</v>
      </c>
      <c r="L465" t="str">
        <f>IF(AND(ISNUMBER(H465), COUNTIF([1]Songs!$L:$L,H465)&gt;0),"YES","")</f>
        <v>YES</v>
      </c>
    </row>
    <row r="466" spans="1:12" x14ac:dyDescent="0.25">
      <c r="A466" s="4">
        <f>INDEX(Albums!$A:$A, MATCH(C466,Albums!$C:$C,0))</f>
        <v>40</v>
      </c>
      <c r="B466" s="4">
        <f>INDEX(Albums!$B:$B, MATCH(C466,Albums!$C:$C,0))</f>
        <v>2006</v>
      </c>
      <c r="C466" t="s">
        <v>661</v>
      </c>
      <c r="D466">
        <v>6</v>
      </c>
      <c r="E466" t="s">
        <v>842</v>
      </c>
      <c r="F466" t="s">
        <v>753</v>
      </c>
      <c r="G466" t="s">
        <v>358</v>
      </c>
      <c r="H466">
        <v>4705190</v>
      </c>
      <c r="I466" s="7" t="s">
        <v>953</v>
      </c>
      <c r="J466" t="s">
        <v>754</v>
      </c>
      <c r="K466" s="2">
        <v>0.20694444444444446</v>
      </c>
      <c r="L466" t="str">
        <f>IF(AND(ISNUMBER(H466), COUNTIF([1]Songs!$L:$L,H466)&gt;0),"YES","")</f>
        <v>YES</v>
      </c>
    </row>
    <row r="467" spans="1:12" x14ac:dyDescent="0.25">
      <c r="A467" s="4">
        <f>INDEX(Albums!$A:$A, MATCH(C467,Albums!$C:$C,0))</f>
        <v>40</v>
      </c>
      <c r="B467" s="4">
        <f>INDEX(Albums!$B:$B, MATCH(C467,Albums!$C:$C,0))</f>
        <v>2006</v>
      </c>
      <c r="C467" t="s">
        <v>661</v>
      </c>
      <c r="D467">
        <v>7</v>
      </c>
      <c r="E467" t="s">
        <v>846</v>
      </c>
      <c r="F467" t="s">
        <v>755</v>
      </c>
      <c r="H467" t="s">
        <v>361</v>
      </c>
      <c r="J467" t="s">
        <v>69</v>
      </c>
      <c r="K467" s="2">
        <v>0.11944444444444445</v>
      </c>
      <c r="L467" t="str">
        <f>IF(AND(ISNUMBER(H467), COUNTIF([1]Songs!$L:$L,H467)&gt;0),"YES","")</f>
        <v/>
      </c>
    </row>
    <row r="468" spans="1:12" x14ac:dyDescent="0.25">
      <c r="A468" s="4">
        <f>INDEX(Albums!$A:$A, MATCH(C468,Albums!$C:$C,0))</f>
        <v>40</v>
      </c>
      <c r="B468" s="4">
        <f>INDEX(Albums!$B:$B, MATCH(C468,Albums!$C:$C,0))</f>
        <v>2006</v>
      </c>
      <c r="C468" t="s">
        <v>661</v>
      </c>
      <c r="D468">
        <v>8</v>
      </c>
      <c r="E468" t="s">
        <v>847</v>
      </c>
      <c r="F468" t="s">
        <v>134</v>
      </c>
      <c r="G468" t="s">
        <v>362</v>
      </c>
      <c r="H468">
        <v>4726186</v>
      </c>
      <c r="J468" t="s">
        <v>134</v>
      </c>
      <c r="K468" s="2">
        <v>0.22847222222222222</v>
      </c>
      <c r="L468" t="str">
        <f>IF(AND(ISNUMBER(H468), COUNTIF([1]Songs!$L:$L,H468)&gt;0),"YES","")</f>
        <v/>
      </c>
    </row>
    <row r="469" spans="1:12" x14ac:dyDescent="0.25">
      <c r="A469" s="4">
        <f>INDEX(Albums!$A:$A, MATCH(C469,Albums!$C:$C,0))</f>
        <v>40</v>
      </c>
      <c r="B469" s="4">
        <f>INDEX(Albums!$B:$B, MATCH(C469,Albums!$C:$C,0))</f>
        <v>2006</v>
      </c>
      <c r="C469" t="s">
        <v>661</v>
      </c>
      <c r="D469">
        <v>9</v>
      </c>
      <c r="E469" t="s">
        <v>848</v>
      </c>
      <c r="H469" t="s">
        <v>361</v>
      </c>
      <c r="J469" t="s">
        <v>134</v>
      </c>
      <c r="K469" s="2">
        <v>7.1527777777777787E-2</v>
      </c>
      <c r="L469" t="str">
        <f>IF(AND(ISNUMBER(H469), COUNTIF([1]Songs!$L:$L,H469)&gt;0),"YES","")</f>
        <v/>
      </c>
    </row>
    <row r="470" spans="1:12" x14ac:dyDescent="0.25">
      <c r="A470" s="4">
        <f>INDEX(Albums!$A:$A, MATCH(C470,Albums!$C:$C,0))</f>
        <v>40</v>
      </c>
      <c r="B470" s="4">
        <f>INDEX(Albums!$B:$B, MATCH(C470,Albums!$C:$C,0))</f>
        <v>2006</v>
      </c>
      <c r="C470" t="s">
        <v>661</v>
      </c>
      <c r="D470">
        <v>10</v>
      </c>
      <c r="E470" t="s">
        <v>849</v>
      </c>
      <c r="F470" t="s">
        <v>673</v>
      </c>
      <c r="G470" t="s">
        <v>596</v>
      </c>
      <c r="H470">
        <v>4705200</v>
      </c>
      <c r="J470" t="s">
        <v>69</v>
      </c>
      <c r="K470" s="2">
        <v>0.45208333333333334</v>
      </c>
      <c r="L470" t="str">
        <f>IF(AND(ISNUMBER(H470), COUNTIF([1]Songs!$L:$L,H470)&gt;0),"YES","")</f>
        <v/>
      </c>
    </row>
    <row r="471" spans="1:12" x14ac:dyDescent="0.25">
      <c r="A471" s="4">
        <f>INDEX(Albums!$A:$A, MATCH(C471,Albums!$C:$C,0))</f>
        <v>40</v>
      </c>
      <c r="B471" s="4">
        <f>INDEX(Albums!$B:$B, MATCH(C471,Albums!$C:$C,0))</f>
        <v>2006</v>
      </c>
      <c r="C471" t="s">
        <v>661</v>
      </c>
      <c r="D471">
        <v>11</v>
      </c>
      <c r="E471" t="s">
        <v>850</v>
      </c>
      <c r="F471" t="s">
        <v>756</v>
      </c>
      <c r="G471" t="s">
        <v>600</v>
      </c>
      <c r="H471">
        <v>4722764</v>
      </c>
      <c r="J471" t="s">
        <v>80</v>
      </c>
      <c r="K471" s="2">
        <v>0.15555555555555556</v>
      </c>
      <c r="L471" t="str">
        <f>IF(AND(ISNUMBER(H471), COUNTIF([1]Songs!$L:$L,H471)&gt;0),"YES","")</f>
        <v/>
      </c>
    </row>
    <row r="472" spans="1:12" x14ac:dyDescent="0.25">
      <c r="A472" s="4">
        <f>INDEX(Albums!$A:$A, MATCH(C472,Albums!$C:$C,0))</f>
        <v>40</v>
      </c>
      <c r="B472" s="4">
        <f>INDEX(Albums!$B:$B, MATCH(C472,Albums!$C:$C,0))</f>
        <v>2006</v>
      </c>
      <c r="C472" t="s">
        <v>661</v>
      </c>
      <c r="D472">
        <v>12</v>
      </c>
      <c r="E472" t="s">
        <v>851</v>
      </c>
      <c r="F472" t="s">
        <v>54</v>
      </c>
      <c r="G472" t="s">
        <v>355</v>
      </c>
      <c r="H472">
        <v>4705217</v>
      </c>
      <c r="J472" t="s">
        <v>62</v>
      </c>
      <c r="K472" s="2">
        <v>0.20694444444444446</v>
      </c>
      <c r="L472" t="str">
        <f>IF(AND(ISNUMBER(H472), COUNTIF([1]Songs!$L:$L,H472)&gt;0),"YES","")</f>
        <v/>
      </c>
    </row>
    <row r="473" spans="1:12" x14ac:dyDescent="0.25">
      <c r="A473" s="4">
        <f>INDEX(Albums!$A:$A, MATCH(C473,Albums!$C:$C,0))</f>
        <v>40</v>
      </c>
      <c r="B473" s="4">
        <f>INDEX(Albums!$B:$B, MATCH(C473,Albums!$C:$C,0))</f>
        <v>2006</v>
      </c>
      <c r="C473" t="s">
        <v>661</v>
      </c>
      <c r="D473">
        <v>13</v>
      </c>
      <c r="E473" t="s">
        <v>852</v>
      </c>
      <c r="F473" t="s">
        <v>672</v>
      </c>
      <c r="G473" t="s">
        <v>356</v>
      </c>
      <c r="H473">
        <v>4705224</v>
      </c>
      <c r="J473" t="s">
        <v>58</v>
      </c>
      <c r="K473" s="2">
        <v>0.10902777777777778</v>
      </c>
      <c r="L473" t="str">
        <f>IF(AND(ISNUMBER(H473), COUNTIF([1]Songs!$L:$L,H473)&gt;0),"YES","")</f>
        <v/>
      </c>
    </row>
    <row r="474" spans="1:12" x14ac:dyDescent="0.25">
      <c r="A474" s="4">
        <f>INDEX(Albums!$A:$A, MATCH(C474,Albums!$C:$C,0))</f>
        <v>40</v>
      </c>
      <c r="B474" s="4">
        <f>INDEX(Albums!$B:$B, MATCH(C474,Albums!$C:$C,0))</f>
        <v>2006</v>
      </c>
      <c r="C474" t="s">
        <v>661</v>
      </c>
      <c r="D474">
        <v>14</v>
      </c>
      <c r="E474" t="s">
        <v>853</v>
      </c>
      <c r="F474" t="s">
        <v>78</v>
      </c>
      <c r="G474" t="s">
        <v>358</v>
      </c>
      <c r="H474">
        <v>4705231</v>
      </c>
      <c r="J474" t="s">
        <v>757</v>
      </c>
      <c r="K474" s="2">
        <v>0.21805555555555556</v>
      </c>
      <c r="L474" t="str">
        <f>IF(AND(ISNUMBER(H474), COUNTIF([1]Songs!$L:$L,H474)&gt;0),"YES","")</f>
        <v/>
      </c>
    </row>
    <row r="475" spans="1:12" x14ac:dyDescent="0.25">
      <c r="A475" s="4">
        <f>INDEX(Albums!$A:$A, MATCH(C475,Albums!$C:$C,0))</f>
        <v>40</v>
      </c>
      <c r="B475" s="4">
        <f>INDEX(Albums!$B:$B, MATCH(C475,Albums!$C:$C,0))</f>
        <v>2006</v>
      </c>
      <c r="C475" t="s">
        <v>661</v>
      </c>
      <c r="D475">
        <v>15</v>
      </c>
      <c r="E475" t="s">
        <v>822</v>
      </c>
      <c r="F475" t="s">
        <v>672</v>
      </c>
      <c r="G475" t="s">
        <v>359</v>
      </c>
      <c r="H475">
        <v>4705248</v>
      </c>
      <c r="I475" s="7" t="s">
        <v>953</v>
      </c>
      <c r="J475" t="s">
        <v>58</v>
      </c>
      <c r="K475" s="2">
        <v>0.28541666666666665</v>
      </c>
      <c r="L475" t="str">
        <f>IF(AND(ISNUMBER(H475), COUNTIF([1]Songs!$L:$L,H475)&gt;0),"YES","")</f>
        <v>YES</v>
      </c>
    </row>
    <row r="476" spans="1:12" x14ac:dyDescent="0.25">
      <c r="A476" s="4">
        <f>INDEX(Albums!$A:$A, MATCH(C476,Albums!$C:$C,0))</f>
        <v>40</v>
      </c>
      <c r="B476" s="4">
        <f>INDEX(Albums!$B:$B, MATCH(C476,Albums!$C:$C,0))</f>
        <v>2006</v>
      </c>
      <c r="C476" t="s">
        <v>661</v>
      </c>
      <c r="D476">
        <v>16</v>
      </c>
      <c r="E476" t="s">
        <v>848</v>
      </c>
      <c r="H476" t="s">
        <v>361</v>
      </c>
      <c r="I476" s="7" t="s">
        <v>955</v>
      </c>
      <c r="J476" t="s">
        <v>62</v>
      </c>
      <c r="K476" s="2">
        <v>0.15069444444444444</v>
      </c>
      <c r="L476" t="str">
        <f>IF(AND(ISNUMBER(H476), COUNTIF([1]Songs!$L:$L,H476)&gt;0),"YES","")</f>
        <v/>
      </c>
    </row>
    <row r="477" spans="1:12" x14ac:dyDescent="0.25">
      <c r="A477" s="4">
        <f>INDEX(Albums!$A:$A, MATCH(C477,Albums!$C:$C,0))</f>
        <v>40</v>
      </c>
      <c r="B477" s="4">
        <f>INDEX(Albums!$B:$B, MATCH(C477,Albums!$C:$C,0))</f>
        <v>2006</v>
      </c>
      <c r="C477" t="s">
        <v>661</v>
      </c>
      <c r="D477">
        <v>17</v>
      </c>
      <c r="E477" t="s">
        <v>457</v>
      </c>
      <c r="F477" t="s">
        <v>758</v>
      </c>
      <c r="G477" t="s">
        <v>359</v>
      </c>
      <c r="H477">
        <v>4710484</v>
      </c>
      <c r="J477" t="s">
        <v>58</v>
      </c>
      <c r="K477" s="2">
        <v>0.15555555555555556</v>
      </c>
      <c r="L477" t="str">
        <f>IF(AND(ISNUMBER(H477), COUNTIF([1]Songs!$L:$L,H477)&gt;0),"YES","")</f>
        <v/>
      </c>
    </row>
    <row r="478" spans="1:12" x14ac:dyDescent="0.25">
      <c r="A478" s="4">
        <f>INDEX(Albums!$A:$A, MATCH(C478,Albums!$C:$C,0))</f>
        <v>41</v>
      </c>
      <c r="B478" s="4">
        <f>INDEX(Albums!$B:$B, MATCH(C478,Albums!$C:$C,0))</f>
        <v>2007</v>
      </c>
      <c r="C478" t="s">
        <v>667</v>
      </c>
      <c r="D478">
        <v>1</v>
      </c>
      <c r="E478" t="s">
        <v>895</v>
      </c>
      <c r="F478" t="s">
        <v>58</v>
      </c>
      <c r="J478" t="s">
        <v>58</v>
      </c>
      <c r="K478" s="2">
        <v>0.18194444444444444</v>
      </c>
      <c r="L478" t="str">
        <f>IF(AND(ISNUMBER(H478), COUNTIF([1]Songs!$L:$L,H478)&gt;0),"YES","")</f>
        <v/>
      </c>
    </row>
    <row r="479" spans="1:12" x14ac:dyDescent="0.25">
      <c r="A479" s="4">
        <f>INDEX(Albums!$A:$A, MATCH(C479,Albums!$C:$C,0))</f>
        <v>41</v>
      </c>
      <c r="B479" s="4">
        <f>INDEX(Albums!$B:$B, MATCH(C479,Albums!$C:$C,0))</f>
        <v>2007</v>
      </c>
      <c r="C479" t="s">
        <v>667</v>
      </c>
      <c r="D479">
        <v>2</v>
      </c>
      <c r="E479" t="s">
        <v>330</v>
      </c>
      <c r="F479" t="s">
        <v>797</v>
      </c>
      <c r="J479" t="s">
        <v>547</v>
      </c>
      <c r="K479" s="2">
        <v>0.17152777777777775</v>
      </c>
      <c r="L479" t="str">
        <f>IF(AND(ISNUMBER(H479), COUNTIF([1]Songs!$L:$L,H479)&gt;0),"YES","")</f>
        <v/>
      </c>
    </row>
    <row r="480" spans="1:12" x14ac:dyDescent="0.25">
      <c r="A480" s="4">
        <f>INDEX(Albums!$A:$A, MATCH(C480,Albums!$C:$C,0))</f>
        <v>41</v>
      </c>
      <c r="B480" s="4">
        <f>INDEX(Albums!$B:$B, MATCH(C480,Albums!$C:$C,0))</f>
        <v>2007</v>
      </c>
      <c r="C480" t="s">
        <v>667</v>
      </c>
      <c r="D480">
        <v>3</v>
      </c>
      <c r="E480" t="s">
        <v>896</v>
      </c>
      <c r="F480" t="s">
        <v>778</v>
      </c>
      <c r="J480" t="s">
        <v>58</v>
      </c>
      <c r="K480" s="2">
        <v>0.22847222222222222</v>
      </c>
      <c r="L480" t="str">
        <f>IF(AND(ISNUMBER(H480), COUNTIF([1]Songs!$L:$L,H480)&gt;0),"YES","")</f>
        <v/>
      </c>
    </row>
    <row r="481" spans="1:12" x14ac:dyDescent="0.25">
      <c r="A481" s="4">
        <f>INDEX(Albums!$A:$A, MATCH(C481,Albums!$C:$C,0))</f>
        <v>41</v>
      </c>
      <c r="B481" s="4">
        <f>INDEX(Albums!$B:$B, MATCH(C481,Albums!$C:$C,0))</f>
        <v>2007</v>
      </c>
      <c r="C481" t="s">
        <v>667</v>
      </c>
      <c r="D481">
        <v>4</v>
      </c>
      <c r="E481" t="s">
        <v>897</v>
      </c>
      <c r="F481" t="s">
        <v>69</v>
      </c>
      <c r="J481" t="s">
        <v>69</v>
      </c>
      <c r="K481" s="2">
        <v>0.24930555555555556</v>
      </c>
      <c r="L481" t="str">
        <f>IF(AND(ISNUMBER(H481), COUNTIF([1]Songs!$L:$L,H481)&gt;0),"YES","")</f>
        <v/>
      </c>
    </row>
    <row r="482" spans="1:12" x14ac:dyDescent="0.25">
      <c r="A482" s="4">
        <f>INDEX(Albums!$A:$A, MATCH(C482,Albums!$C:$C,0))</f>
        <v>41</v>
      </c>
      <c r="B482" s="4">
        <f>INDEX(Albums!$B:$B, MATCH(C482,Albums!$C:$C,0))</f>
        <v>2007</v>
      </c>
      <c r="C482" t="s">
        <v>667</v>
      </c>
      <c r="D482">
        <v>5</v>
      </c>
      <c r="E482" t="s">
        <v>898</v>
      </c>
      <c r="F482" t="s">
        <v>82</v>
      </c>
      <c r="J482" t="s">
        <v>62</v>
      </c>
      <c r="K482" s="2">
        <v>5.9722222222222225E-2</v>
      </c>
      <c r="L482" t="str">
        <f>IF(AND(ISNUMBER(H482), COUNTIF([1]Songs!$L:$L,H482)&gt;0),"YES","")</f>
        <v/>
      </c>
    </row>
    <row r="483" spans="1:12" x14ac:dyDescent="0.25">
      <c r="A483" s="4">
        <f>INDEX(Albums!$A:$A, MATCH(C483,Albums!$C:$C,0))</f>
        <v>41</v>
      </c>
      <c r="B483" s="4">
        <f>INDEX(Albums!$B:$B, MATCH(C483,Albums!$C:$C,0))</f>
        <v>2007</v>
      </c>
      <c r="C483" t="s">
        <v>667</v>
      </c>
      <c r="D483">
        <v>6</v>
      </c>
      <c r="E483" t="s">
        <v>899</v>
      </c>
      <c r="F483" t="s">
        <v>134</v>
      </c>
      <c r="I483" s="7" t="s">
        <v>953</v>
      </c>
      <c r="J483" t="s">
        <v>134</v>
      </c>
      <c r="K483" s="2">
        <v>0.17916666666666667</v>
      </c>
      <c r="L483" t="str">
        <f>IF(AND(ISNUMBER(H483), COUNTIF([1]Songs!$L:$L,H483)&gt;0),"YES","")</f>
        <v/>
      </c>
    </row>
    <row r="484" spans="1:12" x14ac:dyDescent="0.25">
      <c r="A484" s="4">
        <f>INDEX(Albums!$A:$A, MATCH(C484,Albums!$C:$C,0))</f>
        <v>41</v>
      </c>
      <c r="B484" s="4">
        <f>INDEX(Albums!$B:$B, MATCH(C484,Albums!$C:$C,0))</f>
        <v>2007</v>
      </c>
      <c r="C484" t="s">
        <v>667</v>
      </c>
      <c r="D484">
        <v>7</v>
      </c>
      <c r="E484" t="s">
        <v>196</v>
      </c>
      <c r="F484" t="s">
        <v>197</v>
      </c>
      <c r="J484" t="s">
        <v>62</v>
      </c>
      <c r="K484" s="2">
        <v>0.25138888888888888</v>
      </c>
      <c r="L484" t="str">
        <f>IF(AND(ISNUMBER(H484), COUNTIF([1]Songs!$L:$L,H484)&gt;0),"YES","")</f>
        <v/>
      </c>
    </row>
    <row r="485" spans="1:12" x14ac:dyDescent="0.25">
      <c r="A485" s="4">
        <f>INDEX(Albums!$A:$A, MATCH(C485,Albums!$C:$C,0))</f>
        <v>41</v>
      </c>
      <c r="B485" s="4">
        <f>INDEX(Albums!$B:$B, MATCH(C485,Albums!$C:$C,0))</f>
        <v>2007</v>
      </c>
      <c r="C485" t="s">
        <v>667</v>
      </c>
      <c r="D485">
        <v>8</v>
      </c>
      <c r="E485" t="s">
        <v>338</v>
      </c>
      <c r="F485" t="s">
        <v>134</v>
      </c>
      <c r="I485" s="7" t="s">
        <v>953</v>
      </c>
      <c r="J485" t="s">
        <v>134</v>
      </c>
      <c r="K485" s="2">
        <v>0.22916666666666666</v>
      </c>
      <c r="L485" t="str">
        <f>IF(AND(ISNUMBER(H485), COUNTIF([1]Songs!$L:$L,H485)&gt;0),"YES","")</f>
        <v/>
      </c>
    </row>
    <row r="486" spans="1:12" x14ac:dyDescent="0.25">
      <c r="A486" s="4">
        <f>INDEX(Albums!$A:$A, MATCH(C486,Albums!$C:$C,0))</f>
        <v>41</v>
      </c>
      <c r="B486" s="4">
        <f>INDEX(Albums!$B:$B, MATCH(C486,Albums!$C:$C,0))</f>
        <v>2007</v>
      </c>
      <c r="C486" t="s">
        <v>667</v>
      </c>
      <c r="D486">
        <v>9</v>
      </c>
      <c r="E486" t="s">
        <v>900</v>
      </c>
      <c r="F486" t="s">
        <v>82</v>
      </c>
      <c r="J486" t="s">
        <v>798</v>
      </c>
      <c r="K486" s="2">
        <v>0.15069444444444444</v>
      </c>
      <c r="L486" t="str">
        <f>IF(AND(ISNUMBER(H486), COUNTIF([1]Songs!$L:$L,H486)&gt;0),"YES","")</f>
        <v/>
      </c>
    </row>
    <row r="487" spans="1:12" x14ac:dyDescent="0.25">
      <c r="A487" s="4">
        <f>INDEX(Albums!$A:$A, MATCH(C487,Albums!$C:$C,0))</f>
        <v>41</v>
      </c>
      <c r="B487" s="4">
        <f>INDEX(Albums!$B:$B, MATCH(C487,Albums!$C:$C,0))</f>
        <v>2007</v>
      </c>
      <c r="C487" t="s">
        <v>667</v>
      </c>
      <c r="D487">
        <v>10</v>
      </c>
      <c r="E487" t="s">
        <v>843</v>
      </c>
      <c r="F487" t="s">
        <v>779</v>
      </c>
      <c r="J487" t="s">
        <v>58</v>
      </c>
      <c r="K487" s="2">
        <v>0.19236111111111112</v>
      </c>
      <c r="L487" t="str">
        <f>IF(AND(ISNUMBER(H487), COUNTIF([1]Songs!$L:$L,H487)&gt;0),"YES","")</f>
        <v/>
      </c>
    </row>
    <row r="488" spans="1:12" x14ac:dyDescent="0.25">
      <c r="A488" s="4">
        <f>INDEX(Albums!$A:$A, MATCH(C488,Albums!$C:$C,0))</f>
        <v>41</v>
      </c>
      <c r="B488" s="4">
        <f>INDEX(Albums!$B:$B, MATCH(C488,Albums!$C:$C,0))</f>
        <v>2007</v>
      </c>
      <c r="C488" t="s">
        <v>667</v>
      </c>
      <c r="D488">
        <v>11</v>
      </c>
      <c r="E488" t="s">
        <v>837</v>
      </c>
      <c r="F488" t="s">
        <v>799</v>
      </c>
      <c r="J488" t="s">
        <v>547</v>
      </c>
      <c r="K488" s="2">
        <v>0.17916666666666667</v>
      </c>
      <c r="L488" t="str">
        <f>IF(AND(ISNUMBER(H488), COUNTIF([1]Songs!$L:$L,H488)&gt;0),"YES","")</f>
        <v/>
      </c>
    </row>
    <row r="489" spans="1:12" x14ac:dyDescent="0.25">
      <c r="A489" s="4">
        <f>INDEX(Albums!$A:$A, MATCH(C489,Albums!$C:$C,0))</f>
        <v>41</v>
      </c>
      <c r="B489" s="4">
        <f>INDEX(Albums!$B:$B, MATCH(C489,Albums!$C:$C,0))</f>
        <v>2007</v>
      </c>
      <c r="C489" t="s">
        <v>667</v>
      </c>
      <c r="D489">
        <v>12</v>
      </c>
      <c r="E489" t="s">
        <v>901</v>
      </c>
      <c r="F489" t="s">
        <v>672</v>
      </c>
      <c r="J489" t="s">
        <v>58</v>
      </c>
      <c r="K489" s="2">
        <v>0.25069444444444444</v>
      </c>
      <c r="L489" t="str">
        <f>IF(AND(ISNUMBER(H489), COUNTIF([1]Songs!$L:$L,H489)&gt;0),"YES","")</f>
        <v/>
      </c>
    </row>
    <row r="490" spans="1:12" x14ac:dyDescent="0.25">
      <c r="A490" s="4">
        <f>INDEX(Albums!$A:$A, MATCH(C490,Albums!$C:$C,0))</f>
        <v>41</v>
      </c>
      <c r="B490" s="4">
        <f>INDEX(Albums!$B:$B, MATCH(C490,Albums!$C:$C,0))</f>
        <v>2007</v>
      </c>
      <c r="C490" t="s">
        <v>667</v>
      </c>
      <c r="D490">
        <v>13</v>
      </c>
      <c r="E490" t="s">
        <v>140</v>
      </c>
      <c r="F490" t="s">
        <v>800</v>
      </c>
      <c r="J490" t="s">
        <v>81</v>
      </c>
      <c r="K490" s="2">
        <v>0.21041666666666667</v>
      </c>
      <c r="L490" t="str">
        <f>IF(AND(ISNUMBER(H490), COUNTIF([1]Songs!$L:$L,H490)&gt;0),"YES","")</f>
        <v/>
      </c>
    </row>
    <row r="491" spans="1:12" x14ac:dyDescent="0.25">
      <c r="A491" s="4">
        <f>INDEX(Albums!$A:$A, MATCH(C491,Albums!$C:$C,0))</f>
        <v>41</v>
      </c>
      <c r="B491" s="4">
        <f>INDEX(Albums!$B:$B, MATCH(C491,Albums!$C:$C,0))</f>
        <v>2007</v>
      </c>
      <c r="C491" t="s">
        <v>667</v>
      </c>
      <c r="D491">
        <v>14</v>
      </c>
      <c r="E491" t="s">
        <v>15</v>
      </c>
      <c r="F491" t="s">
        <v>801</v>
      </c>
      <c r="J491" t="s">
        <v>62</v>
      </c>
      <c r="K491" s="2">
        <v>0.51111111111111118</v>
      </c>
      <c r="L491" t="str">
        <f>IF(AND(ISNUMBER(H491), COUNTIF([1]Songs!$L:$L,H491)&gt;0),"YES","")</f>
        <v/>
      </c>
    </row>
    <row r="492" spans="1:12" x14ac:dyDescent="0.25">
      <c r="A492" s="4">
        <f>INDEX(Albums!$A:$A, MATCH(C492,Albums!$C:$C,0))</f>
        <v>42</v>
      </c>
      <c r="B492" s="4">
        <f>INDEX(Albums!$B:$B, MATCH(C492,Albums!$C:$C,0))</f>
        <v>2007</v>
      </c>
      <c r="C492" t="s">
        <v>15</v>
      </c>
      <c r="D492">
        <v>1</v>
      </c>
      <c r="E492" t="s">
        <v>329</v>
      </c>
      <c r="F492" t="s">
        <v>181</v>
      </c>
      <c r="G492" t="s">
        <v>356</v>
      </c>
      <c r="H492">
        <v>4869861</v>
      </c>
      <c r="J492" t="s">
        <v>69</v>
      </c>
      <c r="K492" s="2">
        <v>0.18402777777777779</v>
      </c>
      <c r="L492" s="4" t="str">
        <f>IF(AND(ISNUMBER(H492), COUNTIF([1]Songs!$L:$L,H492)&gt;0),"YES","")</f>
        <v/>
      </c>
    </row>
    <row r="493" spans="1:12" x14ac:dyDescent="0.25">
      <c r="A493" s="4">
        <f>INDEX(Albums!$A:$A, MATCH(C493,Albums!$C:$C,0))</f>
        <v>42</v>
      </c>
      <c r="B493" s="4">
        <f>INDEX(Albums!$B:$B, MATCH(C493,Albums!$C:$C,0))</f>
        <v>2007</v>
      </c>
      <c r="C493" t="s">
        <v>15</v>
      </c>
      <c r="D493">
        <v>2</v>
      </c>
      <c r="E493" t="s">
        <v>330</v>
      </c>
      <c r="F493" t="s">
        <v>182</v>
      </c>
      <c r="G493" t="s">
        <v>598</v>
      </c>
      <c r="H493">
        <v>4785770</v>
      </c>
      <c r="J493" t="s">
        <v>58</v>
      </c>
      <c r="K493" s="2">
        <v>0.16250000000000001</v>
      </c>
      <c r="L493" s="4" t="str">
        <f>IF(AND(ISNUMBER(H493), COUNTIF([1]Songs!$L:$L,H493)&gt;0),"YES","")</f>
        <v/>
      </c>
    </row>
    <row r="494" spans="1:12" x14ac:dyDescent="0.25">
      <c r="A494" s="4">
        <f>INDEX(Albums!$A:$A, MATCH(C494,Albums!$C:$C,0))</f>
        <v>42</v>
      </c>
      <c r="B494" s="4">
        <f>INDEX(Albums!$B:$B, MATCH(C494,Albums!$C:$C,0))</f>
        <v>2007</v>
      </c>
      <c r="C494" t="s">
        <v>15</v>
      </c>
      <c r="D494">
        <v>3</v>
      </c>
      <c r="E494" t="s">
        <v>331</v>
      </c>
      <c r="F494" t="s">
        <v>183</v>
      </c>
      <c r="G494" t="s">
        <v>355</v>
      </c>
      <c r="H494">
        <v>4869902</v>
      </c>
      <c r="J494" t="s">
        <v>69</v>
      </c>
      <c r="K494" s="2">
        <v>0.24166666666666667</v>
      </c>
      <c r="L494" s="4" t="str">
        <f>IF(AND(ISNUMBER(H494), COUNTIF([1]Songs!$L:$L,H494)&gt;0),"YES","")</f>
        <v/>
      </c>
    </row>
    <row r="495" spans="1:12" x14ac:dyDescent="0.25">
      <c r="A495" s="4">
        <f>INDEX(Albums!$A:$A, MATCH(C495,Albums!$C:$C,0))</f>
        <v>42</v>
      </c>
      <c r="B495" s="4">
        <f>INDEX(Albums!$B:$B, MATCH(C495,Albums!$C:$C,0))</f>
        <v>2007</v>
      </c>
      <c r="C495" t="s">
        <v>15</v>
      </c>
      <c r="D495">
        <v>4</v>
      </c>
      <c r="E495" t="s">
        <v>332</v>
      </c>
      <c r="F495" t="s">
        <v>55</v>
      </c>
      <c r="G495" t="s">
        <v>356</v>
      </c>
      <c r="H495">
        <v>4869940</v>
      </c>
      <c r="J495" t="s">
        <v>55</v>
      </c>
      <c r="K495" s="2">
        <v>0.18472222222222223</v>
      </c>
      <c r="L495" s="4" t="str">
        <f>IF(AND(ISNUMBER(H495), COUNTIF([1]Songs!$L:$L,H495)&gt;0),"YES","")</f>
        <v/>
      </c>
    </row>
    <row r="496" spans="1:12" x14ac:dyDescent="0.25">
      <c r="A496" s="4">
        <f>INDEX(Albums!$A:$A, MATCH(C496,Albums!$C:$C,0))</f>
        <v>42</v>
      </c>
      <c r="B496" s="4">
        <f>INDEX(Albums!$B:$B, MATCH(C496,Albums!$C:$C,0))</f>
        <v>2007</v>
      </c>
      <c r="C496" t="s">
        <v>15</v>
      </c>
      <c r="D496">
        <v>5</v>
      </c>
      <c r="E496" t="s">
        <v>333</v>
      </c>
      <c r="F496" t="s">
        <v>134</v>
      </c>
      <c r="G496" t="s">
        <v>360</v>
      </c>
      <c r="H496">
        <v>4869971</v>
      </c>
      <c r="J496" t="s">
        <v>134</v>
      </c>
      <c r="K496" s="2">
        <v>0.18958333333333333</v>
      </c>
      <c r="L496" s="4" t="str">
        <f>IF(AND(ISNUMBER(H496), COUNTIF([1]Songs!$L:$L,H496)&gt;0),"YES","")</f>
        <v/>
      </c>
    </row>
    <row r="497" spans="1:12" x14ac:dyDescent="0.25">
      <c r="A497" s="4">
        <f>INDEX(Albums!$A:$A, MATCH(C497,Albums!$C:$C,0))</f>
        <v>42</v>
      </c>
      <c r="B497" s="4">
        <f>INDEX(Albums!$B:$B, MATCH(C497,Albums!$C:$C,0))</f>
        <v>2007</v>
      </c>
      <c r="C497" t="s">
        <v>15</v>
      </c>
      <c r="D497">
        <v>6</v>
      </c>
      <c r="E497" t="s">
        <v>260</v>
      </c>
      <c r="F497" t="s">
        <v>184</v>
      </c>
      <c r="G497" t="s">
        <v>357</v>
      </c>
      <c r="H497">
        <v>4869957</v>
      </c>
      <c r="J497" t="s">
        <v>121</v>
      </c>
      <c r="K497" s="2">
        <v>0.26111111111111113</v>
      </c>
      <c r="L497" s="4" t="str">
        <f>IF(AND(ISNUMBER(H497), COUNTIF([1]Songs!$L:$L,H497)&gt;0),"YES","")</f>
        <v/>
      </c>
    </row>
    <row r="498" spans="1:12" x14ac:dyDescent="0.25">
      <c r="A498" s="4">
        <f>INDEX(Albums!$A:$A, MATCH(C498,Albums!$C:$C,0))</f>
        <v>42</v>
      </c>
      <c r="B498" s="4">
        <f>INDEX(Albums!$B:$B, MATCH(C498,Albums!$C:$C,0))</f>
        <v>2007</v>
      </c>
      <c r="C498" t="s">
        <v>15</v>
      </c>
      <c r="D498">
        <v>7</v>
      </c>
      <c r="E498" t="s">
        <v>334</v>
      </c>
      <c r="F498" t="s">
        <v>60</v>
      </c>
      <c r="G498" t="s">
        <v>355</v>
      </c>
      <c r="H498">
        <v>4869919</v>
      </c>
      <c r="J498" t="s">
        <v>62</v>
      </c>
      <c r="K498" s="2">
        <v>0.24652777777777779</v>
      </c>
      <c r="L498" s="4" t="str">
        <f>IF(AND(ISNUMBER(H498), COUNTIF([1]Songs!$L:$L,H498)&gt;0),"YES","")</f>
        <v/>
      </c>
    </row>
    <row r="499" spans="1:12" x14ac:dyDescent="0.25">
      <c r="A499" s="4">
        <f>INDEX(Albums!$A:$A, MATCH(C499,Albums!$C:$C,0))</f>
        <v>42</v>
      </c>
      <c r="B499" s="4">
        <f>INDEX(Albums!$B:$B, MATCH(C499,Albums!$C:$C,0))</f>
        <v>2007</v>
      </c>
      <c r="C499" t="s">
        <v>15</v>
      </c>
      <c r="D499">
        <v>8</v>
      </c>
      <c r="E499" t="s">
        <v>335</v>
      </c>
      <c r="F499" t="s">
        <v>54</v>
      </c>
      <c r="G499" t="s">
        <v>356</v>
      </c>
      <c r="H499">
        <v>4869933</v>
      </c>
      <c r="J499" t="s">
        <v>185</v>
      </c>
      <c r="K499" s="2">
        <v>0.20138888888888887</v>
      </c>
      <c r="L499" s="4" t="str">
        <f>IF(AND(ISNUMBER(H499), COUNTIF([1]Songs!$L:$L,H499)&gt;0),"YES","")</f>
        <v/>
      </c>
    </row>
    <row r="500" spans="1:12" x14ac:dyDescent="0.25">
      <c r="A500" s="4">
        <f>INDEX(Albums!$A:$A, MATCH(C500,Albums!$C:$C,0))</f>
        <v>42</v>
      </c>
      <c r="B500" s="4">
        <f>INDEX(Albums!$B:$B, MATCH(C500,Albums!$C:$C,0))</f>
        <v>2007</v>
      </c>
      <c r="C500" t="s">
        <v>15</v>
      </c>
      <c r="D500">
        <v>9</v>
      </c>
      <c r="E500" t="s">
        <v>336</v>
      </c>
      <c r="F500" t="s">
        <v>58</v>
      </c>
      <c r="G500" t="s">
        <v>362</v>
      </c>
      <c r="H500">
        <v>4869926</v>
      </c>
      <c r="J500" t="s">
        <v>58</v>
      </c>
      <c r="K500" s="2">
        <v>0.24305555555555555</v>
      </c>
      <c r="L500" s="4" t="str">
        <f>IF(AND(ISNUMBER(H500), COUNTIF([1]Songs!$L:$L,H500)&gt;0),"YES","")</f>
        <v/>
      </c>
    </row>
    <row r="501" spans="1:12" x14ac:dyDescent="0.25">
      <c r="A501" s="4">
        <f>INDEX(Albums!$A:$A, MATCH(C501,Albums!$C:$C,0))</f>
        <v>42</v>
      </c>
      <c r="B501" s="4">
        <f>INDEX(Albums!$B:$B, MATCH(C501,Albums!$C:$C,0))</f>
        <v>2007</v>
      </c>
      <c r="C501" t="s">
        <v>15</v>
      </c>
      <c r="D501">
        <v>10</v>
      </c>
      <c r="E501" t="s">
        <v>337</v>
      </c>
      <c r="F501" t="s">
        <v>186</v>
      </c>
      <c r="G501" t="s">
        <v>358</v>
      </c>
      <c r="H501">
        <v>4869964</v>
      </c>
      <c r="J501" t="s">
        <v>55</v>
      </c>
      <c r="K501" s="2">
        <v>0.26250000000000001</v>
      </c>
      <c r="L501" s="4" t="str">
        <f>IF(AND(ISNUMBER(H501), COUNTIF([1]Songs!$L:$L,H501)&gt;0),"YES","")</f>
        <v/>
      </c>
    </row>
    <row r="502" spans="1:12" x14ac:dyDescent="0.25">
      <c r="A502" s="4">
        <f>INDEX(Albums!$A:$A, MATCH(C502,Albums!$C:$C,0))</f>
        <v>42</v>
      </c>
      <c r="B502" s="4">
        <f>INDEX(Albums!$B:$B, MATCH(C502,Albums!$C:$C,0))</f>
        <v>2007</v>
      </c>
      <c r="C502" t="s">
        <v>15</v>
      </c>
      <c r="D502">
        <v>11</v>
      </c>
      <c r="E502" t="s">
        <v>338</v>
      </c>
      <c r="F502" t="s">
        <v>134</v>
      </c>
      <c r="G502" t="s">
        <v>360</v>
      </c>
      <c r="H502">
        <v>4785835</v>
      </c>
      <c r="J502" t="s">
        <v>179</v>
      </c>
      <c r="K502" s="2">
        <v>0.26111111111111113</v>
      </c>
      <c r="L502" s="4" t="str">
        <f>IF(AND(ISNUMBER(H502), COUNTIF([1]Songs!$L:$L,H502)&gt;0),"YES","")</f>
        <v>YES</v>
      </c>
    </row>
    <row r="503" spans="1:12" x14ac:dyDescent="0.25">
      <c r="A503" s="4">
        <f>INDEX(Albums!$A:$A, MATCH(C503,Albums!$C:$C,0))</f>
        <v>42</v>
      </c>
      <c r="B503" s="4">
        <f>INDEX(Albums!$B:$B, MATCH(C503,Albums!$C:$C,0))</f>
        <v>2007</v>
      </c>
      <c r="C503" t="s">
        <v>15</v>
      </c>
      <c r="D503">
        <v>12</v>
      </c>
      <c r="E503" t="s">
        <v>339</v>
      </c>
      <c r="F503" t="s">
        <v>78</v>
      </c>
      <c r="G503" t="s">
        <v>362</v>
      </c>
      <c r="H503">
        <v>4869885</v>
      </c>
      <c r="J503" t="s">
        <v>567</v>
      </c>
      <c r="K503" s="2">
        <v>0.24513888888888888</v>
      </c>
      <c r="L503" s="4" t="str">
        <f>IF(AND(ISNUMBER(H503), COUNTIF([1]Songs!$L:$L,H503)&gt;0),"YES","")</f>
        <v/>
      </c>
    </row>
    <row r="504" spans="1:12" x14ac:dyDescent="0.25">
      <c r="A504" s="4">
        <f>INDEX(Albums!$A:$A, MATCH(C504,Albums!$C:$C,0))</f>
        <v>42</v>
      </c>
      <c r="B504" s="4">
        <f>INDEX(Albums!$B:$B, MATCH(C504,Albums!$C:$C,0))</f>
        <v>2007</v>
      </c>
      <c r="C504" t="s">
        <v>15</v>
      </c>
      <c r="D504">
        <v>13</v>
      </c>
      <c r="E504" t="s">
        <v>340</v>
      </c>
      <c r="F504" t="s">
        <v>187</v>
      </c>
      <c r="G504" t="s">
        <v>362</v>
      </c>
      <c r="H504">
        <v>4869892</v>
      </c>
      <c r="J504" t="s">
        <v>121</v>
      </c>
      <c r="K504" s="2">
        <v>0.19236111111111112</v>
      </c>
      <c r="L504" s="4" t="str">
        <f>IF(AND(ISNUMBER(H504), COUNTIF([1]Songs!$L:$L,H504)&gt;0),"YES","")</f>
        <v/>
      </c>
    </row>
    <row r="505" spans="1:12" x14ac:dyDescent="0.25">
      <c r="A505" s="4">
        <f>INDEX(Albums!$A:$A, MATCH(C505,Albums!$C:$C,0))</f>
        <v>42</v>
      </c>
      <c r="B505" s="4">
        <f>INDEX(Albums!$B:$B, MATCH(C505,Albums!$C:$C,0))</f>
        <v>2007</v>
      </c>
      <c r="C505" t="s">
        <v>15</v>
      </c>
      <c r="D505">
        <v>14</v>
      </c>
      <c r="E505" t="s">
        <v>15</v>
      </c>
      <c r="F505" t="s">
        <v>188</v>
      </c>
      <c r="G505" t="s">
        <v>357</v>
      </c>
      <c r="H505">
        <v>4785897</v>
      </c>
      <c r="J505" t="s">
        <v>69</v>
      </c>
      <c r="K505" s="2">
        <v>0.3125</v>
      </c>
      <c r="L505" s="4" t="str">
        <f>IF(AND(ISNUMBER(H505), COUNTIF([1]Songs!$L:$L,H505)&gt;0),"YES","")</f>
        <v/>
      </c>
    </row>
    <row r="506" spans="1:12" x14ac:dyDescent="0.25">
      <c r="A506" s="4">
        <f>INDEX(Albums!$A:$A, MATCH(C506,Albums!$C:$C,0))</f>
        <v>44</v>
      </c>
      <c r="B506" s="4">
        <f>INDEX(Albums!$B:$B, MATCH(C506,Albums!$C:$C,0))</f>
        <v>2008</v>
      </c>
      <c r="C506" t="s">
        <v>16</v>
      </c>
      <c r="D506">
        <v>1</v>
      </c>
      <c r="E506" t="s">
        <v>314</v>
      </c>
      <c r="F506" t="s">
        <v>58</v>
      </c>
      <c r="G506" t="s">
        <v>359</v>
      </c>
      <c r="H506">
        <v>5060841</v>
      </c>
      <c r="J506" t="s">
        <v>58</v>
      </c>
      <c r="K506" s="2">
        <v>0.16319444444444445</v>
      </c>
      <c r="L506" s="4" t="str">
        <f>IF(AND(ISNUMBER(H506), COUNTIF([1]Songs!$L:$L,H506)&gt;0),"YES","")</f>
        <v/>
      </c>
    </row>
    <row r="507" spans="1:12" x14ac:dyDescent="0.25">
      <c r="A507" s="4">
        <f>INDEX(Albums!$A:$A, MATCH(C507,Albums!$C:$C,0))</f>
        <v>44</v>
      </c>
      <c r="B507" s="4">
        <f>INDEX(Albums!$B:$B, MATCH(C507,Albums!$C:$C,0))</f>
        <v>2008</v>
      </c>
      <c r="C507" t="s">
        <v>16</v>
      </c>
      <c r="D507">
        <v>2</v>
      </c>
      <c r="E507" t="s">
        <v>315</v>
      </c>
      <c r="F507" t="s">
        <v>58</v>
      </c>
      <c r="G507" t="s">
        <v>596</v>
      </c>
      <c r="H507">
        <v>5060786</v>
      </c>
      <c r="J507" t="s">
        <v>58</v>
      </c>
      <c r="K507" s="2">
        <v>0.1388888888888889</v>
      </c>
      <c r="L507" s="4" t="str">
        <f>IF(AND(ISNUMBER(H507), COUNTIF([1]Songs!$L:$L,H507)&gt;0),"YES","")</f>
        <v/>
      </c>
    </row>
    <row r="508" spans="1:12" x14ac:dyDescent="0.25">
      <c r="A508" s="4">
        <f>INDEX(Albums!$A:$A, MATCH(C508,Albums!$C:$C,0))</f>
        <v>44</v>
      </c>
      <c r="B508" s="4">
        <f>INDEX(Albums!$B:$B, MATCH(C508,Albums!$C:$C,0))</f>
        <v>2008</v>
      </c>
      <c r="C508" t="s">
        <v>16</v>
      </c>
      <c r="D508">
        <v>3</v>
      </c>
      <c r="E508" t="s">
        <v>316</v>
      </c>
      <c r="F508" t="s">
        <v>134</v>
      </c>
      <c r="G508" t="s">
        <v>355</v>
      </c>
      <c r="H508">
        <v>5060793</v>
      </c>
      <c r="J508" t="s">
        <v>166</v>
      </c>
      <c r="K508" s="2">
        <v>0.17430555555555557</v>
      </c>
      <c r="L508" s="4" t="str">
        <f>IF(AND(ISNUMBER(H508), COUNTIF([1]Songs!$L:$L,H508)&gt;0),"YES","")</f>
        <v>YES</v>
      </c>
    </row>
    <row r="509" spans="1:12" x14ac:dyDescent="0.25">
      <c r="A509" s="4">
        <f>INDEX(Albums!$A:$A, MATCH(C509,Albums!$C:$C,0))</f>
        <v>44</v>
      </c>
      <c r="B509" s="4">
        <f>INDEX(Albums!$B:$B, MATCH(C509,Albums!$C:$C,0))</f>
        <v>2008</v>
      </c>
      <c r="C509" t="s">
        <v>16</v>
      </c>
      <c r="D509">
        <v>4</v>
      </c>
      <c r="E509" t="s">
        <v>16</v>
      </c>
      <c r="F509" t="s">
        <v>167</v>
      </c>
      <c r="G509" t="s">
        <v>360</v>
      </c>
      <c r="H509">
        <v>5060834</v>
      </c>
      <c r="J509" t="s">
        <v>162</v>
      </c>
      <c r="K509" s="2">
        <v>0.24166666666666667</v>
      </c>
      <c r="L509" s="4" t="str">
        <f>IF(AND(ISNUMBER(H509), COUNTIF([1]Songs!$L:$L,H509)&gt;0),"YES","")</f>
        <v>YES</v>
      </c>
    </row>
    <row r="510" spans="1:12" x14ac:dyDescent="0.25">
      <c r="A510" s="4">
        <f>INDEX(Albums!$A:$A, MATCH(C510,Albums!$C:$C,0))</f>
        <v>44</v>
      </c>
      <c r="B510" s="4">
        <f>INDEX(Albums!$B:$B, MATCH(C510,Albums!$C:$C,0))</f>
        <v>2008</v>
      </c>
      <c r="C510" t="s">
        <v>16</v>
      </c>
      <c r="D510">
        <v>5</v>
      </c>
      <c r="E510" t="s">
        <v>317</v>
      </c>
      <c r="F510" t="s">
        <v>54</v>
      </c>
      <c r="G510" t="s">
        <v>358</v>
      </c>
      <c r="H510">
        <v>5065918</v>
      </c>
      <c r="J510" t="s">
        <v>81</v>
      </c>
      <c r="K510" s="2">
        <v>0.20416666666666669</v>
      </c>
      <c r="L510" s="4" t="str">
        <f>IF(AND(ISNUMBER(H510), COUNTIF([1]Songs!$L:$L,H510)&gt;0),"YES","")</f>
        <v/>
      </c>
    </row>
    <row r="511" spans="1:12" x14ac:dyDescent="0.25">
      <c r="A511" s="4">
        <f>INDEX(Albums!$A:$A, MATCH(C511,Albums!$C:$C,0))</f>
        <v>44</v>
      </c>
      <c r="B511" s="4">
        <f>INDEX(Albums!$B:$B, MATCH(C511,Albums!$C:$C,0))</f>
        <v>2008</v>
      </c>
      <c r="C511" t="s">
        <v>16</v>
      </c>
      <c r="D511">
        <v>6</v>
      </c>
      <c r="E511" t="s">
        <v>318</v>
      </c>
      <c r="F511" t="s">
        <v>168</v>
      </c>
      <c r="G511" t="s">
        <v>357</v>
      </c>
      <c r="H511">
        <v>5060803</v>
      </c>
      <c r="J511" t="s">
        <v>121</v>
      </c>
      <c r="K511" s="2">
        <v>0.19236111111111112</v>
      </c>
      <c r="L511" s="4" t="str">
        <f>IF(AND(ISNUMBER(H511), COUNTIF([1]Songs!$L:$L,H511)&gt;0),"YES","")</f>
        <v/>
      </c>
    </row>
    <row r="512" spans="1:12" x14ac:dyDescent="0.25">
      <c r="A512" s="4">
        <f>INDEX(Albums!$A:$A, MATCH(C512,Albums!$C:$C,0))</f>
        <v>44</v>
      </c>
      <c r="B512" s="4">
        <f>INDEX(Albums!$B:$B, MATCH(C512,Albums!$C:$C,0))</f>
        <v>2008</v>
      </c>
      <c r="C512" t="s">
        <v>16</v>
      </c>
      <c r="D512">
        <v>7</v>
      </c>
      <c r="E512" t="s">
        <v>319</v>
      </c>
      <c r="F512" t="s">
        <v>169</v>
      </c>
      <c r="G512" t="s">
        <v>358</v>
      </c>
      <c r="H512">
        <v>5060810</v>
      </c>
      <c r="J512" t="s">
        <v>62</v>
      </c>
      <c r="K512" s="2">
        <v>0.18472222222222223</v>
      </c>
      <c r="L512" s="4" t="str">
        <f>IF(AND(ISNUMBER(H512), COUNTIF([1]Songs!$L:$L,H512)&gt;0),"YES","")</f>
        <v>YES</v>
      </c>
    </row>
    <row r="513" spans="1:12" x14ac:dyDescent="0.25">
      <c r="A513" s="4">
        <f>INDEX(Albums!$A:$A, MATCH(C513,Albums!$C:$C,0))</f>
        <v>44</v>
      </c>
      <c r="B513" s="4">
        <f>INDEX(Albums!$B:$B, MATCH(C513,Albums!$C:$C,0))</f>
        <v>2008</v>
      </c>
      <c r="C513" t="s">
        <v>16</v>
      </c>
      <c r="D513">
        <v>8</v>
      </c>
      <c r="E513" t="s">
        <v>320</v>
      </c>
      <c r="F513" t="s">
        <v>170</v>
      </c>
      <c r="G513" t="s">
        <v>362</v>
      </c>
      <c r="H513">
        <v>4873981</v>
      </c>
      <c r="J513" t="s">
        <v>171</v>
      </c>
      <c r="K513" s="2">
        <v>0.2951388888888889</v>
      </c>
      <c r="L513" s="4" t="str">
        <f>IF(AND(ISNUMBER(H513), COUNTIF([1]Songs!$L:$L,H513)&gt;0),"YES","")</f>
        <v>YES</v>
      </c>
    </row>
    <row r="514" spans="1:12" x14ac:dyDescent="0.25">
      <c r="A514" s="4">
        <f>INDEX(Albums!$A:$A, MATCH(C514,Albums!$C:$C,0))</f>
        <v>44</v>
      </c>
      <c r="B514" s="4">
        <f>INDEX(Albums!$B:$B, MATCH(C514,Albums!$C:$C,0))</f>
        <v>2008</v>
      </c>
      <c r="C514" t="s">
        <v>16</v>
      </c>
      <c r="D514">
        <v>9</v>
      </c>
      <c r="E514" t="s">
        <v>321</v>
      </c>
      <c r="F514" t="s">
        <v>172</v>
      </c>
      <c r="G514" t="s">
        <v>358</v>
      </c>
      <c r="H514">
        <v>5065925</v>
      </c>
      <c r="J514" t="s">
        <v>173</v>
      </c>
      <c r="K514" s="2">
        <v>0.11875000000000001</v>
      </c>
      <c r="L514" s="4" t="str">
        <f>IF(AND(ISNUMBER(H514), COUNTIF([1]Songs!$L:$L,H514)&gt;0),"YES","")</f>
        <v/>
      </c>
    </row>
    <row r="515" spans="1:12" x14ac:dyDescent="0.25">
      <c r="A515" s="4">
        <f>INDEX(Albums!$A:$A, MATCH(C515,Albums!$C:$C,0))</f>
        <v>44</v>
      </c>
      <c r="B515" s="4">
        <f>INDEX(Albums!$B:$B, MATCH(C515,Albums!$C:$C,0))</f>
        <v>2008</v>
      </c>
      <c r="C515" t="s">
        <v>16</v>
      </c>
      <c r="D515">
        <v>10</v>
      </c>
      <c r="E515" t="s">
        <v>322</v>
      </c>
      <c r="F515" t="s">
        <v>174</v>
      </c>
      <c r="G515" t="s">
        <v>594</v>
      </c>
      <c r="H515">
        <v>5029978</v>
      </c>
      <c r="J515" t="s">
        <v>102</v>
      </c>
      <c r="K515" s="2">
        <v>0.19236111111111112</v>
      </c>
      <c r="L515" s="4" t="str">
        <f>IF(AND(ISNUMBER(H515), COUNTIF([1]Songs!$L:$L,H515)&gt;0),"YES","")</f>
        <v/>
      </c>
    </row>
    <row r="516" spans="1:12" x14ac:dyDescent="0.25">
      <c r="A516" s="4">
        <f>INDEX(Albums!$A:$A, MATCH(C516,Albums!$C:$C,0))</f>
        <v>44</v>
      </c>
      <c r="B516" s="4">
        <f>INDEX(Albums!$B:$B, MATCH(C516,Albums!$C:$C,0))</f>
        <v>2008</v>
      </c>
      <c r="C516" t="s">
        <v>16</v>
      </c>
      <c r="D516">
        <v>11</v>
      </c>
      <c r="E516" t="s">
        <v>323</v>
      </c>
      <c r="F516" t="s">
        <v>175</v>
      </c>
      <c r="G516" t="s">
        <v>596</v>
      </c>
      <c r="H516">
        <v>5060827</v>
      </c>
      <c r="J516" t="s">
        <v>60</v>
      </c>
      <c r="K516" s="2">
        <v>0.18680555555555556</v>
      </c>
      <c r="L516" s="4" t="str">
        <f>IF(AND(ISNUMBER(H516), COUNTIF([1]Songs!$L:$L,H516)&gt;0),"YES","")</f>
        <v/>
      </c>
    </row>
    <row r="517" spans="1:12" x14ac:dyDescent="0.25">
      <c r="A517" s="4">
        <f>INDEX(Albums!$A:$A, MATCH(C517,Albums!$C:$C,0))</f>
        <v>44</v>
      </c>
      <c r="B517" s="4">
        <f>INDEX(Albums!$B:$B, MATCH(C517,Albums!$C:$C,0))</f>
        <v>2008</v>
      </c>
      <c r="C517" t="s">
        <v>16</v>
      </c>
      <c r="D517">
        <v>12</v>
      </c>
      <c r="E517" t="s">
        <v>324</v>
      </c>
      <c r="F517" t="s">
        <v>176</v>
      </c>
      <c r="G517" t="s">
        <v>362</v>
      </c>
      <c r="H517">
        <v>5065932</v>
      </c>
      <c r="J517" t="s">
        <v>177</v>
      </c>
      <c r="K517" s="2">
        <v>0.23055555555555554</v>
      </c>
      <c r="L517" s="4" t="str">
        <f>IF(AND(ISNUMBER(H517), COUNTIF([1]Songs!$L:$L,H517)&gt;0),"YES","")</f>
        <v/>
      </c>
    </row>
    <row r="518" spans="1:12" x14ac:dyDescent="0.25">
      <c r="A518" s="4">
        <f>INDEX(Albums!$A:$A, MATCH(C518,Albums!$C:$C,0))</f>
        <v>44</v>
      </c>
      <c r="B518" s="4">
        <f>INDEX(Albums!$B:$B, MATCH(C518,Albums!$C:$C,0))</f>
        <v>2008</v>
      </c>
      <c r="C518" t="s">
        <v>16</v>
      </c>
      <c r="D518">
        <v>13</v>
      </c>
      <c r="E518" t="s">
        <v>325</v>
      </c>
      <c r="F518" t="s">
        <v>178</v>
      </c>
      <c r="G518" t="s">
        <v>359</v>
      </c>
      <c r="H518">
        <v>5065949</v>
      </c>
      <c r="J518" t="s">
        <v>69</v>
      </c>
      <c r="K518" s="2">
        <v>0.27986111111111112</v>
      </c>
      <c r="L518" s="4" t="str">
        <f>IF(AND(ISNUMBER(H518), COUNTIF([1]Songs!$L:$L,H518)&gt;0),"YES","")</f>
        <v/>
      </c>
    </row>
    <row r="519" spans="1:12" x14ac:dyDescent="0.25">
      <c r="A519" s="4">
        <f>INDEX(Albums!$A:$A, MATCH(C519,Albums!$C:$C,0))</f>
        <v>44</v>
      </c>
      <c r="B519" s="4">
        <f>INDEX(Albums!$B:$B, MATCH(C519,Albums!$C:$C,0))</f>
        <v>2008</v>
      </c>
      <c r="C519" t="s">
        <v>16</v>
      </c>
      <c r="D519">
        <v>14</v>
      </c>
      <c r="E519" t="s">
        <v>326</v>
      </c>
      <c r="F519" t="s">
        <v>134</v>
      </c>
      <c r="G519" t="s">
        <v>360</v>
      </c>
      <c r="H519">
        <v>5012583</v>
      </c>
      <c r="J519" t="s">
        <v>179</v>
      </c>
      <c r="K519" s="2">
        <v>0.21111111111111111</v>
      </c>
      <c r="L519" s="4" t="str">
        <f>IF(AND(ISNUMBER(H519), COUNTIF([1]Songs!$L:$L,H519)&gt;0),"YES","")</f>
        <v/>
      </c>
    </row>
    <row r="520" spans="1:12" x14ac:dyDescent="0.25">
      <c r="A520" s="4">
        <f>INDEX(Albums!$A:$A, MATCH(C520,Albums!$C:$C,0))</f>
        <v>44</v>
      </c>
      <c r="B520" s="4">
        <f>INDEX(Albums!$B:$B, MATCH(C520,Albums!$C:$C,0))</f>
        <v>2008</v>
      </c>
      <c r="C520" t="s">
        <v>16</v>
      </c>
      <c r="D520">
        <v>15</v>
      </c>
      <c r="E520" t="s">
        <v>327</v>
      </c>
      <c r="F520" t="s">
        <v>180</v>
      </c>
      <c r="G520" t="s">
        <v>357</v>
      </c>
      <c r="H520">
        <v>15960</v>
      </c>
      <c r="J520" t="s">
        <v>134</v>
      </c>
      <c r="K520" s="2">
        <v>7.2916666666666671E-2</v>
      </c>
      <c r="L520" s="4" t="str">
        <f>IF(AND(ISNUMBER(H520), COUNTIF([1]Songs!$L:$L,H520)&gt;0),"YES","")</f>
        <v>YES</v>
      </c>
    </row>
    <row r="521" spans="1:12" x14ac:dyDescent="0.25">
      <c r="A521" s="4">
        <f>INDEX(Albums!$A:$A, MATCH(C521,Albums!$C:$C,0))</f>
        <v>44</v>
      </c>
      <c r="B521" s="4">
        <f>INDEX(Albums!$B:$B, MATCH(C521,Albums!$C:$C,0))</f>
        <v>2008</v>
      </c>
      <c r="C521" t="s">
        <v>16</v>
      </c>
      <c r="D521">
        <v>16</v>
      </c>
      <c r="E521" t="s">
        <v>328</v>
      </c>
      <c r="F521" t="s">
        <v>58</v>
      </c>
      <c r="G521" t="s">
        <v>362</v>
      </c>
      <c r="H521">
        <v>5060779</v>
      </c>
      <c r="J521" t="s">
        <v>58</v>
      </c>
      <c r="K521" s="2">
        <v>0.3298611111111111</v>
      </c>
      <c r="L521" s="4" t="str">
        <f>IF(AND(ISNUMBER(H521), COUNTIF([1]Songs!$L:$L,H521)&gt;0),"YES","")</f>
        <v/>
      </c>
    </row>
    <row r="522" spans="1:12" x14ac:dyDescent="0.25">
      <c r="A522" s="4" t="e">
        <f>INDEX(Albums!$A:$A, MATCH(C522,Albums!$C:$C,0))</f>
        <v>#N/A</v>
      </c>
      <c r="B522" s="4" t="e">
        <f>INDEX(Albums!$B:$B, MATCH(C522,Albums!$C:$C,0))</f>
        <v>#N/A</v>
      </c>
      <c r="C522" t="s">
        <v>950</v>
      </c>
      <c r="D522">
        <v>1</v>
      </c>
      <c r="E522" t="s">
        <v>826</v>
      </c>
      <c r="F522" t="s">
        <v>728</v>
      </c>
      <c r="G522" t="s">
        <v>359</v>
      </c>
      <c r="H522">
        <v>5372113</v>
      </c>
      <c r="J522" t="s">
        <v>62</v>
      </c>
      <c r="K522" s="2">
        <v>0.23541666666666669</v>
      </c>
      <c r="L522" t="str">
        <f>IF(AND(ISNUMBER(H522), COUNTIF([1]Songs!$L:$L,H522)&gt;0),"YES","")</f>
        <v/>
      </c>
    </row>
    <row r="523" spans="1:12" x14ac:dyDescent="0.25">
      <c r="A523" s="4" t="e">
        <f>INDEX(Albums!$A:$A, MATCH(C523,Albums!$C:$C,0))</f>
        <v>#N/A</v>
      </c>
      <c r="B523" s="4" t="e">
        <f>INDEX(Albums!$B:$B, MATCH(C523,Albums!$C:$C,0))</f>
        <v>#N/A</v>
      </c>
      <c r="C523" t="s">
        <v>950</v>
      </c>
      <c r="D523">
        <v>2</v>
      </c>
      <c r="E523" t="s">
        <v>827</v>
      </c>
      <c r="F523" t="s">
        <v>562</v>
      </c>
      <c r="G523" t="s">
        <v>594</v>
      </c>
      <c r="H523">
        <v>5372120</v>
      </c>
      <c r="J523" t="s">
        <v>729</v>
      </c>
      <c r="K523" s="2">
        <v>0.19583333333333333</v>
      </c>
      <c r="L523" t="str">
        <f>IF(AND(ISNUMBER(H523), COUNTIF([1]Songs!$L:$L,H523)&gt;0),"YES","")</f>
        <v/>
      </c>
    </row>
    <row r="524" spans="1:12" x14ac:dyDescent="0.25">
      <c r="A524" s="4" t="e">
        <f>INDEX(Albums!$A:$A, MATCH(C524,Albums!$C:$C,0))</f>
        <v>#N/A</v>
      </c>
      <c r="B524" s="4" t="e">
        <f>INDEX(Albums!$B:$B, MATCH(C524,Albums!$C:$C,0))</f>
        <v>#N/A</v>
      </c>
      <c r="C524" t="s">
        <v>950</v>
      </c>
      <c r="D524">
        <v>3</v>
      </c>
      <c r="E524" t="s">
        <v>828</v>
      </c>
      <c r="F524" t="s">
        <v>560</v>
      </c>
      <c r="G524" t="s">
        <v>362</v>
      </c>
      <c r="H524">
        <v>5371303</v>
      </c>
      <c r="J524" t="s">
        <v>730</v>
      </c>
      <c r="K524" s="2">
        <v>0.16180555555555556</v>
      </c>
      <c r="L524" t="str">
        <f>IF(AND(ISNUMBER(H524), COUNTIF([1]Songs!$L:$L,H524)&gt;0),"YES","")</f>
        <v/>
      </c>
    </row>
    <row r="525" spans="1:12" x14ac:dyDescent="0.25">
      <c r="A525" s="4" t="e">
        <f>INDEX(Albums!$A:$A, MATCH(C525,Albums!$C:$C,0))</f>
        <v>#N/A</v>
      </c>
      <c r="B525" s="4" t="e">
        <f>INDEX(Albums!$B:$B, MATCH(C525,Albums!$C:$C,0))</f>
        <v>#N/A</v>
      </c>
      <c r="C525" t="s">
        <v>950</v>
      </c>
      <c r="D525">
        <v>4</v>
      </c>
      <c r="E525" t="s">
        <v>829</v>
      </c>
      <c r="F525" t="s">
        <v>59</v>
      </c>
      <c r="G525" t="s">
        <v>360</v>
      </c>
      <c r="H525">
        <v>5371293</v>
      </c>
      <c r="J525" t="s">
        <v>731</v>
      </c>
      <c r="K525" s="2">
        <v>0.26250000000000001</v>
      </c>
      <c r="L525" t="str">
        <f>IF(AND(ISNUMBER(H525), COUNTIF([1]Songs!$L:$L,H525)&gt;0),"YES","")</f>
        <v/>
      </c>
    </row>
    <row r="526" spans="1:12" x14ac:dyDescent="0.25">
      <c r="A526" s="4" t="e">
        <f>INDEX(Albums!$A:$A, MATCH(C526,Albums!$C:$C,0))</f>
        <v>#N/A</v>
      </c>
      <c r="B526" s="4" t="e">
        <f>INDEX(Albums!$B:$B, MATCH(C526,Albums!$C:$C,0))</f>
        <v>#N/A</v>
      </c>
      <c r="C526" t="s">
        <v>950</v>
      </c>
      <c r="D526">
        <v>5</v>
      </c>
      <c r="E526" t="s">
        <v>316</v>
      </c>
      <c r="F526" t="s">
        <v>52</v>
      </c>
      <c r="G526" t="s">
        <v>355</v>
      </c>
      <c r="H526">
        <v>5060793</v>
      </c>
      <c r="I526" s="7" t="s">
        <v>953</v>
      </c>
      <c r="J526" t="s">
        <v>52</v>
      </c>
      <c r="K526" s="2">
        <v>0.19444444444444445</v>
      </c>
      <c r="L526" t="str">
        <f>IF(AND(ISNUMBER(H526), COUNTIF([1]Songs!$L:$L,H526)&gt;0),"YES","")</f>
        <v>YES</v>
      </c>
    </row>
    <row r="527" spans="1:12" x14ac:dyDescent="0.25">
      <c r="A527" s="4" t="e">
        <f>INDEX(Albums!$A:$A, MATCH(C527,Albums!$C:$C,0))</f>
        <v>#N/A</v>
      </c>
      <c r="B527" s="4" t="e">
        <f>INDEX(Albums!$B:$B, MATCH(C527,Albums!$C:$C,0))</f>
        <v>#N/A</v>
      </c>
      <c r="C527" t="s">
        <v>950</v>
      </c>
      <c r="D527">
        <v>6</v>
      </c>
      <c r="E527" t="s">
        <v>821</v>
      </c>
      <c r="F527" t="s">
        <v>60</v>
      </c>
      <c r="G527" t="s">
        <v>356</v>
      </c>
      <c r="H527">
        <v>5371341</v>
      </c>
      <c r="J527" t="s">
        <v>60</v>
      </c>
      <c r="K527" s="2">
        <v>0.29305555555555557</v>
      </c>
      <c r="L527" t="str">
        <f>IF(AND(ISNUMBER(H527), COUNTIF([1]Songs!$L:$L,H527)&gt;0),"YES","")</f>
        <v/>
      </c>
    </row>
    <row r="528" spans="1:12" x14ac:dyDescent="0.25">
      <c r="A528" s="4" t="e">
        <f>INDEX(Albums!$A:$A, MATCH(C528,Albums!$C:$C,0))</f>
        <v>#N/A</v>
      </c>
      <c r="B528" s="4" t="e">
        <f>INDEX(Albums!$B:$B, MATCH(C528,Albums!$C:$C,0))</f>
        <v>#N/A</v>
      </c>
      <c r="C528" t="s">
        <v>950</v>
      </c>
      <c r="D528">
        <v>7</v>
      </c>
      <c r="E528" t="s">
        <v>830</v>
      </c>
      <c r="F528" t="s">
        <v>561</v>
      </c>
      <c r="G528" t="s">
        <v>358</v>
      </c>
      <c r="H528">
        <v>5372144</v>
      </c>
      <c r="J528" t="s">
        <v>58</v>
      </c>
      <c r="K528" s="2">
        <v>0.43124999999999997</v>
      </c>
      <c r="L528" t="str">
        <f>IF(AND(ISNUMBER(H528), COUNTIF([1]Songs!$L:$L,H528)&gt;0),"YES","")</f>
        <v/>
      </c>
    </row>
    <row r="529" spans="1:12" x14ac:dyDescent="0.25">
      <c r="A529" s="4" t="e">
        <f>INDEX(Albums!$A:$A, MATCH(C529,Albums!$C:$C,0))</f>
        <v>#N/A</v>
      </c>
      <c r="B529" s="4" t="e">
        <f>INDEX(Albums!$B:$B, MATCH(C529,Albums!$C:$C,0))</f>
        <v>#N/A</v>
      </c>
      <c r="C529" t="s">
        <v>950</v>
      </c>
      <c r="D529">
        <v>8</v>
      </c>
      <c r="E529" t="s">
        <v>831</v>
      </c>
      <c r="F529" t="s">
        <v>52</v>
      </c>
      <c r="G529" t="s">
        <v>355</v>
      </c>
      <c r="H529">
        <v>5372773</v>
      </c>
      <c r="I529" s="7" t="s">
        <v>953</v>
      </c>
      <c r="J529" t="s">
        <v>52</v>
      </c>
      <c r="K529" s="2">
        <v>0.24097222222222223</v>
      </c>
      <c r="L529" t="str">
        <f>IF(AND(ISNUMBER(H529), COUNTIF([1]Songs!$L:$L,H529)&gt;0),"YES","")</f>
        <v/>
      </c>
    </row>
    <row r="530" spans="1:12" x14ac:dyDescent="0.25">
      <c r="A530" s="4" t="e">
        <f>INDEX(Albums!$A:$A, MATCH(C530,Albums!$C:$C,0))</f>
        <v>#N/A</v>
      </c>
      <c r="B530" s="4" t="e">
        <f>INDEX(Albums!$B:$B, MATCH(C530,Albums!$C:$C,0))</f>
        <v>#N/A</v>
      </c>
      <c r="C530" t="s">
        <v>950</v>
      </c>
      <c r="D530">
        <v>9</v>
      </c>
      <c r="E530" t="s">
        <v>164</v>
      </c>
      <c r="F530" t="s">
        <v>175</v>
      </c>
      <c r="G530" t="s">
        <v>355</v>
      </c>
      <c r="H530">
        <v>5372151</v>
      </c>
      <c r="J530" t="s">
        <v>60</v>
      </c>
      <c r="K530" s="2">
        <v>0.3520833333333333</v>
      </c>
      <c r="L530" t="str">
        <f>IF(AND(ISNUMBER(H530), COUNTIF([1]Songs!$L:$L,H530)&gt;0),"YES","")</f>
        <v/>
      </c>
    </row>
    <row r="531" spans="1:12" x14ac:dyDescent="0.25">
      <c r="A531" s="4" t="e">
        <f>INDEX(Albums!$A:$A, MATCH(C531,Albums!$C:$C,0))</f>
        <v>#N/A</v>
      </c>
      <c r="B531" s="4" t="e">
        <f>INDEX(Albums!$B:$B, MATCH(C531,Albums!$C:$C,0))</f>
        <v>#N/A</v>
      </c>
      <c r="C531" t="s">
        <v>950</v>
      </c>
      <c r="D531">
        <v>10</v>
      </c>
      <c r="E531" t="s">
        <v>832</v>
      </c>
      <c r="F531" t="s">
        <v>102</v>
      </c>
      <c r="G531" t="s">
        <v>355</v>
      </c>
      <c r="H531">
        <v>5372151</v>
      </c>
      <c r="J531" t="s">
        <v>102</v>
      </c>
      <c r="K531" s="2">
        <v>0.26180555555555557</v>
      </c>
      <c r="L531" t="str">
        <f>IF(AND(ISNUMBER(H531), COUNTIF([1]Songs!$L:$L,H531)&gt;0),"YES","")</f>
        <v/>
      </c>
    </row>
    <row r="532" spans="1:12" x14ac:dyDescent="0.25">
      <c r="A532" s="4" t="e">
        <f>INDEX(Albums!$A:$A, MATCH(C532,Albums!$C:$C,0))</f>
        <v>#N/A</v>
      </c>
      <c r="B532" s="4" t="e">
        <f>INDEX(Albums!$B:$B, MATCH(C532,Albums!$C:$C,0))</f>
        <v>#N/A</v>
      </c>
      <c r="C532" t="s">
        <v>950</v>
      </c>
      <c r="D532">
        <v>11</v>
      </c>
      <c r="E532" t="s">
        <v>314</v>
      </c>
      <c r="F532" t="s">
        <v>58</v>
      </c>
      <c r="G532" t="s">
        <v>359</v>
      </c>
      <c r="H532">
        <v>5060841</v>
      </c>
      <c r="J532" t="s">
        <v>80</v>
      </c>
      <c r="K532" s="2">
        <v>0.21111111111111111</v>
      </c>
      <c r="L532" t="str">
        <f>IF(AND(ISNUMBER(H532), COUNTIF([1]Songs!$L:$L,H532)&gt;0),"YES","")</f>
        <v/>
      </c>
    </row>
    <row r="533" spans="1:12" x14ac:dyDescent="0.25">
      <c r="A533" s="4" t="e">
        <f>INDEX(Albums!$A:$A, MATCH(C533,Albums!$C:$C,0))</f>
        <v>#N/A</v>
      </c>
      <c r="B533" s="4" t="e">
        <f>INDEX(Albums!$B:$B, MATCH(C533,Albums!$C:$C,0))</f>
        <v>#N/A</v>
      </c>
      <c r="C533" t="s">
        <v>950</v>
      </c>
      <c r="D533">
        <v>12</v>
      </c>
      <c r="E533" t="s">
        <v>313</v>
      </c>
      <c r="F533" t="s">
        <v>560</v>
      </c>
      <c r="G533" t="s">
        <v>595</v>
      </c>
      <c r="H533">
        <v>5371310</v>
      </c>
      <c r="J533" t="s">
        <v>177</v>
      </c>
      <c r="K533" s="2">
        <v>0.15208333333333332</v>
      </c>
      <c r="L533" t="str">
        <f>IF(AND(ISNUMBER(H533), COUNTIF([1]Songs!$L:$L,H533)&gt;0),"YES","")</f>
        <v/>
      </c>
    </row>
    <row r="534" spans="1:12" x14ac:dyDescent="0.25">
      <c r="A534" s="4">
        <f>INDEX(Albums!$A:$A, MATCH(C534,Albums!$C:$C,0))</f>
        <v>47</v>
      </c>
      <c r="B534" s="4">
        <f>INDEX(Albums!$B:$B, MATCH(C534,Albums!$C:$C,0))</f>
        <v>2009</v>
      </c>
      <c r="C534" t="s">
        <v>17</v>
      </c>
      <c r="D534">
        <v>1</v>
      </c>
      <c r="E534" t="s">
        <v>149</v>
      </c>
      <c r="F534" t="s">
        <v>165</v>
      </c>
      <c r="G534" t="s">
        <v>594</v>
      </c>
      <c r="H534">
        <v>5407325</v>
      </c>
      <c r="J534" t="s">
        <v>58</v>
      </c>
      <c r="K534" s="2">
        <v>0.20833333333333334</v>
      </c>
      <c r="L534" s="4" t="str">
        <f>IF(AND(ISNUMBER(H534), COUNTIF([1]Songs!$L:$L,H534)&gt;0),"YES","")</f>
        <v/>
      </c>
    </row>
    <row r="535" spans="1:12" x14ac:dyDescent="0.25">
      <c r="A535" s="4">
        <f>INDEX(Albums!$A:$A, MATCH(C535,Albums!$C:$C,0))</f>
        <v>47</v>
      </c>
      <c r="B535" s="4">
        <f>INDEX(Albums!$B:$B, MATCH(C535,Albums!$C:$C,0))</f>
        <v>2009</v>
      </c>
      <c r="C535" t="s">
        <v>17</v>
      </c>
      <c r="D535">
        <v>2</v>
      </c>
      <c r="E535" t="s">
        <v>150</v>
      </c>
      <c r="F535" t="s">
        <v>597</v>
      </c>
      <c r="G535" t="s">
        <v>359</v>
      </c>
      <c r="H535">
        <v>5409024</v>
      </c>
      <c r="J535" t="s">
        <v>62</v>
      </c>
      <c r="K535" s="2">
        <v>0.16319444444444445</v>
      </c>
      <c r="L535" s="4" t="str">
        <f>IF(AND(ISNUMBER(H535), COUNTIF([1]Songs!$L:$L,H535)&gt;0),"YES","")</f>
        <v/>
      </c>
    </row>
    <row r="536" spans="1:12" x14ac:dyDescent="0.25">
      <c r="A536" s="4">
        <f>INDEX(Albums!$A:$A, MATCH(C536,Albums!$C:$C,0))</f>
        <v>47</v>
      </c>
      <c r="B536" s="4">
        <f>INDEX(Albums!$B:$B, MATCH(C536,Albums!$C:$C,0))</f>
        <v>2009</v>
      </c>
      <c r="C536" t="s">
        <v>17</v>
      </c>
      <c r="D536">
        <v>3</v>
      </c>
      <c r="E536" t="s">
        <v>151</v>
      </c>
      <c r="F536" t="s">
        <v>561</v>
      </c>
      <c r="G536" t="s">
        <v>360</v>
      </c>
      <c r="H536">
        <v>5407332</v>
      </c>
      <c r="J536" t="s">
        <v>56</v>
      </c>
      <c r="K536" s="2">
        <v>0.20555555555555557</v>
      </c>
      <c r="L536" s="4" t="str">
        <f>IF(AND(ISNUMBER(H536), COUNTIF([1]Songs!$L:$L,H536)&gt;0),"YES","")</f>
        <v/>
      </c>
    </row>
    <row r="537" spans="1:12" x14ac:dyDescent="0.25">
      <c r="A537" s="4">
        <f>INDEX(Albums!$A:$A, MATCH(C537,Albums!$C:$C,0))</f>
        <v>47</v>
      </c>
      <c r="B537" s="4">
        <f>INDEX(Albums!$B:$B, MATCH(C537,Albums!$C:$C,0))</f>
        <v>2009</v>
      </c>
      <c r="C537" t="s">
        <v>17</v>
      </c>
      <c r="D537">
        <v>4</v>
      </c>
      <c r="E537" t="s">
        <v>152</v>
      </c>
      <c r="F537" t="s">
        <v>78</v>
      </c>
      <c r="G537" t="s">
        <v>362</v>
      </c>
      <c r="H537">
        <v>5407291</v>
      </c>
      <c r="J537" t="s">
        <v>121</v>
      </c>
      <c r="K537" s="2">
        <v>0.35486111111111113</v>
      </c>
      <c r="L537" s="4" t="str">
        <f>IF(AND(ISNUMBER(H537), COUNTIF([1]Songs!$L:$L,H537)&gt;0),"YES","")</f>
        <v/>
      </c>
    </row>
    <row r="538" spans="1:12" x14ac:dyDescent="0.25">
      <c r="A538" s="4">
        <f>INDEX(Albums!$A:$A, MATCH(C538,Albums!$C:$C,0))</f>
        <v>47</v>
      </c>
      <c r="B538" s="4">
        <f>INDEX(Albums!$B:$B, MATCH(C538,Albums!$C:$C,0))</f>
        <v>2009</v>
      </c>
      <c r="C538" t="s">
        <v>17</v>
      </c>
      <c r="D538">
        <v>5</v>
      </c>
      <c r="E538" t="s">
        <v>153</v>
      </c>
      <c r="F538" t="s">
        <v>134</v>
      </c>
      <c r="G538" t="s">
        <v>362</v>
      </c>
      <c r="H538">
        <v>5409079</v>
      </c>
      <c r="J538" t="s">
        <v>154</v>
      </c>
      <c r="K538" s="2">
        <v>0.31944444444444448</v>
      </c>
      <c r="L538" s="4" t="str">
        <f>IF(AND(ISNUMBER(H538), COUNTIF([1]Songs!$L:$L,H538)&gt;0),"YES","")</f>
        <v>YES</v>
      </c>
    </row>
    <row r="539" spans="1:12" x14ac:dyDescent="0.25">
      <c r="A539" s="4">
        <f>INDEX(Albums!$A:$A, MATCH(C539,Albums!$C:$C,0))</f>
        <v>47</v>
      </c>
      <c r="B539" s="4">
        <f>INDEX(Albums!$B:$B, MATCH(C539,Albums!$C:$C,0))</f>
        <v>2009</v>
      </c>
      <c r="C539" t="s">
        <v>17</v>
      </c>
      <c r="D539">
        <v>6</v>
      </c>
      <c r="E539" t="s">
        <v>155</v>
      </c>
      <c r="F539" t="s">
        <v>156</v>
      </c>
      <c r="G539" t="s">
        <v>362</v>
      </c>
      <c r="H539">
        <v>5409086</v>
      </c>
      <c r="J539" t="s">
        <v>56</v>
      </c>
      <c r="K539" s="2">
        <v>0.30277777777777776</v>
      </c>
      <c r="L539" s="4" t="str">
        <f>IF(AND(ISNUMBER(H539), COUNTIF([1]Songs!$L:$L,H539)&gt;0),"YES","")</f>
        <v/>
      </c>
    </row>
    <row r="540" spans="1:12" x14ac:dyDescent="0.25">
      <c r="A540" s="4">
        <f>INDEX(Albums!$A:$A, MATCH(C540,Albums!$C:$C,0))</f>
        <v>47</v>
      </c>
      <c r="B540" s="4">
        <f>INDEX(Albums!$B:$B, MATCH(C540,Albums!$C:$C,0))</f>
        <v>2009</v>
      </c>
      <c r="C540" t="s">
        <v>17</v>
      </c>
      <c r="D540">
        <v>7</v>
      </c>
      <c r="E540" t="s">
        <v>157</v>
      </c>
      <c r="F540" t="s">
        <v>562</v>
      </c>
      <c r="G540" t="s">
        <v>594</v>
      </c>
      <c r="H540">
        <v>5372120</v>
      </c>
      <c r="J540" t="s">
        <v>58</v>
      </c>
      <c r="K540" s="2">
        <v>0.15416666666666667</v>
      </c>
      <c r="L540" s="4" t="str">
        <f>IF(AND(ISNUMBER(H540), COUNTIF([1]Songs!$L:$L,H540)&gt;0),"YES","")</f>
        <v/>
      </c>
    </row>
    <row r="541" spans="1:12" x14ac:dyDescent="0.25">
      <c r="A541" s="4">
        <f>INDEX(Albums!$A:$A, MATCH(C541,Albums!$C:$C,0))</f>
        <v>47</v>
      </c>
      <c r="B541" s="4">
        <f>INDEX(Albums!$B:$B, MATCH(C541,Albums!$C:$C,0))</f>
        <v>2009</v>
      </c>
      <c r="C541" t="s">
        <v>17</v>
      </c>
      <c r="D541">
        <v>8</v>
      </c>
      <c r="E541" t="s">
        <v>158</v>
      </c>
      <c r="F541" t="s">
        <v>563</v>
      </c>
      <c r="G541" t="s">
        <v>359</v>
      </c>
      <c r="H541">
        <v>5409062</v>
      </c>
      <c r="J541" t="s">
        <v>80</v>
      </c>
      <c r="K541" s="2">
        <v>0.1451388888888889</v>
      </c>
      <c r="L541" s="4" t="str">
        <f>IF(AND(ISNUMBER(H541), COUNTIF([1]Songs!$L:$L,H541)&gt;0),"YES","")</f>
        <v/>
      </c>
    </row>
    <row r="542" spans="1:12" x14ac:dyDescent="0.25">
      <c r="A542" s="4">
        <f>INDEX(Albums!$A:$A, MATCH(C542,Albums!$C:$C,0))</f>
        <v>47</v>
      </c>
      <c r="B542" s="4">
        <f>INDEX(Albums!$B:$B, MATCH(C542,Albums!$C:$C,0))</f>
        <v>2009</v>
      </c>
      <c r="C542" t="s">
        <v>17</v>
      </c>
      <c r="D542">
        <v>9</v>
      </c>
      <c r="E542" t="s">
        <v>159</v>
      </c>
      <c r="F542" t="s">
        <v>582</v>
      </c>
      <c r="G542" t="s">
        <v>360</v>
      </c>
      <c r="H542">
        <v>5407318</v>
      </c>
      <c r="J542" t="s">
        <v>121</v>
      </c>
      <c r="K542" s="2">
        <v>0.20625000000000002</v>
      </c>
      <c r="L542" s="4" t="str">
        <f>IF(AND(ISNUMBER(H542), COUNTIF([1]Songs!$L:$L,H542)&gt;0),"YES","")</f>
        <v/>
      </c>
    </row>
    <row r="543" spans="1:12" x14ac:dyDescent="0.25">
      <c r="A543" s="4">
        <f>INDEX(Albums!$A:$A, MATCH(C543,Albums!$C:$C,0))</f>
        <v>47</v>
      </c>
      <c r="B543" s="4">
        <f>INDEX(Albums!$B:$B, MATCH(C543,Albums!$C:$C,0))</f>
        <v>2009</v>
      </c>
      <c r="C543" t="s">
        <v>17</v>
      </c>
      <c r="D543">
        <v>10</v>
      </c>
      <c r="E543" t="s">
        <v>160</v>
      </c>
      <c r="F543" t="s">
        <v>586</v>
      </c>
      <c r="G543" t="s">
        <v>355</v>
      </c>
      <c r="H543">
        <v>5407301</v>
      </c>
      <c r="J543" t="s">
        <v>154</v>
      </c>
      <c r="K543" s="2">
        <v>0.13819444444444443</v>
      </c>
      <c r="L543" s="4" t="str">
        <f>IF(AND(ISNUMBER(H543), COUNTIF([1]Songs!$L:$L,H543)&gt;0),"YES","")</f>
        <v/>
      </c>
    </row>
    <row r="544" spans="1:12" x14ac:dyDescent="0.25">
      <c r="A544" s="4">
        <f>INDEX(Albums!$A:$A, MATCH(C544,Albums!$C:$C,0))</f>
        <v>47</v>
      </c>
      <c r="B544" s="4">
        <f>INDEX(Albums!$B:$B, MATCH(C544,Albums!$C:$C,0))</f>
        <v>2009</v>
      </c>
      <c r="C544" t="s">
        <v>17</v>
      </c>
      <c r="D544">
        <v>11</v>
      </c>
      <c r="E544" t="s">
        <v>161</v>
      </c>
      <c r="F544" t="s">
        <v>162</v>
      </c>
      <c r="G544" t="s">
        <v>355</v>
      </c>
      <c r="H544">
        <v>5409055</v>
      </c>
      <c r="J544" t="s">
        <v>162</v>
      </c>
      <c r="K544" s="2">
        <v>0.3125</v>
      </c>
      <c r="L544" s="4" t="str">
        <f>IF(AND(ISNUMBER(H544), COUNTIF([1]Songs!$L:$L,H544)&gt;0),"YES","")</f>
        <v/>
      </c>
    </row>
    <row r="545" spans="1:12" x14ac:dyDescent="0.25">
      <c r="A545" s="4">
        <f>INDEX(Albums!$A:$A, MATCH(C545,Albums!$C:$C,0))</f>
        <v>47</v>
      </c>
      <c r="B545" s="4">
        <f>INDEX(Albums!$B:$B, MATCH(C545,Albums!$C:$C,0))</f>
        <v>2009</v>
      </c>
      <c r="C545" t="s">
        <v>17</v>
      </c>
      <c r="D545">
        <v>12</v>
      </c>
      <c r="E545" t="s">
        <v>163</v>
      </c>
      <c r="F545" t="s">
        <v>564</v>
      </c>
      <c r="G545" t="s">
        <v>356</v>
      </c>
      <c r="H545">
        <v>5409048</v>
      </c>
      <c r="J545" t="s">
        <v>55</v>
      </c>
      <c r="K545" s="2">
        <v>0.27777777777777779</v>
      </c>
      <c r="L545" s="4" t="str">
        <f>IF(AND(ISNUMBER(H545), COUNTIF([1]Songs!$L:$L,H545)&gt;0),"YES","")</f>
        <v/>
      </c>
    </row>
    <row r="546" spans="1:12" x14ac:dyDescent="0.25">
      <c r="A546" s="4">
        <f>INDEX(Albums!$A:$A, MATCH(C546,Albums!$C:$C,0))</f>
        <v>47</v>
      </c>
      <c r="B546" s="4">
        <f>INDEX(Albums!$B:$B, MATCH(C546,Albums!$C:$C,0))</f>
        <v>2009</v>
      </c>
      <c r="C546" t="s">
        <v>17</v>
      </c>
      <c r="D546">
        <v>13</v>
      </c>
      <c r="E546" t="s">
        <v>164</v>
      </c>
      <c r="F546" t="s">
        <v>565</v>
      </c>
      <c r="G546" t="s">
        <v>355</v>
      </c>
      <c r="H546">
        <v>5372151</v>
      </c>
      <c r="J546" t="s">
        <v>566</v>
      </c>
      <c r="K546" s="2">
        <v>0.34375</v>
      </c>
      <c r="L546" s="4" t="str">
        <f>IF(AND(ISNUMBER(H546), COUNTIF([1]Songs!$L:$L,H546)&gt;0),"YES","")</f>
        <v/>
      </c>
    </row>
    <row r="547" spans="1:12" x14ac:dyDescent="0.25">
      <c r="A547" s="4">
        <f>INDEX(Albums!$A:$A, MATCH(C547,Albums!$C:$C,0))</f>
        <v>48</v>
      </c>
      <c r="B547" s="4">
        <f>INDEX(Albums!$B:$B, MATCH(C547,Albums!$C:$C,0))</f>
        <v>2010</v>
      </c>
      <c r="C547" t="s">
        <v>18</v>
      </c>
      <c r="D547">
        <v>1</v>
      </c>
      <c r="E547" t="s">
        <v>125</v>
      </c>
      <c r="F547" t="s">
        <v>126</v>
      </c>
      <c r="G547" t="s">
        <v>596</v>
      </c>
      <c r="H547">
        <v>5636866</v>
      </c>
      <c r="J547" t="s">
        <v>58</v>
      </c>
      <c r="K547" s="2">
        <v>0.16944444444444443</v>
      </c>
      <c r="L547" s="4" t="str">
        <f>IF(AND(ISNUMBER(H547), COUNTIF([1]Songs!$L:$L,H547)&gt;0),"YES","")</f>
        <v>YES</v>
      </c>
    </row>
    <row r="548" spans="1:12" x14ac:dyDescent="0.25">
      <c r="A548" s="4">
        <f>INDEX(Albums!$A:$A, MATCH(C548,Albums!$C:$C,0))</f>
        <v>48</v>
      </c>
      <c r="B548" s="4">
        <f>INDEX(Albums!$B:$B, MATCH(C548,Albums!$C:$C,0))</f>
        <v>2010</v>
      </c>
      <c r="C548" t="s">
        <v>18</v>
      </c>
      <c r="D548">
        <v>2</v>
      </c>
      <c r="E548" t="s">
        <v>127</v>
      </c>
      <c r="F548" t="s">
        <v>128</v>
      </c>
      <c r="G548" t="s">
        <v>594</v>
      </c>
      <c r="H548">
        <v>5636873</v>
      </c>
      <c r="J548" t="s">
        <v>55</v>
      </c>
      <c r="K548" s="2">
        <v>0.16805555555555554</v>
      </c>
      <c r="L548" s="4" t="str">
        <f>IF(AND(ISNUMBER(H548), COUNTIF([1]Songs!$L:$L,H548)&gt;0),"YES","")</f>
        <v/>
      </c>
    </row>
    <row r="549" spans="1:12" x14ac:dyDescent="0.25">
      <c r="A549" s="4">
        <f>INDEX(Albums!$A:$A, MATCH(C549,Albums!$C:$C,0))</f>
        <v>48</v>
      </c>
      <c r="B549" s="4">
        <f>INDEX(Albums!$B:$B, MATCH(C549,Albums!$C:$C,0))</f>
        <v>2010</v>
      </c>
      <c r="C549" t="s">
        <v>18</v>
      </c>
      <c r="D549">
        <v>3</v>
      </c>
      <c r="E549" t="s">
        <v>129</v>
      </c>
      <c r="F549" t="s">
        <v>130</v>
      </c>
      <c r="G549" t="s">
        <v>358</v>
      </c>
      <c r="H549">
        <v>5639997</v>
      </c>
      <c r="J549" t="s">
        <v>62</v>
      </c>
      <c r="K549" s="2">
        <v>0.23819444444444446</v>
      </c>
      <c r="L549" s="4" t="str">
        <f>IF(AND(ISNUMBER(H549), COUNTIF([1]Songs!$L:$L,H549)&gt;0),"YES","")</f>
        <v>YES</v>
      </c>
    </row>
    <row r="550" spans="1:12" x14ac:dyDescent="0.25">
      <c r="A550" s="4">
        <f>INDEX(Albums!$A:$A, MATCH(C550,Albums!$C:$C,0))</f>
        <v>48</v>
      </c>
      <c r="B550" s="4">
        <f>INDEX(Albums!$B:$B, MATCH(C550,Albums!$C:$C,0))</f>
        <v>2010</v>
      </c>
      <c r="C550" t="s">
        <v>18</v>
      </c>
      <c r="D550">
        <v>4</v>
      </c>
      <c r="E550" t="s">
        <v>131</v>
      </c>
      <c r="F550" t="s">
        <v>54</v>
      </c>
      <c r="G550" t="s">
        <v>358</v>
      </c>
      <c r="H550">
        <v>5636880</v>
      </c>
      <c r="J550" t="s">
        <v>54</v>
      </c>
      <c r="K550" s="2">
        <v>0.26666666666666666</v>
      </c>
      <c r="L550" s="4" t="str">
        <f>IF(AND(ISNUMBER(H550), COUNTIF([1]Songs!$L:$L,H550)&gt;0),"YES","")</f>
        <v/>
      </c>
    </row>
    <row r="551" spans="1:12" x14ac:dyDescent="0.25">
      <c r="A551" s="4">
        <f>INDEX(Albums!$A:$A, MATCH(C551,Albums!$C:$C,0))</f>
        <v>48</v>
      </c>
      <c r="B551" s="4">
        <f>INDEX(Albums!$B:$B, MATCH(C551,Albums!$C:$C,0))</f>
        <v>2010</v>
      </c>
      <c r="C551" t="s">
        <v>18</v>
      </c>
      <c r="D551">
        <v>5</v>
      </c>
      <c r="E551" t="s">
        <v>132</v>
      </c>
      <c r="F551" t="s">
        <v>133</v>
      </c>
      <c r="G551" t="s">
        <v>357</v>
      </c>
      <c r="H551">
        <v>5637528</v>
      </c>
      <c r="I551" s="7" t="s">
        <v>611</v>
      </c>
      <c r="J551" t="s">
        <v>134</v>
      </c>
      <c r="K551" s="2">
        <v>0.32013888888888892</v>
      </c>
      <c r="L551" s="4" t="str">
        <f>IF(AND(ISNUMBER(H551), COUNTIF([1]Songs!$L:$L,H551)&gt;0),"YES","")</f>
        <v/>
      </c>
    </row>
    <row r="552" spans="1:12" x14ac:dyDescent="0.25">
      <c r="A552" s="4">
        <f>INDEX(Albums!$A:$A, MATCH(C552,Albums!$C:$C,0))</f>
        <v>48</v>
      </c>
      <c r="B552" s="4">
        <f>INDEX(Albums!$B:$B, MATCH(C552,Albums!$C:$C,0))</f>
        <v>2010</v>
      </c>
      <c r="C552" t="s">
        <v>18</v>
      </c>
      <c r="D552">
        <v>6</v>
      </c>
      <c r="E552" t="s">
        <v>135</v>
      </c>
      <c r="F552" t="s">
        <v>136</v>
      </c>
      <c r="G552" t="s">
        <v>360</v>
      </c>
      <c r="H552">
        <v>5660739</v>
      </c>
      <c r="J552" t="s">
        <v>121</v>
      </c>
      <c r="K552" s="2">
        <v>0.24236111111111111</v>
      </c>
      <c r="L552" s="4" t="str">
        <f>IF(AND(ISNUMBER(H552), COUNTIF([1]Songs!$L:$L,H552)&gt;0),"YES","")</f>
        <v/>
      </c>
    </row>
    <row r="553" spans="1:12" x14ac:dyDescent="0.25">
      <c r="A553" s="4">
        <f>INDEX(Albums!$A:$A, MATCH(C553,Albums!$C:$C,0))</f>
        <v>48</v>
      </c>
      <c r="B553" s="4">
        <f>INDEX(Albums!$B:$B, MATCH(C553,Albums!$C:$C,0))</f>
        <v>2010</v>
      </c>
      <c r="C553" t="s">
        <v>18</v>
      </c>
      <c r="D553">
        <v>7</v>
      </c>
      <c r="E553" t="s">
        <v>137</v>
      </c>
      <c r="F553" t="s">
        <v>138</v>
      </c>
      <c r="G553" t="s">
        <v>360</v>
      </c>
      <c r="H553">
        <v>5636907</v>
      </c>
      <c r="J553" t="s">
        <v>139</v>
      </c>
      <c r="K553" s="2">
        <v>0.25277777777777777</v>
      </c>
      <c r="L553" s="4" t="str">
        <f>IF(AND(ISNUMBER(H553), COUNTIF([1]Songs!$L:$L,H553)&gt;0),"YES","")</f>
        <v/>
      </c>
    </row>
    <row r="554" spans="1:12" x14ac:dyDescent="0.25">
      <c r="A554" s="4">
        <f>INDEX(Albums!$A:$A, MATCH(C554,Albums!$C:$C,0))</f>
        <v>48</v>
      </c>
      <c r="B554" s="4">
        <f>INDEX(Albums!$B:$B, MATCH(C554,Albums!$C:$C,0))</f>
        <v>2010</v>
      </c>
      <c r="C554" t="s">
        <v>18</v>
      </c>
      <c r="D554">
        <v>8</v>
      </c>
      <c r="E554" t="s">
        <v>140</v>
      </c>
      <c r="F554" t="s">
        <v>58</v>
      </c>
      <c r="G554" t="s">
        <v>362</v>
      </c>
      <c r="H554">
        <v>5636914</v>
      </c>
      <c r="J554" t="s">
        <v>58</v>
      </c>
      <c r="K554" s="2">
        <v>0.18680555555555556</v>
      </c>
      <c r="L554" s="4" t="str">
        <f>IF(AND(ISNUMBER(H554), COUNTIF([1]Songs!$L:$L,H554)&gt;0),"YES","")</f>
        <v/>
      </c>
    </row>
    <row r="555" spans="1:12" x14ac:dyDescent="0.25">
      <c r="A555" s="4">
        <f>INDEX(Albums!$A:$A, MATCH(C555,Albums!$C:$C,0))</f>
        <v>48</v>
      </c>
      <c r="B555" s="4">
        <f>INDEX(Albums!$B:$B, MATCH(C555,Albums!$C:$C,0))</f>
        <v>2010</v>
      </c>
      <c r="C555" t="s">
        <v>18</v>
      </c>
      <c r="D555">
        <v>9</v>
      </c>
      <c r="E555" t="s">
        <v>141</v>
      </c>
      <c r="F555" t="s">
        <v>60</v>
      </c>
      <c r="G555" t="s">
        <v>360</v>
      </c>
      <c r="H555">
        <v>5636921</v>
      </c>
      <c r="J555" t="s">
        <v>60</v>
      </c>
      <c r="K555" s="2">
        <v>0.26111111111111113</v>
      </c>
      <c r="L555" s="4" t="str">
        <f>IF(AND(ISNUMBER(H555), COUNTIF([1]Songs!$L:$L,H555)&gt;0),"YES","")</f>
        <v/>
      </c>
    </row>
    <row r="556" spans="1:12" x14ac:dyDescent="0.25">
      <c r="A556" s="4">
        <f>INDEX(Albums!$A:$A, MATCH(C556,Albums!$C:$C,0))</f>
        <v>48</v>
      </c>
      <c r="B556" s="4">
        <f>INDEX(Albums!$B:$B, MATCH(C556,Albums!$C:$C,0))</f>
        <v>2010</v>
      </c>
      <c r="C556" t="s">
        <v>18</v>
      </c>
      <c r="D556">
        <v>10</v>
      </c>
      <c r="E556" t="s">
        <v>142</v>
      </c>
      <c r="F556" t="s">
        <v>143</v>
      </c>
      <c r="G556" t="s">
        <v>358</v>
      </c>
      <c r="H556">
        <v>5637511</v>
      </c>
      <c r="J556" t="s">
        <v>121</v>
      </c>
      <c r="K556" s="2">
        <v>0.17777777777777778</v>
      </c>
      <c r="L556" s="4" t="str">
        <f>IF(AND(ISNUMBER(H556), COUNTIF([1]Songs!$L:$L,H556)&gt;0),"YES","")</f>
        <v/>
      </c>
    </row>
    <row r="557" spans="1:12" x14ac:dyDescent="0.25">
      <c r="A557" s="4">
        <f>INDEX(Albums!$A:$A, MATCH(C557,Albums!$C:$C,0))</f>
        <v>48</v>
      </c>
      <c r="B557" s="4">
        <f>INDEX(Albums!$B:$B, MATCH(C557,Albums!$C:$C,0))</f>
        <v>2010</v>
      </c>
      <c r="C557" t="s">
        <v>18</v>
      </c>
      <c r="D557">
        <v>11</v>
      </c>
      <c r="E557" t="s">
        <v>144</v>
      </c>
      <c r="F557" t="s">
        <v>58</v>
      </c>
      <c r="G557" t="s">
        <v>355</v>
      </c>
      <c r="H557">
        <v>5637470</v>
      </c>
      <c r="J557" t="s">
        <v>145</v>
      </c>
      <c r="K557" s="2">
        <v>0.4465277777777778</v>
      </c>
      <c r="L557" s="4" t="str">
        <f>IF(AND(ISNUMBER(H557), COUNTIF([1]Songs!$L:$L,H557)&gt;0),"YES","")</f>
        <v/>
      </c>
    </row>
    <row r="558" spans="1:12" x14ac:dyDescent="0.25">
      <c r="A558" s="4">
        <f>INDEX(Albums!$A:$A, MATCH(C558,Albums!$C:$C,0))</f>
        <v>48</v>
      </c>
      <c r="B558" s="4">
        <f>INDEX(Albums!$B:$B, MATCH(C558,Albums!$C:$C,0))</f>
        <v>2010</v>
      </c>
      <c r="C558" t="s">
        <v>18</v>
      </c>
      <c r="D558">
        <v>12</v>
      </c>
      <c r="E558" t="s">
        <v>146</v>
      </c>
      <c r="F558" t="s">
        <v>147</v>
      </c>
      <c r="G558" t="s">
        <v>358</v>
      </c>
      <c r="H558">
        <v>5637487</v>
      </c>
      <c r="J558" t="s">
        <v>55</v>
      </c>
      <c r="K558" s="2">
        <v>0.22569444444444445</v>
      </c>
      <c r="L558" s="4" t="str">
        <f>IF(AND(ISNUMBER(H558), COUNTIF([1]Songs!$L:$L,H558)&gt;0),"YES","")</f>
        <v/>
      </c>
    </row>
    <row r="559" spans="1:12" x14ac:dyDescent="0.25">
      <c r="A559" s="4">
        <f>INDEX(Albums!$A:$A, MATCH(C559,Albums!$C:$C,0))</f>
        <v>48</v>
      </c>
      <c r="B559" s="4">
        <f>INDEX(Albums!$B:$B, MATCH(C559,Albums!$C:$C,0))</f>
        <v>2010</v>
      </c>
      <c r="C559" t="s">
        <v>18</v>
      </c>
      <c r="D559">
        <v>13</v>
      </c>
      <c r="E559" t="s">
        <v>148</v>
      </c>
      <c r="F559" t="s">
        <v>130</v>
      </c>
      <c r="G559" t="s">
        <v>358</v>
      </c>
      <c r="H559">
        <v>5639997</v>
      </c>
      <c r="I559" s="7" t="s">
        <v>610</v>
      </c>
      <c r="J559" t="s">
        <v>62</v>
      </c>
      <c r="K559" s="2">
        <v>0.17291666666666669</v>
      </c>
      <c r="L559" s="4" t="str">
        <f>IF(AND(ISNUMBER(H559), COUNTIF([1]Songs!$L:$L,H559)&gt;0),"YES","")</f>
        <v>YES</v>
      </c>
    </row>
    <row r="560" spans="1:12" x14ac:dyDescent="0.25">
      <c r="A560" s="4">
        <f>INDEX(Albums!$A:$A, MATCH(C560,Albums!$C:$C,0))</f>
        <v>49</v>
      </c>
      <c r="B560" s="4">
        <f>INDEX(Albums!$B:$B, MATCH(C560,Albums!$C:$C,0))</f>
        <v>2011</v>
      </c>
      <c r="C560" t="s">
        <v>668</v>
      </c>
      <c r="D560">
        <v>1</v>
      </c>
      <c r="E560" t="s">
        <v>825</v>
      </c>
      <c r="F560" t="s">
        <v>58</v>
      </c>
      <c r="J560" t="s">
        <v>58</v>
      </c>
      <c r="K560" s="2">
        <v>0.31736111111111115</v>
      </c>
      <c r="L560" t="str">
        <f>IF(AND(ISNUMBER(H560), COUNTIF([1]Songs!$L:$L,H560)&gt;0),"YES","")</f>
        <v/>
      </c>
    </row>
    <row r="561" spans="1:12" x14ac:dyDescent="0.25">
      <c r="A561" s="4">
        <f>INDEX(Albums!$A:$A, MATCH(C561,Albums!$C:$C,0))</f>
        <v>49</v>
      </c>
      <c r="B561" s="4">
        <f>INDEX(Albums!$B:$B, MATCH(C561,Albums!$C:$C,0))</f>
        <v>2011</v>
      </c>
      <c r="C561" t="s">
        <v>668</v>
      </c>
      <c r="D561">
        <v>2</v>
      </c>
      <c r="E561" t="s">
        <v>341</v>
      </c>
      <c r="F561" t="s">
        <v>60</v>
      </c>
      <c r="J561" t="s">
        <v>60</v>
      </c>
      <c r="K561" s="2">
        <v>0.15069444444444444</v>
      </c>
      <c r="L561" t="str">
        <f>IF(AND(ISNUMBER(H561), COUNTIF([1]Songs!$L:$L,H561)&gt;0),"YES","")</f>
        <v/>
      </c>
    </row>
    <row r="562" spans="1:12" x14ac:dyDescent="0.25">
      <c r="A562" s="4">
        <f>INDEX(Albums!$A:$A, MATCH(C562,Albums!$C:$C,0))</f>
        <v>49</v>
      </c>
      <c r="B562" s="4">
        <f>INDEX(Albums!$B:$B, MATCH(C562,Albums!$C:$C,0))</f>
        <v>2011</v>
      </c>
      <c r="C562" t="s">
        <v>668</v>
      </c>
      <c r="D562">
        <v>3</v>
      </c>
      <c r="E562" t="s">
        <v>890</v>
      </c>
      <c r="F562" t="s">
        <v>723</v>
      </c>
      <c r="J562" t="s">
        <v>162</v>
      </c>
      <c r="K562" s="2">
        <v>0.18263888888888891</v>
      </c>
      <c r="L562" t="str">
        <f>IF(AND(ISNUMBER(H562), COUNTIF([1]Songs!$L:$L,H562)&gt;0),"YES","")</f>
        <v/>
      </c>
    </row>
    <row r="563" spans="1:12" x14ac:dyDescent="0.25">
      <c r="A563" s="4">
        <f>INDEX(Albums!$A:$A, MATCH(C563,Albums!$C:$C,0))</f>
        <v>49</v>
      </c>
      <c r="B563" s="4">
        <f>INDEX(Albums!$B:$B, MATCH(C563,Albums!$C:$C,0))</f>
        <v>2011</v>
      </c>
      <c r="C563" t="s">
        <v>668</v>
      </c>
      <c r="D563">
        <v>4</v>
      </c>
      <c r="E563" t="s">
        <v>820</v>
      </c>
      <c r="F563" t="s">
        <v>724</v>
      </c>
      <c r="J563" t="s">
        <v>56</v>
      </c>
      <c r="K563" s="2">
        <v>0.2388888888888889</v>
      </c>
      <c r="L563" t="str">
        <f>IF(AND(ISNUMBER(H563), COUNTIF([1]Songs!$L:$L,H563)&gt;0),"YES","")</f>
        <v/>
      </c>
    </row>
    <row r="564" spans="1:12" x14ac:dyDescent="0.25">
      <c r="A564" s="4">
        <f>INDEX(Albums!$A:$A, MATCH(C564,Albums!$C:$C,0))</f>
        <v>49</v>
      </c>
      <c r="B564" s="4">
        <f>INDEX(Albums!$B:$B, MATCH(C564,Albums!$C:$C,0))</f>
        <v>2011</v>
      </c>
      <c r="C564" t="s">
        <v>668</v>
      </c>
      <c r="D564">
        <v>5</v>
      </c>
      <c r="E564" t="s">
        <v>668</v>
      </c>
      <c r="F564" t="s">
        <v>58</v>
      </c>
      <c r="J564" t="s">
        <v>69</v>
      </c>
      <c r="K564" s="2">
        <v>0.20833333333333334</v>
      </c>
      <c r="L564" t="str">
        <f>IF(AND(ISNUMBER(H564), COUNTIF([1]Songs!$L:$L,H564)&gt;0),"YES","")</f>
        <v/>
      </c>
    </row>
    <row r="565" spans="1:12" x14ac:dyDescent="0.25">
      <c r="A565" s="4">
        <f>INDEX(Albums!$A:$A, MATCH(C565,Albums!$C:$C,0))</f>
        <v>49</v>
      </c>
      <c r="B565" s="4">
        <f>INDEX(Albums!$B:$B, MATCH(C565,Albums!$C:$C,0))</f>
        <v>2011</v>
      </c>
      <c r="C565" t="s">
        <v>668</v>
      </c>
      <c r="D565">
        <v>6</v>
      </c>
      <c r="E565" t="s">
        <v>891</v>
      </c>
      <c r="K565" s="2">
        <v>0.12083333333333333</v>
      </c>
      <c r="L565" t="str">
        <f>IF(AND(ISNUMBER(H565), COUNTIF([1]Songs!$L:$L,H565)&gt;0),"YES","")</f>
        <v/>
      </c>
    </row>
    <row r="566" spans="1:12" x14ac:dyDescent="0.25">
      <c r="A566" s="4">
        <f>INDEX(Albums!$A:$A, MATCH(C566,Albums!$C:$C,0))</f>
        <v>49</v>
      </c>
      <c r="B566" s="4">
        <f>INDEX(Albums!$B:$B, MATCH(C566,Albums!$C:$C,0))</f>
        <v>2011</v>
      </c>
      <c r="C566" t="s">
        <v>668</v>
      </c>
      <c r="D566">
        <v>7</v>
      </c>
      <c r="E566" t="s">
        <v>816</v>
      </c>
      <c r="F566" t="s">
        <v>795</v>
      </c>
      <c r="J566" t="s">
        <v>162</v>
      </c>
      <c r="K566" s="2">
        <v>0.26111111111111113</v>
      </c>
      <c r="L566" t="str">
        <f>IF(AND(ISNUMBER(H566), COUNTIF([1]Songs!$L:$L,H566)&gt;0),"YES","")</f>
        <v/>
      </c>
    </row>
    <row r="567" spans="1:12" x14ac:dyDescent="0.25">
      <c r="A567" s="4">
        <f>INDEX(Albums!$A:$A, MATCH(C567,Albums!$C:$C,0))</f>
        <v>49</v>
      </c>
      <c r="B567" s="4">
        <f>INDEX(Albums!$B:$B, MATCH(C567,Albums!$C:$C,0))</f>
        <v>2011</v>
      </c>
      <c r="C567" t="s">
        <v>668</v>
      </c>
      <c r="D567">
        <v>8</v>
      </c>
      <c r="E567" t="s">
        <v>892</v>
      </c>
      <c r="F567" t="s">
        <v>58</v>
      </c>
      <c r="J567" t="s">
        <v>58</v>
      </c>
      <c r="K567" s="2">
        <v>0.28541666666666665</v>
      </c>
      <c r="L567" t="str">
        <f>IF(AND(ISNUMBER(H567), COUNTIF([1]Songs!$L:$L,H567)&gt;0),"YES","")</f>
        <v/>
      </c>
    </row>
    <row r="568" spans="1:12" x14ac:dyDescent="0.25">
      <c r="A568" s="4">
        <f>INDEX(Albums!$A:$A, MATCH(C568,Albums!$C:$C,0))</f>
        <v>49</v>
      </c>
      <c r="B568" s="4">
        <f>INDEX(Albums!$B:$B, MATCH(C568,Albums!$C:$C,0))</f>
        <v>2011</v>
      </c>
      <c r="C568" t="s">
        <v>668</v>
      </c>
      <c r="D568">
        <v>9</v>
      </c>
      <c r="E568" t="s">
        <v>817</v>
      </c>
      <c r="F568" t="s">
        <v>725</v>
      </c>
      <c r="J568" t="s">
        <v>60</v>
      </c>
      <c r="K568" s="2">
        <v>0.23958333333333334</v>
      </c>
      <c r="L568" t="str">
        <f>IF(AND(ISNUMBER(H568), COUNTIF([1]Songs!$L:$L,H568)&gt;0),"YES","")</f>
        <v/>
      </c>
    </row>
    <row r="569" spans="1:12" x14ac:dyDescent="0.25">
      <c r="A569" s="4">
        <f>INDEX(Albums!$A:$A, MATCH(C569,Albums!$C:$C,0))</f>
        <v>49</v>
      </c>
      <c r="B569" s="4">
        <f>INDEX(Albums!$B:$B, MATCH(C569,Albums!$C:$C,0))</f>
        <v>2011</v>
      </c>
      <c r="C569" t="s">
        <v>668</v>
      </c>
      <c r="D569">
        <v>10</v>
      </c>
      <c r="E569" t="s">
        <v>893</v>
      </c>
      <c r="F569" t="s">
        <v>405</v>
      </c>
      <c r="J569" t="s">
        <v>80</v>
      </c>
      <c r="K569" s="2">
        <v>0.15</v>
      </c>
      <c r="L569" t="str">
        <f>IF(AND(ISNUMBER(H569), COUNTIF([1]Songs!$L:$L,H569)&gt;0),"YES","")</f>
        <v/>
      </c>
    </row>
    <row r="570" spans="1:12" x14ac:dyDescent="0.25">
      <c r="A570" s="4">
        <f>INDEX(Albums!$A:$A, MATCH(C570,Albums!$C:$C,0))</f>
        <v>49</v>
      </c>
      <c r="B570" s="4">
        <f>INDEX(Albums!$B:$B, MATCH(C570,Albums!$C:$C,0))</f>
        <v>2011</v>
      </c>
      <c r="C570" t="s">
        <v>668</v>
      </c>
      <c r="D570">
        <v>11</v>
      </c>
      <c r="E570" t="s">
        <v>814</v>
      </c>
      <c r="F570" t="s">
        <v>561</v>
      </c>
      <c r="J570" t="s">
        <v>60</v>
      </c>
      <c r="K570" s="2">
        <v>0.25347222222222221</v>
      </c>
      <c r="L570" t="str">
        <f>IF(AND(ISNUMBER(H570), COUNTIF([1]Songs!$L:$L,H570)&gt;0),"YES","")</f>
        <v/>
      </c>
    </row>
    <row r="571" spans="1:12" x14ac:dyDescent="0.25">
      <c r="A571" s="4">
        <f>INDEX(Albums!$A:$A, MATCH(C571,Albums!$C:$C,0))</f>
        <v>49</v>
      </c>
      <c r="B571" s="4">
        <f>INDEX(Albums!$B:$B, MATCH(C571,Albums!$C:$C,0))</f>
        <v>2011</v>
      </c>
      <c r="C571" t="s">
        <v>668</v>
      </c>
      <c r="D571">
        <v>12</v>
      </c>
      <c r="E571" t="s">
        <v>342</v>
      </c>
      <c r="F571" t="s">
        <v>796</v>
      </c>
      <c r="J571" t="s">
        <v>62</v>
      </c>
      <c r="K571" s="2">
        <v>0.29930555555555555</v>
      </c>
      <c r="L571" t="str">
        <f>IF(AND(ISNUMBER(H571), COUNTIF([1]Songs!$L:$L,H571)&gt;0),"YES","")</f>
        <v/>
      </c>
    </row>
    <row r="572" spans="1:12" x14ac:dyDescent="0.25">
      <c r="A572" s="4">
        <f>INDEX(Albums!$A:$A, MATCH(C572,Albums!$C:$C,0))</f>
        <v>49</v>
      </c>
      <c r="B572" s="4">
        <f>INDEX(Albums!$B:$B, MATCH(C572,Albums!$C:$C,0))</f>
        <v>2011</v>
      </c>
      <c r="C572" t="s">
        <v>668</v>
      </c>
      <c r="D572">
        <v>13</v>
      </c>
      <c r="E572" t="s">
        <v>894</v>
      </c>
      <c r="F572" t="s">
        <v>561</v>
      </c>
      <c r="J572" t="s">
        <v>62</v>
      </c>
      <c r="K572" s="2">
        <v>0.16319444444444445</v>
      </c>
      <c r="L572" t="str">
        <f>IF(AND(ISNUMBER(H572), COUNTIF([1]Songs!$L:$L,H572)&gt;0),"YES","")</f>
        <v/>
      </c>
    </row>
    <row r="573" spans="1:12" x14ac:dyDescent="0.25">
      <c r="A573" s="4">
        <f>INDEX(Albums!$A:$A, MATCH(C573,Albums!$C:$C,0))</f>
        <v>50</v>
      </c>
      <c r="B573" s="4">
        <f>INDEX(Albums!$B:$B, MATCH(C573,Albums!$C:$C,0))</f>
        <v>2011</v>
      </c>
      <c r="C573" t="s">
        <v>34</v>
      </c>
      <c r="D573">
        <v>1</v>
      </c>
      <c r="E573" t="s">
        <v>1230</v>
      </c>
      <c r="K573" s="2">
        <v>2.2222222222222223E-2</v>
      </c>
      <c r="L573" s="4"/>
    </row>
    <row r="574" spans="1:12" x14ac:dyDescent="0.25">
      <c r="A574" s="4">
        <f>INDEX(Albums!$A:$A, MATCH(C574,Albums!$C:$C,0))</f>
        <v>50</v>
      </c>
      <c r="B574" s="4">
        <f>INDEX(Albums!$B:$B, MATCH(C574,Albums!$C:$C,0))</f>
        <v>2011</v>
      </c>
      <c r="C574" t="s">
        <v>34</v>
      </c>
      <c r="D574">
        <v>2</v>
      </c>
      <c r="E574" t="s">
        <v>235</v>
      </c>
      <c r="F574" t="s">
        <v>162</v>
      </c>
      <c r="K574" s="2">
        <v>0.1388888888888889</v>
      </c>
      <c r="L574" s="4"/>
    </row>
    <row r="575" spans="1:12" x14ac:dyDescent="0.25">
      <c r="A575" s="4">
        <f>INDEX(Albums!$A:$A, MATCH(C575,Albums!$C:$C,0))</f>
        <v>50</v>
      </c>
      <c r="B575" s="4">
        <f>INDEX(Albums!$B:$B, MATCH(C575,Albums!$C:$C,0))</f>
        <v>2011</v>
      </c>
      <c r="C575" t="s">
        <v>34</v>
      </c>
      <c r="D575">
        <v>3</v>
      </c>
      <c r="E575" t="s">
        <v>1231</v>
      </c>
      <c r="F575" t="s">
        <v>60</v>
      </c>
      <c r="K575" s="2">
        <v>0.13958333333333334</v>
      </c>
      <c r="L575" s="4"/>
    </row>
    <row r="576" spans="1:12" x14ac:dyDescent="0.25">
      <c r="A576" s="4">
        <f>INDEX(Albums!$A:$A, MATCH(C576,Albums!$C:$C,0))</f>
        <v>50</v>
      </c>
      <c r="B576" s="4">
        <f>INDEX(Albums!$B:$B, MATCH(C576,Albums!$C:$C,0))</f>
        <v>2011</v>
      </c>
      <c r="C576" t="s">
        <v>34</v>
      </c>
      <c r="D576">
        <v>4</v>
      </c>
      <c r="E576" t="s">
        <v>435</v>
      </c>
      <c r="F576" t="s">
        <v>121</v>
      </c>
      <c r="K576" s="2">
        <v>0.19097222222222221</v>
      </c>
      <c r="L576" s="4"/>
    </row>
    <row r="577" spans="1:12" x14ac:dyDescent="0.25">
      <c r="A577" s="4">
        <f>INDEX(Albums!$A:$A, MATCH(C577,Albums!$C:$C,0))</f>
        <v>50</v>
      </c>
      <c r="B577" s="4">
        <f>INDEX(Albums!$B:$B, MATCH(C577,Albums!$C:$C,0))</f>
        <v>2011</v>
      </c>
      <c r="C577" t="s">
        <v>34</v>
      </c>
      <c r="D577">
        <v>5</v>
      </c>
      <c r="E577" t="s">
        <v>1232</v>
      </c>
      <c r="F577" t="s">
        <v>1155</v>
      </c>
      <c r="K577" s="2">
        <v>0.12222222222222223</v>
      </c>
      <c r="L577" s="4"/>
    </row>
    <row r="578" spans="1:12" x14ac:dyDescent="0.25">
      <c r="A578" s="4">
        <f>INDEX(Albums!$A:$A, MATCH(C578,Albums!$C:$C,0))</f>
        <v>50</v>
      </c>
      <c r="B578" s="4">
        <f>INDEX(Albums!$B:$B, MATCH(C578,Albums!$C:$C,0))</f>
        <v>2011</v>
      </c>
      <c r="C578" t="s">
        <v>34</v>
      </c>
      <c r="D578">
        <v>6</v>
      </c>
      <c r="E578" t="s">
        <v>1233</v>
      </c>
      <c r="F578" t="s">
        <v>81</v>
      </c>
      <c r="K578" s="2">
        <v>0.2673611111111111</v>
      </c>
      <c r="L578" s="4"/>
    </row>
    <row r="579" spans="1:12" x14ac:dyDescent="0.25">
      <c r="A579" s="4">
        <f>INDEX(Albums!$A:$A, MATCH(C579,Albums!$C:$C,0))</f>
        <v>50</v>
      </c>
      <c r="B579" s="4">
        <f>INDEX(Albums!$B:$B, MATCH(C579,Albums!$C:$C,0))</f>
        <v>2011</v>
      </c>
      <c r="C579" t="s">
        <v>34</v>
      </c>
      <c r="D579">
        <v>7</v>
      </c>
      <c r="E579" t="s">
        <v>245</v>
      </c>
      <c r="F579" t="s">
        <v>1143</v>
      </c>
      <c r="K579" s="2">
        <v>0.25208333333333333</v>
      </c>
      <c r="L579" s="4"/>
    </row>
    <row r="580" spans="1:12" x14ac:dyDescent="0.25">
      <c r="A580" s="4">
        <f>INDEX(Albums!$A:$A, MATCH(C580,Albums!$C:$C,0))</f>
        <v>50</v>
      </c>
      <c r="B580" s="4">
        <f>INDEX(Albums!$B:$B, MATCH(C580,Albums!$C:$C,0))</f>
        <v>2011</v>
      </c>
      <c r="C580" t="s">
        <v>34</v>
      </c>
      <c r="D580">
        <v>8</v>
      </c>
      <c r="E580" t="s">
        <v>1234</v>
      </c>
      <c r="F580" t="s">
        <v>720</v>
      </c>
      <c r="K580" s="2">
        <v>8.819444444444445E-2</v>
      </c>
      <c r="L580" s="4"/>
    </row>
    <row r="581" spans="1:12" x14ac:dyDescent="0.25">
      <c r="A581" s="4">
        <f>INDEX(Albums!$A:$A, MATCH(C581,Albums!$C:$C,0))</f>
        <v>51</v>
      </c>
      <c r="B581" s="4">
        <f>INDEX(Albums!$B:$B, MATCH(C581,Albums!$C:$C,0))</f>
        <v>2011</v>
      </c>
      <c r="C581" t="s">
        <v>19</v>
      </c>
      <c r="D581">
        <v>1</v>
      </c>
      <c r="E581" t="s">
        <v>303</v>
      </c>
      <c r="F581" t="s">
        <v>58</v>
      </c>
      <c r="G581" t="s">
        <v>358</v>
      </c>
      <c r="H581">
        <v>5894244</v>
      </c>
      <c r="J581" t="s">
        <v>58</v>
      </c>
      <c r="K581" s="2">
        <v>0.25138888888888888</v>
      </c>
      <c r="L581" s="4" t="str">
        <f>IF(AND(ISNUMBER(H581), COUNTIF([1]Songs!$L:$L,H581)&gt;0),"YES","")</f>
        <v/>
      </c>
    </row>
    <row r="582" spans="1:12" x14ac:dyDescent="0.25">
      <c r="A582" s="4">
        <f>INDEX(Albums!$A:$A, MATCH(C582,Albums!$C:$C,0))</f>
        <v>51</v>
      </c>
      <c r="B582" s="4">
        <f>INDEX(Albums!$B:$B, MATCH(C582,Albums!$C:$C,0))</f>
        <v>2011</v>
      </c>
      <c r="C582" t="s">
        <v>19</v>
      </c>
      <c r="D582">
        <v>2</v>
      </c>
      <c r="E582" t="s">
        <v>304</v>
      </c>
      <c r="F582" t="s">
        <v>552</v>
      </c>
      <c r="G582" t="s">
        <v>355</v>
      </c>
      <c r="H582">
        <v>5894189</v>
      </c>
      <c r="J582" t="s">
        <v>62</v>
      </c>
      <c r="K582" s="2">
        <v>0.19583333333333333</v>
      </c>
      <c r="L582" s="4" t="str">
        <f>IF(AND(ISNUMBER(H582), COUNTIF([1]Songs!$L:$L,H582)&gt;0),"YES","")</f>
        <v/>
      </c>
    </row>
    <row r="583" spans="1:12" x14ac:dyDescent="0.25">
      <c r="A583" s="4">
        <f>INDEX(Albums!$A:$A, MATCH(C583,Albums!$C:$C,0))</f>
        <v>51</v>
      </c>
      <c r="B583" s="4">
        <f>INDEX(Albums!$B:$B, MATCH(C583,Albums!$C:$C,0))</f>
        <v>2011</v>
      </c>
      <c r="C583" t="s">
        <v>19</v>
      </c>
      <c r="D583">
        <v>3</v>
      </c>
      <c r="E583" t="s">
        <v>305</v>
      </c>
      <c r="F583" t="s">
        <v>553</v>
      </c>
      <c r="G583" t="s">
        <v>355</v>
      </c>
      <c r="H583">
        <v>5894196</v>
      </c>
      <c r="J583" t="s">
        <v>554</v>
      </c>
      <c r="K583" s="2">
        <v>0.26458333333333334</v>
      </c>
      <c r="L583" s="4" t="str">
        <f>IF(AND(ISNUMBER(H583), COUNTIF([1]Songs!$L:$L,H583)&gt;0),"YES","")</f>
        <v/>
      </c>
    </row>
    <row r="584" spans="1:12" x14ac:dyDescent="0.25">
      <c r="A584" s="4">
        <f>INDEX(Albums!$A:$A, MATCH(C584,Albums!$C:$C,0))</f>
        <v>51</v>
      </c>
      <c r="B584" s="4">
        <f>INDEX(Albums!$B:$B, MATCH(C584,Albums!$C:$C,0))</f>
        <v>2011</v>
      </c>
      <c r="C584" t="s">
        <v>19</v>
      </c>
      <c r="D584">
        <v>4</v>
      </c>
      <c r="E584" t="s">
        <v>306</v>
      </c>
      <c r="F584" t="s">
        <v>555</v>
      </c>
      <c r="G584" t="s">
        <v>362</v>
      </c>
      <c r="H584">
        <v>5894268</v>
      </c>
      <c r="J584" t="s">
        <v>54</v>
      </c>
      <c r="K584" s="2">
        <v>0.3347222222222222</v>
      </c>
      <c r="L584" s="4" t="str">
        <f>IF(AND(ISNUMBER(H584), COUNTIF([1]Songs!$L:$L,H584)&gt;0),"YES","")</f>
        <v/>
      </c>
    </row>
    <row r="585" spans="1:12" x14ac:dyDescent="0.25">
      <c r="A585" s="4">
        <f>INDEX(Albums!$A:$A, MATCH(C585,Albums!$C:$C,0))</f>
        <v>51</v>
      </c>
      <c r="B585" s="4">
        <f>INDEX(Albums!$B:$B, MATCH(C585,Albums!$C:$C,0))</f>
        <v>2011</v>
      </c>
      <c r="C585" t="s">
        <v>19</v>
      </c>
      <c r="D585">
        <v>5</v>
      </c>
      <c r="E585" t="s">
        <v>19</v>
      </c>
      <c r="F585" t="s">
        <v>169</v>
      </c>
      <c r="G585" t="s">
        <v>362</v>
      </c>
      <c r="H585">
        <v>5894275</v>
      </c>
      <c r="J585" t="s">
        <v>55</v>
      </c>
      <c r="K585" s="2">
        <v>0.19444444444444445</v>
      </c>
      <c r="L585" s="4" t="str">
        <f>IF(AND(ISNUMBER(H585), COUNTIF([1]Songs!$L:$L,H585)&gt;0),"YES","")</f>
        <v>YES</v>
      </c>
    </row>
    <row r="586" spans="1:12" x14ac:dyDescent="0.25">
      <c r="A586" s="4">
        <f>INDEX(Albums!$A:$A, MATCH(C586,Albums!$C:$C,0))</f>
        <v>51</v>
      </c>
      <c r="B586" s="4">
        <f>INDEX(Albums!$B:$B, MATCH(C586,Albums!$C:$C,0))</f>
        <v>2011</v>
      </c>
      <c r="C586" t="s">
        <v>19</v>
      </c>
      <c r="D586">
        <v>6</v>
      </c>
      <c r="E586" t="s">
        <v>307</v>
      </c>
      <c r="F586" t="s">
        <v>556</v>
      </c>
      <c r="G586" t="s">
        <v>359</v>
      </c>
      <c r="H586">
        <v>5894172</v>
      </c>
      <c r="J586" t="s">
        <v>547</v>
      </c>
      <c r="K586" s="2">
        <v>0.15833333333333333</v>
      </c>
      <c r="L586" s="4" t="str">
        <f>IF(AND(ISNUMBER(H586), COUNTIF([1]Songs!$L:$L,H586)&gt;0),"YES","")</f>
        <v/>
      </c>
    </row>
    <row r="587" spans="1:12" x14ac:dyDescent="0.25">
      <c r="A587" s="4">
        <f>INDEX(Albums!$A:$A, MATCH(C587,Albums!$C:$C,0))</f>
        <v>51</v>
      </c>
      <c r="B587" s="4">
        <f>INDEX(Albums!$B:$B, MATCH(C587,Albums!$C:$C,0))</f>
        <v>2011</v>
      </c>
      <c r="C587" t="s">
        <v>19</v>
      </c>
      <c r="D587">
        <v>7</v>
      </c>
      <c r="E587" t="s">
        <v>308</v>
      </c>
      <c r="F587" t="s">
        <v>557</v>
      </c>
      <c r="G587" t="s">
        <v>356</v>
      </c>
      <c r="H587">
        <v>5894206</v>
      </c>
      <c r="J587" t="s">
        <v>121</v>
      </c>
      <c r="K587" s="2">
        <v>0.18888888888888888</v>
      </c>
      <c r="L587" s="4" t="str">
        <f>IF(AND(ISNUMBER(H587), COUNTIF([1]Songs!$L:$L,H587)&gt;0),"YES","")</f>
        <v/>
      </c>
    </row>
    <row r="588" spans="1:12" x14ac:dyDescent="0.25">
      <c r="A588" s="4">
        <f>INDEX(Albums!$A:$A, MATCH(C588,Albums!$C:$C,0))</f>
        <v>51</v>
      </c>
      <c r="B588" s="4">
        <f>INDEX(Albums!$B:$B, MATCH(C588,Albums!$C:$C,0))</f>
        <v>2011</v>
      </c>
      <c r="C588" t="s">
        <v>19</v>
      </c>
      <c r="D588">
        <v>8</v>
      </c>
      <c r="E588" t="s">
        <v>309</v>
      </c>
      <c r="F588" t="s">
        <v>122</v>
      </c>
      <c r="G588" t="s">
        <v>362</v>
      </c>
      <c r="H588">
        <v>5894251</v>
      </c>
      <c r="J588" t="s">
        <v>123</v>
      </c>
      <c r="K588" s="2">
        <v>0.23541666666666669</v>
      </c>
      <c r="L588" s="4" t="str">
        <f>IF(AND(ISNUMBER(H588), COUNTIF([1]Songs!$L:$L,H588)&gt;0),"YES","")</f>
        <v/>
      </c>
    </row>
    <row r="589" spans="1:12" x14ac:dyDescent="0.25">
      <c r="A589" s="4">
        <f>INDEX(Albums!$A:$A, MATCH(C589,Albums!$C:$C,0))</f>
        <v>51</v>
      </c>
      <c r="B589" s="4">
        <f>INDEX(Albums!$B:$B, MATCH(C589,Albums!$C:$C,0))</f>
        <v>2011</v>
      </c>
      <c r="C589" t="s">
        <v>19</v>
      </c>
      <c r="D589">
        <v>9</v>
      </c>
      <c r="E589" t="s">
        <v>310</v>
      </c>
      <c r="F589" t="s">
        <v>124</v>
      </c>
      <c r="G589" t="s">
        <v>355</v>
      </c>
      <c r="H589">
        <v>5887055</v>
      </c>
      <c r="J589" t="s">
        <v>56</v>
      </c>
      <c r="K589" s="2">
        <v>0.19791666666666666</v>
      </c>
      <c r="L589" s="4" t="str">
        <f>IF(AND(ISNUMBER(H589), COUNTIF([1]Songs!$L:$L,H589)&gt;0),"YES","")</f>
        <v/>
      </c>
    </row>
    <row r="590" spans="1:12" x14ac:dyDescent="0.25">
      <c r="A590" s="4">
        <f>INDEX(Albums!$A:$A, MATCH(C590,Albums!$C:$C,0))</f>
        <v>51</v>
      </c>
      <c r="B590" s="4">
        <f>INDEX(Albums!$B:$B, MATCH(C590,Albums!$C:$C,0))</f>
        <v>2011</v>
      </c>
      <c r="C590" t="s">
        <v>19</v>
      </c>
      <c r="D590">
        <v>10</v>
      </c>
      <c r="E590" t="s">
        <v>311</v>
      </c>
      <c r="F590" t="s">
        <v>59</v>
      </c>
      <c r="G590" t="s">
        <v>360</v>
      </c>
      <c r="H590">
        <v>5894213</v>
      </c>
      <c r="J590" t="s">
        <v>54</v>
      </c>
      <c r="K590" s="2">
        <v>0.21597222222222223</v>
      </c>
      <c r="L590" s="4" t="str">
        <f>IF(AND(ISNUMBER(H590), COUNTIF([1]Songs!$L:$L,H590)&gt;0),"YES","")</f>
        <v/>
      </c>
    </row>
    <row r="591" spans="1:12" x14ac:dyDescent="0.25">
      <c r="A591" s="4">
        <f>INDEX(Albums!$A:$A, MATCH(C591,Albums!$C:$C,0))</f>
        <v>51</v>
      </c>
      <c r="B591" s="4">
        <f>INDEX(Albums!$B:$B, MATCH(C591,Albums!$C:$C,0))</f>
        <v>2011</v>
      </c>
      <c r="C591" t="s">
        <v>19</v>
      </c>
      <c r="D591">
        <v>11</v>
      </c>
      <c r="E591" t="s">
        <v>312</v>
      </c>
      <c r="F591" t="s">
        <v>121</v>
      </c>
      <c r="G591" t="s">
        <v>359</v>
      </c>
      <c r="H591">
        <v>5894220</v>
      </c>
      <c r="J591" t="s">
        <v>121</v>
      </c>
      <c r="K591" s="2">
        <v>0.16319444444444445</v>
      </c>
      <c r="L591" s="4" t="str">
        <f>IF(AND(ISNUMBER(H591), COUNTIF([1]Songs!$L:$L,H591)&gt;0),"YES","")</f>
        <v/>
      </c>
    </row>
    <row r="592" spans="1:12" x14ac:dyDescent="0.25">
      <c r="A592" s="4">
        <f>INDEX(Albums!$A:$A, MATCH(C592,Albums!$C:$C,0))</f>
        <v>51</v>
      </c>
      <c r="B592" s="4">
        <f>INDEX(Albums!$B:$B, MATCH(C592,Albums!$C:$C,0))</f>
        <v>2011</v>
      </c>
      <c r="C592" t="s">
        <v>19</v>
      </c>
      <c r="D592">
        <v>12</v>
      </c>
      <c r="E592" t="s">
        <v>341</v>
      </c>
      <c r="F592" t="s">
        <v>60</v>
      </c>
      <c r="G592" t="s">
        <v>362</v>
      </c>
      <c r="H592">
        <v>5806706</v>
      </c>
      <c r="J592" t="s">
        <v>558</v>
      </c>
      <c r="K592" s="2">
        <v>0.18333333333333335</v>
      </c>
      <c r="L592" s="4" t="str">
        <f>IF(AND(ISNUMBER(H592), COUNTIF([1]Songs!$L:$L,H592)&gt;0),"YES","")</f>
        <v/>
      </c>
    </row>
    <row r="593" spans="1:12" x14ac:dyDescent="0.25">
      <c r="A593" s="4">
        <f>INDEX(Albums!$A:$A, MATCH(C593,Albums!$C:$C,0))</f>
        <v>51</v>
      </c>
      <c r="B593" s="4">
        <f>INDEX(Albums!$B:$B, MATCH(C593,Albums!$C:$C,0))</f>
        <v>2011</v>
      </c>
      <c r="C593" t="s">
        <v>19</v>
      </c>
      <c r="D593">
        <v>13</v>
      </c>
      <c r="E593" t="s">
        <v>342</v>
      </c>
      <c r="F593" t="s">
        <v>559</v>
      </c>
      <c r="G593" t="s">
        <v>368</v>
      </c>
      <c r="H593">
        <v>5677399</v>
      </c>
      <c r="J593" t="s">
        <v>167</v>
      </c>
      <c r="K593" s="2">
        <v>0.25347222222222221</v>
      </c>
      <c r="L593" s="4" t="str">
        <f>IF(AND(ISNUMBER(H593), COUNTIF([1]Songs!$L:$L,H593)&gt;0),"YES","")</f>
        <v/>
      </c>
    </row>
    <row r="594" spans="1:12" x14ac:dyDescent="0.25">
      <c r="A594" s="4">
        <f>INDEX(Albums!$A:$A, MATCH(C594,Albums!$C:$C,0))</f>
        <v>51</v>
      </c>
      <c r="B594" s="4">
        <f>INDEX(Albums!$B:$B, MATCH(C594,Albums!$C:$C,0))</f>
        <v>2011</v>
      </c>
      <c r="C594" t="s">
        <v>19</v>
      </c>
      <c r="D594">
        <v>14</v>
      </c>
      <c r="E594" t="s">
        <v>313</v>
      </c>
      <c r="F594" t="s">
        <v>560</v>
      </c>
      <c r="G594" t="s">
        <v>595</v>
      </c>
      <c r="H594">
        <v>5371310</v>
      </c>
      <c r="J594" t="s">
        <v>547</v>
      </c>
      <c r="K594" s="2">
        <v>0.17152777777777775</v>
      </c>
      <c r="L594" s="4" t="str">
        <f>IF(AND(ISNUMBER(H594), COUNTIF([1]Songs!$L:$L,H594)&gt;0),"YES","")</f>
        <v/>
      </c>
    </row>
    <row r="595" spans="1:12" x14ac:dyDescent="0.25">
      <c r="A595" s="4">
        <f>INDEX(Albums!$A:$A, MATCH(C595,Albums!$C:$C,0))</f>
        <v>52</v>
      </c>
      <c r="B595" s="4">
        <f>INDEX(Albums!$B:$B, MATCH(C595,Albums!$C:$C,0))</f>
        <v>2012</v>
      </c>
      <c r="C595" t="s">
        <v>20</v>
      </c>
      <c r="D595">
        <v>1</v>
      </c>
      <c r="E595" t="s">
        <v>291</v>
      </c>
      <c r="F595" t="s">
        <v>110</v>
      </c>
      <c r="G595" t="s">
        <v>358</v>
      </c>
      <c r="H595">
        <v>6177300</v>
      </c>
      <c r="J595" t="s">
        <v>62</v>
      </c>
      <c r="K595" s="2">
        <v>0.17916666666666667</v>
      </c>
      <c r="L595" s="4" t="str">
        <f>IF(AND(ISNUMBER(H595), COUNTIF([1]Songs!$L:$L,H595)&gt;0),"YES","")</f>
        <v/>
      </c>
    </row>
    <row r="596" spans="1:12" x14ac:dyDescent="0.25">
      <c r="A596" s="4">
        <f>INDEX(Albums!$A:$A, MATCH(C596,Albums!$C:$C,0))</f>
        <v>52</v>
      </c>
      <c r="B596" s="4">
        <f>INDEX(Albums!$B:$B, MATCH(C596,Albums!$C:$C,0))</f>
        <v>2012</v>
      </c>
      <c r="C596" t="s">
        <v>20</v>
      </c>
      <c r="D596">
        <v>2</v>
      </c>
      <c r="E596" t="s">
        <v>292</v>
      </c>
      <c r="F596" t="s">
        <v>111</v>
      </c>
      <c r="G596" t="s">
        <v>594</v>
      </c>
      <c r="H596">
        <v>6179573</v>
      </c>
      <c r="J596" t="s">
        <v>81</v>
      </c>
      <c r="K596" s="2">
        <v>0.21736111111111112</v>
      </c>
      <c r="L596" s="4" t="str">
        <f>IF(AND(ISNUMBER(H596), COUNTIF([1]Songs!$L:$L,H596)&gt;0),"YES","")</f>
        <v/>
      </c>
    </row>
    <row r="597" spans="1:12" x14ac:dyDescent="0.25">
      <c r="A597" s="4">
        <f>INDEX(Albums!$A:$A, MATCH(C597,Albums!$C:$C,0))</f>
        <v>52</v>
      </c>
      <c r="B597" s="4">
        <f>INDEX(Albums!$B:$B, MATCH(C597,Albums!$C:$C,0))</f>
        <v>2012</v>
      </c>
      <c r="C597" t="s">
        <v>20</v>
      </c>
      <c r="D597">
        <v>3</v>
      </c>
      <c r="E597" t="s">
        <v>20</v>
      </c>
      <c r="F597" t="s">
        <v>112</v>
      </c>
      <c r="G597" t="s">
        <v>358</v>
      </c>
      <c r="H597">
        <v>6158927</v>
      </c>
      <c r="J597" t="s">
        <v>56</v>
      </c>
      <c r="K597" s="2">
        <v>0.28402777777777777</v>
      </c>
      <c r="L597" s="4" t="str">
        <f>IF(AND(ISNUMBER(H597), COUNTIF([1]Songs!$L:$L,H597)&gt;0),"YES","")</f>
        <v>YES</v>
      </c>
    </row>
    <row r="598" spans="1:12" x14ac:dyDescent="0.25">
      <c r="A598" s="4">
        <f>INDEX(Albums!$A:$A, MATCH(C598,Albums!$C:$C,0))</f>
        <v>52</v>
      </c>
      <c r="B598" s="4">
        <f>INDEX(Albums!$B:$B, MATCH(C598,Albums!$C:$C,0))</f>
        <v>2012</v>
      </c>
      <c r="C598" t="s">
        <v>20</v>
      </c>
      <c r="D598">
        <v>4</v>
      </c>
      <c r="E598" t="s">
        <v>293</v>
      </c>
      <c r="F598" t="s">
        <v>60</v>
      </c>
      <c r="G598" t="s">
        <v>357</v>
      </c>
      <c r="H598">
        <v>6177317</v>
      </c>
      <c r="J598" t="s">
        <v>60</v>
      </c>
      <c r="K598" s="2">
        <v>0.24027777777777778</v>
      </c>
      <c r="L598" s="4" t="str">
        <f>IF(AND(ISNUMBER(H598), COUNTIF([1]Songs!$L:$L,H598)&gt;0),"YES","")</f>
        <v/>
      </c>
    </row>
    <row r="599" spans="1:12" x14ac:dyDescent="0.25">
      <c r="A599" s="4">
        <f>INDEX(Albums!$A:$A, MATCH(C599,Albums!$C:$C,0))</f>
        <v>52</v>
      </c>
      <c r="B599" s="4">
        <f>INDEX(Albums!$B:$B, MATCH(C599,Albums!$C:$C,0))</f>
        <v>2012</v>
      </c>
      <c r="C599" t="s">
        <v>20</v>
      </c>
      <c r="D599">
        <v>5</v>
      </c>
      <c r="E599" t="s">
        <v>294</v>
      </c>
      <c r="F599" t="s">
        <v>113</v>
      </c>
      <c r="G599" t="s">
        <v>359</v>
      </c>
      <c r="H599">
        <v>6177386</v>
      </c>
      <c r="J599" t="s">
        <v>55</v>
      </c>
      <c r="K599" s="2">
        <v>0.17222222222222225</v>
      </c>
      <c r="L599" s="4" t="str">
        <f>IF(AND(ISNUMBER(H599), COUNTIF([1]Songs!$L:$L,H599)&gt;0),"YES","")</f>
        <v/>
      </c>
    </row>
    <row r="600" spans="1:12" x14ac:dyDescent="0.25">
      <c r="A600" s="4">
        <f>INDEX(Albums!$A:$A, MATCH(C600,Albums!$C:$C,0))</f>
        <v>52</v>
      </c>
      <c r="B600" s="4">
        <f>INDEX(Albums!$B:$B, MATCH(C600,Albums!$C:$C,0))</f>
        <v>2012</v>
      </c>
      <c r="C600" t="s">
        <v>20</v>
      </c>
      <c r="D600">
        <v>6</v>
      </c>
      <c r="E600" t="s">
        <v>295</v>
      </c>
      <c r="F600" t="s">
        <v>114</v>
      </c>
      <c r="G600" t="s">
        <v>358</v>
      </c>
      <c r="H600">
        <v>6181114</v>
      </c>
      <c r="J600" t="s">
        <v>81</v>
      </c>
      <c r="K600" s="2">
        <v>0.22916666666666666</v>
      </c>
      <c r="L600" s="4" t="str">
        <f>IF(AND(ISNUMBER(H600), COUNTIF([1]Songs!$L:$L,H600)&gt;0),"YES","")</f>
        <v/>
      </c>
    </row>
    <row r="601" spans="1:12" x14ac:dyDescent="0.25">
      <c r="A601" s="4">
        <f>INDEX(Albums!$A:$A, MATCH(C601,Albums!$C:$C,0))</f>
        <v>52</v>
      </c>
      <c r="B601" s="4">
        <f>INDEX(Albums!$B:$B, MATCH(C601,Albums!$C:$C,0))</f>
        <v>2012</v>
      </c>
      <c r="C601" t="s">
        <v>20</v>
      </c>
      <c r="D601">
        <v>7</v>
      </c>
      <c r="E601" t="s">
        <v>296</v>
      </c>
      <c r="F601" t="s">
        <v>115</v>
      </c>
      <c r="G601" t="s">
        <v>359</v>
      </c>
      <c r="H601">
        <v>6177348</v>
      </c>
      <c r="J601" t="s">
        <v>82</v>
      </c>
      <c r="K601" s="2">
        <v>0.20972222222222223</v>
      </c>
      <c r="L601" s="4" t="str">
        <f>IF(AND(ISNUMBER(H601), COUNTIF([1]Songs!$L:$L,H601)&gt;0),"YES","")</f>
        <v/>
      </c>
    </row>
    <row r="602" spans="1:12" x14ac:dyDescent="0.25">
      <c r="A602" s="4">
        <f>INDEX(Albums!$A:$A, MATCH(C602,Albums!$C:$C,0))</f>
        <v>52</v>
      </c>
      <c r="B602" s="4">
        <f>INDEX(Albums!$B:$B, MATCH(C602,Albums!$C:$C,0))</f>
        <v>2012</v>
      </c>
      <c r="C602" t="s">
        <v>20</v>
      </c>
      <c r="D602">
        <v>8</v>
      </c>
      <c r="E602" t="s">
        <v>297</v>
      </c>
      <c r="F602" t="s">
        <v>116</v>
      </c>
      <c r="G602" t="s">
        <v>362</v>
      </c>
      <c r="H602">
        <v>6177290</v>
      </c>
      <c r="J602" t="s">
        <v>80</v>
      </c>
      <c r="K602" s="2">
        <v>0.16944444444444443</v>
      </c>
      <c r="L602" s="4" t="str">
        <f>IF(AND(ISNUMBER(H602), COUNTIF([1]Songs!$L:$L,H602)&gt;0),"YES","")</f>
        <v/>
      </c>
    </row>
    <row r="603" spans="1:12" x14ac:dyDescent="0.25">
      <c r="A603" s="4">
        <f>INDEX(Albums!$A:$A, MATCH(C603,Albums!$C:$C,0))</f>
        <v>52</v>
      </c>
      <c r="B603" s="4">
        <f>INDEX(Albums!$B:$B, MATCH(C603,Albums!$C:$C,0))</f>
        <v>2012</v>
      </c>
      <c r="C603" t="s">
        <v>20</v>
      </c>
      <c r="D603">
        <v>9</v>
      </c>
      <c r="E603" t="s">
        <v>298</v>
      </c>
      <c r="F603" t="s">
        <v>58</v>
      </c>
      <c r="G603" t="s">
        <v>359</v>
      </c>
      <c r="H603">
        <v>6177379</v>
      </c>
      <c r="J603" t="s">
        <v>58</v>
      </c>
      <c r="K603" s="2">
        <v>0.19236111111111112</v>
      </c>
      <c r="L603" s="4" t="str">
        <f>IF(AND(ISNUMBER(H603), COUNTIF([1]Songs!$L:$L,H603)&gt;0),"YES","")</f>
        <v/>
      </c>
    </row>
    <row r="604" spans="1:12" x14ac:dyDescent="0.25">
      <c r="A604" s="4">
        <f>INDEX(Albums!$A:$A, MATCH(C604,Albums!$C:$C,0))</f>
        <v>52</v>
      </c>
      <c r="B604" s="4">
        <f>INDEX(Albums!$B:$B, MATCH(C604,Albums!$C:$C,0))</f>
        <v>2012</v>
      </c>
      <c r="C604" t="s">
        <v>20</v>
      </c>
      <c r="D604">
        <v>10</v>
      </c>
      <c r="E604" t="s">
        <v>299</v>
      </c>
      <c r="F604" t="s">
        <v>117</v>
      </c>
      <c r="G604" t="s">
        <v>359</v>
      </c>
      <c r="H604">
        <v>6177393</v>
      </c>
      <c r="J604" t="s">
        <v>54</v>
      </c>
      <c r="K604" s="2">
        <v>0.24652777777777779</v>
      </c>
      <c r="L604" s="4" t="str">
        <f>IF(AND(ISNUMBER(H604), COUNTIF([1]Songs!$L:$L,H604)&gt;0),"YES","")</f>
        <v/>
      </c>
    </row>
    <row r="605" spans="1:12" x14ac:dyDescent="0.25">
      <c r="A605" s="4">
        <f>INDEX(Albums!$A:$A, MATCH(C605,Albums!$C:$C,0))</f>
        <v>52</v>
      </c>
      <c r="B605" s="4">
        <f>INDEX(Albums!$B:$B, MATCH(C605,Albums!$C:$C,0))</f>
        <v>2012</v>
      </c>
      <c r="C605" t="s">
        <v>20</v>
      </c>
      <c r="D605">
        <v>11</v>
      </c>
      <c r="E605" t="s">
        <v>300</v>
      </c>
      <c r="F605" t="s">
        <v>118</v>
      </c>
      <c r="G605" t="s">
        <v>359</v>
      </c>
      <c r="H605">
        <v>6177355</v>
      </c>
      <c r="J605" t="s">
        <v>56</v>
      </c>
      <c r="K605" s="2">
        <v>0.22083333333333333</v>
      </c>
      <c r="L605" s="4" t="str">
        <f>IF(AND(ISNUMBER(H605), COUNTIF([1]Songs!$L:$L,H605)&gt;0),"YES","")</f>
        <v/>
      </c>
    </row>
    <row r="606" spans="1:12" x14ac:dyDescent="0.25">
      <c r="A606" s="4">
        <f>INDEX(Albums!$A:$A, MATCH(C606,Albums!$C:$C,0))</f>
        <v>52</v>
      </c>
      <c r="B606" s="4">
        <f>INDEX(Albums!$B:$B, MATCH(C606,Albums!$C:$C,0))</f>
        <v>2012</v>
      </c>
      <c r="C606" t="s">
        <v>20</v>
      </c>
      <c r="D606">
        <v>12</v>
      </c>
      <c r="E606" t="s">
        <v>301</v>
      </c>
      <c r="F606" t="s">
        <v>119</v>
      </c>
      <c r="G606" t="s">
        <v>356</v>
      </c>
      <c r="H606">
        <v>6179566</v>
      </c>
      <c r="J606" t="s">
        <v>62</v>
      </c>
      <c r="K606" s="2">
        <v>0.24791666666666667</v>
      </c>
      <c r="L606" s="4" t="str">
        <f>IF(AND(ISNUMBER(H606), COUNTIF([1]Songs!$L:$L,H606)&gt;0),"YES","")</f>
        <v/>
      </c>
    </row>
    <row r="607" spans="1:12" x14ac:dyDescent="0.25">
      <c r="A607" s="4">
        <f>INDEX(Albums!$A:$A, MATCH(C607,Albums!$C:$C,0))</f>
        <v>52</v>
      </c>
      <c r="B607" s="4">
        <f>INDEX(Albums!$B:$B, MATCH(C607,Albums!$C:$C,0))</f>
        <v>2012</v>
      </c>
      <c r="C607" t="s">
        <v>20</v>
      </c>
      <c r="D607">
        <v>13</v>
      </c>
      <c r="E607" t="s">
        <v>302</v>
      </c>
      <c r="F607" t="s">
        <v>120</v>
      </c>
      <c r="G607" t="s">
        <v>359</v>
      </c>
      <c r="H607">
        <v>6177386</v>
      </c>
      <c r="I607" s="7" t="s">
        <v>610</v>
      </c>
      <c r="J607" t="s">
        <v>54</v>
      </c>
      <c r="K607" s="2">
        <v>0.15138888888888888</v>
      </c>
      <c r="L607" s="4" t="str">
        <f>IF(AND(ISNUMBER(H607), COUNTIF([1]Songs!$L:$L,H607)&gt;0),"YES","")</f>
        <v/>
      </c>
    </row>
    <row r="608" spans="1:12" x14ac:dyDescent="0.25">
      <c r="A608" s="4">
        <f>INDEX(Albums!$A:$A, MATCH(C608,Albums!$C:$C,0))</f>
        <v>54</v>
      </c>
      <c r="B608" s="4">
        <f>INDEX(Albums!$B:$B, MATCH(C608,Albums!$C:$C,0))</f>
        <v>2012</v>
      </c>
      <c r="C608" t="s">
        <v>33</v>
      </c>
      <c r="D608">
        <v>1</v>
      </c>
      <c r="E608" t="s">
        <v>1233</v>
      </c>
      <c r="F608" t="s">
        <v>1150</v>
      </c>
      <c r="J608" t="s">
        <v>1141</v>
      </c>
      <c r="K608" s="2">
        <v>0.2673611111111111</v>
      </c>
      <c r="L608" s="4"/>
    </row>
    <row r="609" spans="1:12" x14ac:dyDescent="0.25">
      <c r="A609" s="4">
        <f>INDEX(Albums!$A:$A, MATCH(C609,Albums!$C:$C,0))</f>
        <v>54</v>
      </c>
      <c r="B609" s="4">
        <f>INDEX(Albums!$B:$B, MATCH(C609,Albums!$C:$C,0))</f>
        <v>2012</v>
      </c>
      <c r="C609" t="s">
        <v>33</v>
      </c>
      <c r="D609">
        <v>2</v>
      </c>
      <c r="E609" t="s">
        <v>235</v>
      </c>
      <c r="F609" t="s">
        <v>1151</v>
      </c>
      <c r="J609" t="s">
        <v>162</v>
      </c>
      <c r="K609" s="2">
        <v>0.13819444444444443</v>
      </c>
      <c r="L609" s="4"/>
    </row>
    <row r="610" spans="1:12" x14ac:dyDescent="0.25">
      <c r="A610" s="4">
        <f>INDEX(Albums!$A:$A, MATCH(C610,Albums!$C:$C,0))</f>
        <v>54</v>
      </c>
      <c r="B610" s="4">
        <f>INDEX(Albums!$B:$B, MATCH(C610,Albums!$C:$C,0))</f>
        <v>2012</v>
      </c>
      <c r="C610" t="s">
        <v>33</v>
      </c>
      <c r="D610">
        <v>3</v>
      </c>
      <c r="E610" t="s">
        <v>1231</v>
      </c>
      <c r="F610" t="s">
        <v>1142</v>
      </c>
      <c r="J610" t="s">
        <v>60</v>
      </c>
      <c r="K610" s="2">
        <v>0.13958333333333334</v>
      </c>
      <c r="L610" s="4"/>
    </row>
    <row r="611" spans="1:12" x14ac:dyDescent="0.25">
      <c r="A611" s="4">
        <f>INDEX(Albums!$A:$A, MATCH(C611,Albums!$C:$C,0))</f>
        <v>54</v>
      </c>
      <c r="B611" s="4">
        <f>INDEX(Albums!$B:$B, MATCH(C611,Albums!$C:$C,0))</f>
        <v>2012</v>
      </c>
      <c r="C611" t="s">
        <v>33</v>
      </c>
      <c r="D611">
        <v>4</v>
      </c>
      <c r="E611" t="s">
        <v>435</v>
      </c>
      <c r="F611" t="s">
        <v>55</v>
      </c>
      <c r="J611" t="s">
        <v>121</v>
      </c>
      <c r="K611" s="2">
        <v>0.18958333333333333</v>
      </c>
      <c r="L611" s="4"/>
    </row>
    <row r="612" spans="1:12" x14ac:dyDescent="0.25">
      <c r="A612" s="4">
        <f>INDEX(Albums!$A:$A, MATCH(C612,Albums!$C:$C,0))</f>
        <v>54</v>
      </c>
      <c r="B612" s="4">
        <f>INDEX(Albums!$B:$B, MATCH(C612,Albums!$C:$C,0))</f>
        <v>2012</v>
      </c>
      <c r="C612" t="s">
        <v>33</v>
      </c>
      <c r="D612">
        <v>5</v>
      </c>
      <c r="E612" t="s">
        <v>245</v>
      </c>
      <c r="F612" t="s">
        <v>1152</v>
      </c>
      <c r="J612" t="s">
        <v>1143</v>
      </c>
      <c r="K612" s="2">
        <v>0.25277777777777777</v>
      </c>
      <c r="L612" s="4"/>
    </row>
    <row r="613" spans="1:12" x14ac:dyDescent="0.25">
      <c r="A613" s="4">
        <f>INDEX(Albums!$A:$A, MATCH(C613,Albums!$C:$C,0))</f>
        <v>54</v>
      </c>
      <c r="B613" s="4">
        <f>INDEX(Albums!$B:$B, MATCH(C613,Albums!$C:$C,0))</f>
        <v>2012</v>
      </c>
      <c r="C613" t="s">
        <v>33</v>
      </c>
      <c r="D613">
        <v>6</v>
      </c>
      <c r="E613" t="s">
        <v>1235</v>
      </c>
      <c r="F613" t="s">
        <v>1144</v>
      </c>
      <c r="J613" t="s">
        <v>54</v>
      </c>
      <c r="K613" s="2">
        <v>0.16180555555555556</v>
      </c>
      <c r="L613" s="4"/>
    </row>
    <row r="614" spans="1:12" x14ac:dyDescent="0.25">
      <c r="A614" s="4">
        <f>INDEX(Albums!$A:$A, MATCH(C614,Albums!$C:$C,0))</f>
        <v>54</v>
      </c>
      <c r="B614" s="4">
        <f>INDEX(Albums!$B:$B, MATCH(C614,Albums!$C:$C,0))</f>
        <v>2012</v>
      </c>
      <c r="C614" t="s">
        <v>33</v>
      </c>
      <c r="D614">
        <v>7</v>
      </c>
      <c r="E614" t="s">
        <v>1236</v>
      </c>
      <c r="F614" t="s">
        <v>1153</v>
      </c>
      <c r="J614" t="s">
        <v>81</v>
      </c>
      <c r="K614" s="2">
        <v>0.16805555555555554</v>
      </c>
      <c r="L614" s="4"/>
    </row>
    <row r="615" spans="1:12" x14ac:dyDescent="0.25">
      <c r="A615" s="4">
        <f>INDEX(Albums!$A:$A, MATCH(C615,Albums!$C:$C,0))</f>
        <v>54</v>
      </c>
      <c r="B615" s="4">
        <f>INDEX(Albums!$B:$B, MATCH(C615,Albums!$C:$C,0))</f>
        <v>2012</v>
      </c>
      <c r="C615" t="s">
        <v>33</v>
      </c>
      <c r="D615">
        <v>8</v>
      </c>
      <c r="E615" t="s">
        <v>1237</v>
      </c>
      <c r="F615" t="s">
        <v>1145</v>
      </c>
      <c r="J615" t="s">
        <v>80</v>
      </c>
      <c r="K615" s="2">
        <v>0.14583333333333334</v>
      </c>
      <c r="L615" s="4"/>
    </row>
    <row r="616" spans="1:12" x14ac:dyDescent="0.25">
      <c r="A616" s="4">
        <f>INDEX(Albums!$A:$A, MATCH(C616,Albums!$C:$C,0))</f>
        <v>54</v>
      </c>
      <c r="B616" s="4">
        <f>INDEX(Albums!$B:$B, MATCH(C616,Albums!$C:$C,0))</f>
        <v>2012</v>
      </c>
      <c r="C616" t="s">
        <v>33</v>
      </c>
      <c r="D616">
        <v>9</v>
      </c>
      <c r="E616" t="s">
        <v>1238</v>
      </c>
      <c r="F616" t="s">
        <v>1146</v>
      </c>
      <c r="J616" t="s">
        <v>84</v>
      </c>
      <c r="K616" s="2">
        <v>0.16250000000000001</v>
      </c>
      <c r="L616" s="4"/>
    </row>
    <row r="617" spans="1:12" x14ac:dyDescent="0.25">
      <c r="A617" s="4">
        <f>INDEX(Albums!$A:$A, MATCH(C617,Albums!$C:$C,0))</f>
        <v>54</v>
      </c>
      <c r="B617" s="4">
        <f>INDEX(Albums!$B:$B, MATCH(C617,Albums!$C:$C,0))</f>
        <v>2012</v>
      </c>
      <c r="C617" t="s">
        <v>33</v>
      </c>
      <c r="D617">
        <v>10</v>
      </c>
      <c r="E617" t="s">
        <v>1239</v>
      </c>
      <c r="F617" t="s">
        <v>1154</v>
      </c>
      <c r="J617" t="s">
        <v>1147</v>
      </c>
      <c r="K617" s="2">
        <v>0.17152777777777775</v>
      </c>
      <c r="L617" s="4"/>
    </row>
    <row r="618" spans="1:12" x14ac:dyDescent="0.25">
      <c r="A618" s="4">
        <f>INDEX(Albums!$A:$A, MATCH(C618,Albums!$C:$C,0))</f>
        <v>54</v>
      </c>
      <c r="B618" s="4">
        <f>INDEX(Albums!$B:$B, MATCH(C618,Albums!$C:$C,0))</f>
        <v>2012</v>
      </c>
      <c r="C618" t="s">
        <v>33</v>
      </c>
      <c r="D618">
        <v>11</v>
      </c>
      <c r="E618" t="s">
        <v>1240</v>
      </c>
      <c r="F618" t="s">
        <v>1148</v>
      </c>
      <c r="J618" t="s">
        <v>1143</v>
      </c>
      <c r="K618" s="2">
        <v>0.18402777777777779</v>
      </c>
      <c r="L618" s="4"/>
    </row>
    <row r="619" spans="1:12" x14ac:dyDescent="0.25">
      <c r="A619" s="4">
        <f>INDEX(Albums!$A:$A, MATCH(C619,Albums!$C:$C,0))</f>
        <v>54</v>
      </c>
      <c r="B619" s="4">
        <f>INDEX(Albums!$B:$B, MATCH(C619,Albums!$C:$C,0))</f>
        <v>2012</v>
      </c>
      <c r="C619" t="s">
        <v>33</v>
      </c>
      <c r="D619">
        <v>12</v>
      </c>
      <c r="E619" t="s">
        <v>1241</v>
      </c>
      <c r="F619" t="s">
        <v>1149</v>
      </c>
      <c r="J619" t="s">
        <v>62</v>
      </c>
      <c r="K619" s="2">
        <v>0.19444444444444445</v>
      </c>
      <c r="L619" s="4"/>
    </row>
    <row r="620" spans="1:12" x14ac:dyDescent="0.25">
      <c r="A620" s="4">
        <f>INDEX(Albums!$A:$A, MATCH(C620,Albums!$C:$C,0))</f>
        <v>55</v>
      </c>
      <c r="B620" s="4">
        <f>INDEX(Albums!$B:$B, MATCH(C620,Albums!$C:$C,0))</f>
        <v>2013</v>
      </c>
      <c r="C620" t="s">
        <v>21</v>
      </c>
      <c r="D620">
        <v>1</v>
      </c>
      <c r="E620" t="s">
        <v>280</v>
      </c>
      <c r="F620" t="s">
        <v>96</v>
      </c>
      <c r="G620" t="s">
        <v>355</v>
      </c>
      <c r="H620">
        <v>6513328</v>
      </c>
      <c r="J620" t="s">
        <v>97</v>
      </c>
      <c r="K620" s="2">
        <v>0.16527777777777777</v>
      </c>
      <c r="L620" s="4" t="str">
        <f>IF(AND(ISNUMBER(H620), COUNTIF([1]Songs!$L:$L,H620)&gt;0),"YES","")</f>
        <v/>
      </c>
    </row>
    <row r="621" spans="1:12" x14ac:dyDescent="0.25">
      <c r="A621" s="4">
        <f>INDEX(Albums!$A:$A, MATCH(C621,Albums!$C:$C,0))</f>
        <v>55</v>
      </c>
      <c r="B621" s="4">
        <f>INDEX(Albums!$B:$B, MATCH(C621,Albums!$C:$C,0))</f>
        <v>2013</v>
      </c>
      <c r="C621" t="s">
        <v>21</v>
      </c>
      <c r="D621">
        <v>2</v>
      </c>
      <c r="E621" t="s">
        <v>281</v>
      </c>
      <c r="F621" t="s">
        <v>98</v>
      </c>
      <c r="G621" t="s">
        <v>359</v>
      </c>
      <c r="H621">
        <v>6513335</v>
      </c>
      <c r="J621" t="s">
        <v>58</v>
      </c>
      <c r="K621" s="2">
        <v>0.21597222222222223</v>
      </c>
      <c r="L621" s="4" t="str">
        <f>IF(AND(ISNUMBER(H621), COUNTIF([1]Songs!$L:$L,H621)&gt;0),"YES","")</f>
        <v/>
      </c>
    </row>
    <row r="622" spans="1:12" x14ac:dyDescent="0.25">
      <c r="A622" s="4">
        <f>INDEX(Albums!$A:$A, MATCH(C622,Albums!$C:$C,0))</f>
        <v>55</v>
      </c>
      <c r="B622" s="4">
        <f>INDEX(Albums!$B:$B, MATCH(C622,Albums!$C:$C,0))</f>
        <v>2013</v>
      </c>
      <c r="C622" t="s">
        <v>21</v>
      </c>
      <c r="D622">
        <v>3</v>
      </c>
      <c r="E622" t="s">
        <v>282</v>
      </c>
      <c r="F622" t="s">
        <v>99</v>
      </c>
      <c r="G622" t="s">
        <v>362</v>
      </c>
      <c r="H622">
        <v>6514035</v>
      </c>
      <c r="J622" t="s">
        <v>55</v>
      </c>
      <c r="K622" s="2">
        <v>0.22222222222222221</v>
      </c>
      <c r="L622" s="4" t="str">
        <f>IF(AND(ISNUMBER(H622), COUNTIF([1]Songs!$L:$L,H622)&gt;0),"YES","")</f>
        <v>YES</v>
      </c>
    </row>
    <row r="623" spans="1:12" x14ac:dyDescent="0.25">
      <c r="A623" s="4">
        <f>INDEX(Albums!$A:$A, MATCH(C623,Albums!$C:$C,0))</f>
        <v>55</v>
      </c>
      <c r="B623" s="4">
        <f>INDEX(Albums!$B:$B, MATCH(C623,Albums!$C:$C,0))</f>
        <v>2013</v>
      </c>
      <c r="C623" t="s">
        <v>21</v>
      </c>
      <c r="D623">
        <v>4</v>
      </c>
      <c r="E623" t="s">
        <v>283</v>
      </c>
      <c r="F623" t="s">
        <v>54</v>
      </c>
      <c r="G623" t="s">
        <v>362</v>
      </c>
      <c r="H623">
        <v>6514042</v>
      </c>
      <c r="J623" t="s">
        <v>54</v>
      </c>
      <c r="K623" s="2">
        <v>0.22569444444444445</v>
      </c>
      <c r="L623" s="4" t="str">
        <f>IF(AND(ISNUMBER(H623), COUNTIF([1]Songs!$L:$L,H623)&gt;0),"YES","")</f>
        <v/>
      </c>
    </row>
    <row r="624" spans="1:12" x14ac:dyDescent="0.25">
      <c r="A624" s="4">
        <f>INDEX(Albums!$A:$A, MATCH(C624,Albums!$C:$C,0))</f>
        <v>55</v>
      </c>
      <c r="B624" s="4">
        <f>INDEX(Albums!$B:$B, MATCH(C624,Albums!$C:$C,0))</f>
        <v>2013</v>
      </c>
      <c r="C624" t="s">
        <v>21</v>
      </c>
      <c r="D624">
        <v>5</v>
      </c>
      <c r="E624" t="s">
        <v>21</v>
      </c>
      <c r="F624" t="s">
        <v>100</v>
      </c>
      <c r="G624" t="s">
        <v>357</v>
      </c>
      <c r="H624">
        <v>6514059</v>
      </c>
      <c r="J624" t="s">
        <v>58</v>
      </c>
      <c r="K624" s="2">
        <v>0.37013888888888885</v>
      </c>
      <c r="L624" s="4" t="str">
        <f>IF(AND(ISNUMBER(H624), COUNTIF([1]Songs!$L:$L,H624)&gt;0),"YES","")</f>
        <v/>
      </c>
    </row>
    <row r="625" spans="1:12" x14ac:dyDescent="0.25">
      <c r="A625" s="4">
        <f>INDEX(Albums!$A:$A, MATCH(C625,Albums!$C:$C,0))</f>
        <v>55</v>
      </c>
      <c r="B625" s="4">
        <f>INDEX(Albums!$B:$B, MATCH(C625,Albums!$C:$C,0))</f>
        <v>2013</v>
      </c>
      <c r="C625" t="s">
        <v>21</v>
      </c>
      <c r="D625">
        <v>6</v>
      </c>
      <c r="E625" t="s">
        <v>284</v>
      </c>
      <c r="F625" t="s">
        <v>101</v>
      </c>
      <c r="G625" t="s">
        <v>358</v>
      </c>
      <c r="H625">
        <v>6514066</v>
      </c>
      <c r="J625" t="s">
        <v>56</v>
      </c>
      <c r="K625" s="2">
        <v>0.18402777777777779</v>
      </c>
      <c r="L625" s="4" t="str">
        <f>IF(AND(ISNUMBER(H625), COUNTIF([1]Songs!$L:$L,H625)&gt;0),"YES","")</f>
        <v/>
      </c>
    </row>
    <row r="626" spans="1:12" x14ac:dyDescent="0.25">
      <c r="A626" s="4">
        <f>INDEX(Albums!$A:$A, MATCH(C626,Albums!$C:$C,0))</f>
        <v>55</v>
      </c>
      <c r="B626" s="4">
        <f>INDEX(Albums!$B:$B, MATCH(C626,Albums!$C:$C,0))</f>
        <v>2013</v>
      </c>
      <c r="C626" t="s">
        <v>21</v>
      </c>
      <c r="D626">
        <v>7</v>
      </c>
      <c r="E626" t="s">
        <v>285</v>
      </c>
      <c r="F626" t="s">
        <v>102</v>
      </c>
      <c r="G626" t="s">
        <v>362</v>
      </c>
      <c r="H626">
        <v>6514073</v>
      </c>
      <c r="J626" t="s">
        <v>80</v>
      </c>
      <c r="K626" s="2">
        <v>0.18541666666666667</v>
      </c>
      <c r="L626" s="4" t="str">
        <f>IF(AND(ISNUMBER(H626), COUNTIF([1]Songs!$L:$L,H626)&gt;0),"YES","")</f>
        <v/>
      </c>
    </row>
    <row r="627" spans="1:12" x14ac:dyDescent="0.25">
      <c r="A627" s="4">
        <f>INDEX(Albums!$A:$A, MATCH(C627,Albums!$C:$C,0))</f>
        <v>55</v>
      </c>
      <c r="B627" s="4">
        <f>INDEX(Albums!$B:$B, MATCH(C627,Albums!$C:$C,0))</f>
        <v>2013</v>
      </c>
      <c r="C627" t="s">
        <v>21</v>
      </c>
      <c r="D627">
        <v>8</v>
      </c>
      <c r="E627" t="s">
        <v>286</v>
      </c>
      <c r="F627" t="s">
        <v>103</v>
      </c>
      <c r="G627" t="s">
        <v>358</v>
      </c>
      <c r="H627">
        <v>6514097</v>
      </c>
      <c r="J627" t="s">
        <v>60</v>
      </c>
      <c r="K627" s="2">
        <v>0.25833333333333336</v>
      </c>
      <c r="L627" s="4" t="str">
        <f>IF(AND(ISNUMBER(H627), COUNTIF([1]Songs!$L:$L,H627)&gt;0),"YES","")</f>
        <v/>
      </c>
    </row>
    <row r="628" spans="1:12" x14ac:dyDescent="0.25">
      <c r="A628" s="4">
        <f>INDEX(Albums!$A:$A, MATCH(C628,Albums!$C:$C,0))</f>
        <v>55</v>
      </c>
      <c r="B628" s="4">
        <f>INDEX(Albums!$B:$B, MATCH(C628,Albums!$C:$C,0))</f>
        <v>2013</v>
      </c>
      <c r="C628" t="s">
        <v>21</v>
      </c>
      <c r="D628">
        <v>9</v>
      </c>
      <c r="E628" t="s">
        <v>287</v>
      </c>
      <c r="F628" t="s">
        <v>104</v>
      </c>
      <c r="G628" t="s">
        <v>357</v>
      </c>
      <c r="H628">
        <v>6476063</v>
      </c>
      <c r="J628" t="s">
        <v>105</v>
      </c>
      <c r="K628" s="2">
        <v>0.22222222222222221</v>
      </c>
      <c r="L628" s="4" t="str">
        <f>IF(AND(ISNUMBER(H628), COUNTIF([1]Songs!$L:$L,H628)&gt;0),"YES","")</f>
        <v>YES</v>
      </c>
    </row>
    <row r="629" spans="1:12" x14ac:dyDescent="0.25">
      <c r="A629" s="4">
        <f>INDEX(Albums!$A:$A, MATCH(C629,Albums!$C:$C,0))</f>
        <v>55</v>
      </c>
      <c r="B629" s="4">
        <f>INDEX(Albums!$B:$B, MATCH(C629,Albums!$C:$C,0))</f>
        <v>2013</v>
      </c>
      <c r="C629" t="s">
        <v>21</v>
      </c>
      <c r="D629">
        <v>10</v>
      </c>
      <c r="E629" t="s">
        <v>288</v>
      </c>
      <c r="F629" t="s">
        <v>109</v>
      </c>
      <c r="G629" t="s">
        <v>362</v>
      </c>
      <c r="H629">
        <v>6502229</v>
      </c>
      <c r="J629" t="s">
        <v>106</v>
      </c>
      <c r="K629" s="2">
        <v>0.24305555555555555</v>
      </c>
      <c r="L629" s="4" t="str">
        <f>IF(AND(ISNUMBER(H629), COUNTIF([1]Songs!$L:$L,H629)&gt;0),"YES","")</f>
        <v/>
      </c>
    </row>
    <row r="630" spans="1:12" x14ac:dyDescent="0.25">
      <c r="A630" s="4">
        <f>INDEX(Albums!$A:$A, MATCH(C630,Albums!$C:$C,0))</f>
        <v>55</v>
      </c>
      <c r="B630" s="4">
        <f>INDEX(Albums!$B:$B, MATCH(C630,Albums!$C:$C,0))</f>
        <v>2013</v>
      </c>
      <c r="C630" t="s">
        <v>21</v>
      </c>
      <c r="D630">
        <v>11</v>
      </c>
      <c r="E630" t="s">
        <v>289</v>
      </c>
      <c r="F630" t="s">
        <v>107</v>
      </c>
      <c r="G630" t="s">
        <v>359</v>
      </c>
      <c r="H630">
        <v>6514114</v>
      </c>
      <c r="J630" t="s">
        <v>108</v>
      </c>
      <c r="K630" s="2">
        <v>0.22500000000000001</v>
      </c>
      <c r="L630" s="4" t="str">
        <f>IF(AND(ISNUMBER(H630), COUNTIF([1]Songs!$L:$L,H630)&gt;0),"YES","")</f>
        <v/>
      </c>
    </row>
    <row r="631" spans="1:12" x14ac:dyDescent="0.25">
      <c r="A631" s="4">
        <f>INDEX(Albums!$A:$A, MATCH(C631,Albums!$C:$C,0))</f>
        <v>55</v>
      </c>
      <c r="B631" s="4">
        <f>INDEX(Albums!$B:$B, MATCH(C631,Albums!$C:$C,0))</f>
        <v>2013</v>
      </c>
      <c r="C631" t="s">
        <v>21</v>
      </c>
      <c r="D631">
        <v>12</v>
      </c>
      <c r="E631" t="s">
        <v>290</v>
      </c>
      <c r="F631" t="s">
        <v>90</v>
      </c>
      <c r="G631" t="s">
        <v>360</v>
      </c>
      <c r="H631">
        <v>6514121</v>
      </c>
      <c r="J631" t="s">
        <v>54</v>
      </c>
      <c r="K631" s="2">
        <v>0.27083333333333331</v>
      </c>
      <c r="L631" s="4" t="str">
        <f>IF(AND(ISNUMBER(H631), COUNTIF([1]Songs!$L:$L,H631)&gt;0),"YES","")</f>
        <v/>
      </c>
    </row>
    <row r="632" spans="1:12" x14ac:dyDescent="0.25">
      <c r="A632" s="4">
        <f>INDEX(Albums!$A:$A, MATCH(C632,Albums!$C:$C,0))</f>
        <v>56</v>
      </c>
      <c r="B632" s="4">
        <f>INDEX(Albums!$B:$B, MATCH(C632,Albums!$C:$C,0))</f>
        <v>2013</v>
      </c>
      <c r="C632" t="s">
        <v>669</v>
      </c>
      <c r="D632">
        <v>1</v>
      </c>
      <c r="E632" t="s">
        <v>802</v>
      </c>
      <c r="F632" t="s">
        <v>787</v>
      </c>
      <c r="I632" s="7" t="s">
        <v>953</v>
      </c>
      <c r="J632" t="s">
        <v>788</v>
      </c>
      <c r="K632" s="2">
        <v>0.21458333333333335</v>
      </c>
      <c r="L632" t="str">
        <f>IF(AND(ISNUMBER(H632), COUNTIF([1]Songs!$L:$L,H632)&gt;0),"YES","")</f>
        <v/>
      </c>
    </row>
    <row r="633" spans="1:12" x14ac:dyDescent="0.25">
      <c r="A633" s="4">
        <f>INDEX(Albums!$A:$A, MATCH(C633,Albums!$C:$C,0))</f>
        <v>56</v>
      </c>
      <c r="B633" s="4">
        <f>INDEX(Albums!$B:$B, MATCH(C633,Albums!$C:$C,0))</f>
        <v>2013</v>
      </c>
      <c r="C633" t="s">
        <v>669</v>
      </c>
      <c r="D633">
        <v>2</v>
      </c>
      <c r="E633" t="s">
        <v>803</v>
      </c>
      <c r="F633" t="s">
        <v>58</v>
      </c>
      <c r="J633" t="s">
        <v>58</v>
      </c>
      <c r="K633" s="2">
        <v>0.18541666666666667</v>
      </c>
      <c r="L633" t="str">
        <f>IF(AND(ISNUMBER(H633), COUNTIF([1]Songs!$L:$L,H633)&gt;0),"YES","")</f>
        <v/>
      </c>
    </row>
    <row r="634" spans="1:12" x14ac:dyDescent="0.25">
      <c r="A634" s="4">
        <f>INDEX(Albums!$A:$A, MATCH(C634,Albums!$C:$C,0))</f>
        <v>56</v>
      </c>
      <c r="B634" s="4">
        <f>INDEX(Albums!$B:$B, MATCH(C634,Albums!$C:$C,0))</f>
        <v>2013</v>
      </c>
      <c r="C634" t="s">
        <v>669</v>
      </c>
      <c r="D634">
        <v>3</v>
      </c>
      <c r="E634" t="s">
        <v>804</v>
      </c>
      <c r="F634" t="s">
        <v>93</v>
      </c>
      <c r="I634" s="7" t="s">
        <v>953</v>
      </c>
      <c r="J634" t="s">
        <v>789</v>
      </c>
      <c r="K634" s="2">
        <v>0.17013888888888887</v>
      </c>
      <c r="L634" t="str">
        <f>IF(AND(ISNUMBER(H634), COUNTIF([1]Songs!$L:$L,H634)&gt;0),"YES","")</f>
        <v/>
      </c>
    </row>
    <row r="635" spans="1:12" x14ac:dyDescent="0.25">
      <c r="A635" s="4">
        <f>INDEX(Albums!$A:$A, MATCH(C635,Albums!$C:$C,0))</f>
        <v>56</v>
      </c>
      <c r="B635" s="4">
        <f>INDEX(Albums!$B:$B, MATCH(C635,Albums!$C:$C,0))</f>
        <v>2013</v>
      </c>
      <c r="C635" t="s">
        <v>669</v>
      </c>
      <c r="D635">
        <v>4</v>
      </c>
      <c r="E635" t="s">
        <v>805</v>
      </c>
      <c r="F635" t="s">
        <v>712</v>
      </c>
      <c r="I635" s="7" t="s">
        <v>953</v>
      </c>
      <c r="J635" t="s">
        <v>790</v>
      </c>
      <c r="K635" s="2">
        <v>0.37152777777777773</v>
      </c>
      <c r="L635" t="str">
        <f>IF(AND(ISNUMBER(H635), COUNTIF([1]Songs!$L:$L,H635)&gt;0),"YES","")</f>
        <v/>
      </c>
    </row>
    <row r="636" spans="1:12" x14ac:dyDescent="0.25">
      <c r="A636" s="4">
        <f>INDEX(Albums!$A:$A, MATCH(C636,Albums!$C:$C,0))</f>
        <v>56</v>
      </c>
      <c r="B636" s="4">
        <f>INDEX(Albums!$B:$B, MATCH(C636,Albums!$C:$C,0))</f>
        <v>2013</v>
      </c>
      <c r="C636" t="s">
        <v>669</v>
      </c>
      <c r="D636">
        <v>5</v>
      </c>
      <c r="E636" t="s">
        <v>806</v>
      </c>
      <c r="F636" t="s">
        <v>672</v>
      </c>
      <c r="J636" t="s">
        <v>58</v>
      </c>
      <c r="K636" s="2">
        <v>0.21666666666666667</v>
      </c>
      <c r="L636" t="str">
        <f>IF(AND(ISNUMBER(H636), COUNTIF([1]Songs!$L:$L,H636)&gt;0),"YES","")</f>
        <v/>
      </c>
    </row>
    <row r="637" spans="1:12" x14ac:dyDescent="0.25">
      <c r="A637" s="4">
        <f>INDEX(Albums!$A:$A, MATCH(C637,Albums!$C:$C,0))</f>
        <v>56</v>
      </c>
      <c r="B637" s="4">
        <f>INDEX(Albums!$B:$B, MATCH(C637,Albums!$C:$C,0))</f>
        <v>2013</v>
      </c>
      <c r="C637" t="s">
        <v>669</v>
      </c>
      <c r="D637">
        <v>6</v>
      </c>
      <c r="E637" t="s">
        <v>807</v>
      </c>
      <c r="F637" t="s">
        <v>93</v>
      </c>
      <c r="J637" t="s">
        <v>60</v>
      </c>
      <c r="K637" s="2">
        <v>0.19513888888888889</v>
      </c>
      <c r="L637" t="str">
        <f>IF(AND(ISNUMBER(H637), COUNTIF([1]Songs!$L:$L,H637)&gt;0),"YES","")</f>
        <v/>
      </c>
    </row>
    <row r="638" spans="1:12" x14ac:dyDescent="0.25">
      <c r="A638" s="4">
        <f>INDEX(Albums!$A:$A, MATCH(C638,Albums!$C:$C,0))</f>
        <v>56</v>
      </c>
      <c r="B638" s="4">
        <f>INDEX(Albums!$B:$B, MATCH(C638,Albums!$C:$C,0))</f>
        <v>2013</v>
      </c>
      <c r="C638" t="s">
        <v>669</v>
      </c>
      <c r="D638">
        <v>7</v>
      </c>
      <c r="E638" t="s">
        <v>808</v>
      </c>
      <c r="F638" t="s">
        <v>672</v>
      </c>
      <c r="J638" t="s">
        <v>791</v>
      </c>
      <c r="K638" s="2">
        <v>0.30208333333333331</v>
      </c>
      <c r="L638" t="str">
        <f>IF(AND(ISNUMBER(H638), COUNTIF([1]Songs!$L:$L,H638)&gt;0),"YES","")</f>
        <v/>
      </c>
    </row>
    <row r="639" spans="1:12" x14ac:dyDescent="0.25">
      <c r="A639" s="4">
        <f>INDEX(Albums!$A:$A, MATCH(C639,Albums!$C:$C,0))</f>
        <v>56</v>
      </c>
      <c r="B639" s="4">
        <f>INDEX(Albums!$B:$B, MATCH(C639,Albums!$C:$C,0))</f>
        <v>2013</v>
      </c>
      <c r="C639" t="s">
        <v>669</v>
      </c>
      <c r="D639">
        <v>8</v>
      </c>
      <c r="E639" t="s">
        <v>809</v>
      </c>
      <c r="F639" t="s">
        <v>102</v>
      </c>
      <c r="J639" t="s">
        <v>791</v>
      </c>
      <c r="K639" s="2">
        <v>0.24374999999999999</v>
      </c>
      <c r="L639" t="str">
        <f>IF(AND(ISNUMBER(H639), COUNTIF([1]Songs!$L:$L,H639)&gt;0),"YES","")</f>
        <v/>
      </c>
    </row>
    <row r="640" spans="1:12" x14ac:dyDescent="0.25">
      <c r="A640" s="4">
        <f>INDEX(Albums!$A:$A, MATCH(C640,Albums!$C:$C,0))</f>
        <v>56</v>
      </c>
      <c r="B640" s="4">
        <f>INDEX(Albums!$B:$B, MATCH(C640,Albums!$C:$C,0))</f>
        <v>2013</v>
      </c>
      <c r="C640" t="s">
        <v>669</v>
      </c>
      <c r="D640">
        <v>9</v>
      </c>
      <c r="E640" t="s">
        <v>889</v>
      </c>
      <c r="F640" t="s">
        <v>792</v>
      </c>
      <c r="J640" t="s">
        <v>62</v>
      </c>
      <c r="K640" s="2">
        <v>0.14652777777777778</v>
      </c>
      <c r="L640" t="str">
        <f>IF(AND(ISNUMBER(H640), COUNTIF([1]Songs!$L:$L,H640)&gt;0),"YES","")</f>
        <v/>
      </c>
    </row>
    <row r="641" spans="1:12" x14ac:dyDescent="0.25">
      <c r="A641" s="4">
        <f>INDEX(Albums!$A:$A, MATCH(C641,Albums!$C:$C,0))</f>
        <v>56</v>
      </c>
      <c r="B641" s="4">
        <f>INDEX(Albums!$B:$B, MATCH(C641,Albums!$C:$C,0))</f>
        <v>2013</v>
      </c>
      <c r="C641" t="s">
        <v>669</v>
      </c>
      <c r="D641">
        <v>10</v>
      </c>
      <c r="E641" t="s">
        <v>810</v>
      </c>
      <c r="F641" t="s">
        <v>793</v>
      </c>
      <c r="J641" t="s">
        <v>788</v>
      </c>
      <c r="K641" s="2">
        <v>0.16180555555555556</v>
      </c>
      <c r="L641" t="str">
        <f>IF(AND(ISNUMBER(H641), COUNTIF([1]Songs!$L:$L,H641)&gt;0),"YES","")</f>
        <v/>
      </c>
    </row>
    <row r="642" spans="1:12" x14ac:dyDescent="0.25">
      <c r="A642" s="4">
        <f>INDEX(Albums!$A:$A, MATCH(C642,Albums!$C:$C,0))</f>
        <v>56</v>
      </c>
      <c r="B642" s="4">
        <f>INDEX(Albums!$B:$B, MATCH(C642,Albums!$C:$C,0))</f>
        <v>2013</v>
      </c>
      <c r="C642" t="s">
        <v>669</v>
      </c>
      <c r="D642">
        <v>11</v>
      </c>
      <c r="E642" t="s">
        <v>811</v>
      </c>
      <c r="F642" t="s">
        <v>715</v>
      </c>
      <c r="J642" t="s">
        <v>790</v>
      </c>
      <c r="K642" s="2">
        <v>0.21180555555555555</v>
      </c>
      <c r="L642" t="str">
        <f>IF(AND(ISNUMBER(H642), COUNTIF([1]Songs!$L:$L,H642)&gt;0),"YES","")</f>
        <v/>
      </c>
    </row>
    <row r="643" spans="1:12" x14ac:dyDescent="0.25">
      <c r="A643" s="4">
        <f>INDEX(Albums!$A:$A, MATCH(C643,Albums!$C:$C,0))</f>
        <v>56</v>
      </c>
      <c r="B643" s="4">
        <f>INDEX(Albums!$B:$B, MATCH(C643,Albums!$C:$C,0))</f>
        <v>2013</v>
      </c>
      <c r="C643" t="s">
        <v>669</v>
      </c>
      <c r="D643">
        <v>12</v>
      </c>
      <c r="E643" t="s">
        <v>812</v>
      </c>
      <c r="F643" t="s">
        <v>717</v>
      </c>
      <c r="J643" t="s">
        <v>794</v>
      </c>
      <c r="K643" s="2">
        <v>0.27916666666666667</v>
      </c>
      <c r="L643" t="str">
        <f>IF(AND(ISNUMBER(H643), COUNTIF([1]Songs!$L:$L,H643)&gt;0),"YES","")</f>
        <v/>
      </c>
    </row>
    <row r="644" spans="1:12" x14ac:dyDescent="0.25">
      <c r="A644" s="4">
        <f>INDEX(Albums!$A:$A, MATCH(C644,Albums!$C:$C,0))</f>
        <v>56</v>
      </c>
      <c r="B644" s="4">
        <f>INDEX(Albums!$B:$B, MATCH(C644,Albums!$C:$C,0))</f>
        <v>2013</v>
      </c>
      <c r="C644" t="s">
        <v>669</v>
      </c>
      <c r="D644">
        <v>13</v>
      </c>
      <c r="E644" t="s">
        <v>813</v>
      </c>
      <c r="F644" t="s">
        <v>719</v>
      </c>
      <c r="J644" t="s">
        <v>788</v>
      </c>
      <c r="K644" s="2">
        <v>0.22777777777777777</v>
      </c>
      <c r="L644" t="str">
        <f>IF(AND(ISNUMBER(H644), COUNTIF([1]Songs!$L:$L,H644)&gt;0),"YES","")</f>
        <v/>
      </c>
    </row>
    <row r="645" spans="1:12" x14ac:dyDescent="0.25">
      <c r="A645" s="4">
        <f>INDEX(Albums!$A:$A, MATCH(C645,Albums!$C:$C,0))</f>
        <v>58</v>
      </c>
      <c r="B645" s="4">
        <f>INDEX(Albums!$B:$B, MATCH(C645,Albums!$C:$C,0))</f>
        <v>2014</v>
      </c>
      <c r="C645" t="s">
        <v>22</v>
      </c>
      <c r="D645">
        <v>1</v>
      </c>
      <c r="E645" t="s">
        <v>270</v>
      </c>
      <c r="F645" t="s">
        <v>85</v>
      </c>
      <c r="G645" t="s">
        <v>358</v>
      </c>
      <c r="H645">
        <v>7018338</v>
      </c>
      <c r="J645" t="s">
        <v>60</v>
      </c>
      <c r="K645" s="2">
        <v>0.27847222222222223</v>
      </c>
      <c r="L645" s="4" t="str">
        <f>IF(AND(ISNUMBER(H645), COUNTIF([1]Songs!$L:$L,H645)&gt;0),"YES","")</f>
        <v>YES</v>
      </c>
    </row>
    <row r="646" spans="1:12" x14ac:dyDescent="0.25">
      <c r="A646" s="4">
        <f>INDEX(Albums!$A:$A, MATCH(C646,Albums!$C:$C,0))</f>
        <v>58</v>
      </c>
      <c r="B646" s="4">
        <f>INDEX(Albums!$B:$B, MATCH(C646,Albums!$C:$C,0))</f>
        <v>2014</v>
      </c>
      <c r="C646" t="s">
        <v>22</v>
      </c>
      <c r="D646">
        <v>2</v>
      </c>
      <c r="E646" t="s">
        <v>271</v>
      </c>
      <c r="F646" t="s">
        <v>86</v>
      </c>
      <c r="G646" t="s">
        <v>360</v>
      </c>
      <c r="H646">
        <v>7019977</v>
      </c>
      <c r="J646" t="s">
        <v>56</v>
      </c>
      <c r="K646" s="2">
        <v>0.20972222222222223</v>
      </c>
      <c r="L646" s="4" t="str">
        <f>IF(AND(ISNUMBER(H646), COUNTIF([1]Songs!$L:$L,H646)&gt;0),"YES","")</f>
        <v/>
      </c>
    </row>
    <row r="647" spans="1:12" x14ac:dyDescent="0.25">
      <c r="A647" s="4">
        <f>INDEX(Albums!$A:$A, MATCH(C647,Albums!$C:$C,0))</f>
        <v>58</v>
      </c>
      <c r="B647" s="4">
        <f>INDEX(Albums!$B:$B, MATCH(C647,Albums!$C:$C,0))</f>
        <v>2014</v>
      </c>
      <c r="C647" t="s">
        <v>22</v>
      </c>
      <c r="D647">
        <v>3</v>
      </c>
      <c r="E647" t="s">
        <v>272</v>
      </c>
      <c r="F647" t="s">
        <v>94</v>
      </c>
      <c r="G647" t="s">
        <v>356</v>
      </c>
      <c r="H647">
        <v>7019974</v>
      </c>
      <c r="J647" t="s">
        <v>74</v>
      </c>
      <c r="K647" s="2">
        <v>0.39444444444444443</v>
      </c>
      <c r="L647" s="4" t="str">
        <f>IF(AND(ISNUMBER(H647), COUNTIF([1]Songs!$L:$L,H647)&gt;0),"YES","")</f>
        <v>YES</v>
      </c>
    </row>
    <row r="648" spans="1:12" x14ac:dyDescent="0.25">
      <c r="A648" s="4">
        <f>INDEX(Albums!$A:$A, MATCH(C648,Albums!$C:$C,0))</f>
        <v>58</v>
      </c>
      <c r="B648" s="4">
        <f>INDEX(Albums!$B:$B, MATCH(C648,Albums!$C:$C,0))</f>
        <v>2014</v>
      </c>
      <c r="C648" t="s">
        <v>22</v>
      </c>
      <c r="D648">
        <v>4</v>
      </c>
      <c r="E648" t="s">
        <v>22</v>
      </c>
      <c r="F648" t="s">
        <v>87</v>
      </c>
      <c r="G648" t="s">
        <v>356</v>
      </c>
      <c r="H648">
        <v>7019979</v>
      </c>
      <c r="J648" t="s">
        <v>58</v>
      </c>
      <c r="K648" s="2">
        <v>0.30555555555555552</v>
      </c>
      <c r="L648" s="4" t="str">
        <f>IF(AND(ISNUMBER(H648), COUNTIF([1]Songs!$L:$L,H648)&gt;0),"YES","")</f>
        <v/>
      </c>
    </row>
    <row r="649" spans="1:12" x14ac:dyDescent="0.25">
      <c r="A649" s="4">
        <f>INDEX(Albums!$A:$A, MATCH(C649,Albums!$C:$C,0))</f>
        <v>58</v>
      </c>
      <c r="B649" s="4">
        <f>INDEX(Albums!$B:$B, MATCH(C649,Albums!$C:$C,0))</f>
        <v>2014</v>
      </c>
      <c r="C649" t="s">
        <v>22</v>
      </c>
      <c r="D649">
        <v>5</v>
      </c>
      <c r="E649" t="s">
        <v>273</v>
      </c>
      <c r="F649" t="s">
        <v>95</v>
      </c>
      <c r="G649" t="s">
        <v>356</v>
      </c>
      <c r="H649">
        <v>7019976</v>
      </c>
      <c r="J649" t="s">
        <v>69</v>
      </c>
      <c r="K649" s="2">
        <v>0.26180555555555557</v>
      </c>
      <c r="L649" s="4" t="str">
        <f>IF(AND(ISNUMBER(H649), COUNTIF([1]Songs!$L:$L,H649)&gt;0),"YES","")</f>
        <v/>
      </c>
    </row>
    <row r="650" spans="1:12" x14ac:dyDescent="0.25">
      <c r="A650" s="4">
        <f>INDEX(Albums!$A:$A, MATCH(C650,Albums!$C:$C,0))</f>
        <v>58</v>
      </c>
      <c r="B650" s="4">
        <f>INDEX(Albums!$B:$B, MATCH(C650,Albums!$C:$C,0))</f>
        <v>2014</v>
      </c>
      <c r="C650" t="s">
        <v>22</v>
      </c>
      <c r="D650">
        <v>6</v>
      </c>
      <c r="E650" t="s">
        <v>274</v>
      </c>
      <c r="F650" t="s">
        <v>88</v>
      </c>
      <c r="G650" t="s">
        <v>359</v>
      </c>
      <c r="H650">
        <v>7018337</v>
      </c>
      <c r="J650" t="s">
        <v>55</v>
      </c>
      <c r="K650" s="2">
        <v>0.17569444444444446</v>
      </c>
      <c r="L650" s="4" t="str">
        <f>IF(AND(ISNUMBER(H650), COUNTIF([1]Songs!$L:$L,H650)&gt;0),"YES","")</f>
        <v/>
      </c>
    </row>
    <row r="651" spans="1:12" x14ac:dyDescent="0.25">
      <c r="A651" s="4">
        <f>INDEX(Albums!$A:$A, MATCH(C651,Albums!$C:$C,0))</f>
        <v>58</v>
      </c>
      <c r="B651" s="4">
        <f>INDEX(Albums!$B:$B, MATCH(C651,Albums!$C:$C,0))</f>
        <v>2014</v>
      </c>
      <c r="C651" t="s">
        <v>22</v>
      </c>
      <c r="D651">
        <v>7</v>
      </c>
      <c r="E651" t="s">
        <v>275</v>
      </c>
      <c r="F651" t="s">
        <v>89</v>
      </c>
      <c r="G651" t="s">
        <v>359</v>
      </c>
      <c r="H651">
        <v>7004672</v>
      </c>
      <c r="J651" t="s">
        <v>63</v>
      </c>
      <c r="K651" s="2">
        <v>0.24305555555555555</v>
      </c>
      <c r="L651" s="4" t="str">
        <f>IF(AND(ISNUMBER(H651), COUNTIF([1]Songs!$L:$L,H651)&gt;0),"YES","")</f>
        <v/>
      </c>
    </row>
    <row r="652" spans="1:12" x14ac:dyDescent="0.25">
      <c r="A652" s="4">
        <f>INDEX(Albums!$A:$A, MATCH(C652,Albums!$C:$C,0))</f>
        <v>58</v>
      </c>
      <c r="B652" s="4">
        <f>INDEX(Albums!$B:$B, MATCH(C652,Albums!$C:$C,0))</f>
        <v>2014</v>
      </c>
      <c r="C652" t="s">
        <v>22</v>
      </c>
      <c r="D652">
        <v>8</v>
      </c>
      <c r="E652" t="s">
        <v>276</v>
      </c>
      <c r="F652" t="s">
        <v>90</v>
      </c>
      <c r="G652" t="s">
        <v>362</v>
      </c>
      <c r="H652">
        <v>7019975</v>
      </c>
      <c r="J652" t="s">
        <v>54</v>
      </c>
      <c r="K652" s="2">
        <v>0.17430555555555557</v>
      </c>
      <c r="L652" s="4" t="str">
        <f>IF(AND(ISNUMBER(H652), COUNTIF([1]Songs!$L:$L,H652)&gt;0),"YES","")</f>
        <v/>
      </c>
    </row>
    <row r="653" spans="1:12" x14ac:dyDescent="0.25">
      <c r="A653" s="4">
        <f>INDEX(Albums!$A:$A, MATCH(C653,Albums!$C:$C,0))</f>
        <v>58</v>
      </c>
      <c r="B653" s="4">
        <f>INDEX(Albums!$B:$B, MATCH(C653,Albums!$C:$C,0))</f>
        <v>2014</v>
      </c>
      <c r="C653" t="s">
        <v>22</v>
      </c>
      <c r="D653">
        <v>9</v>
      </c>
      <c r="E653" t="s">
        <v>277</v>
      </c>
      <c r="F653" t="s">
        <v>91</v>
      </c>
      <c r="G653" t="s">
        <v>356</v>
      </c>
      <c r="H653">
        <v>7019978</v>
      </c>
      <c r="J653" t="s">
        <v>55</v>
      </c>
      <c r="K653" s="2">
        <v>0.2076388888888889</v>
      </c>
      <c r="L653" s="4" t="str">
        <f>IF(AND(ISNUMBER(H653), COUNTIF([1]Songs!$L:$L,H653)&gt;0),"YES","")</f>
        <v/>
      </c>
    </row>
    <row r="654" spans="1:12" x14ac:dyDescent="0.25">
      <c r="A654" s="4">
        <f>INDEX(Albums!$A:$A, MATCH(C654,Albums!$C:$C,0))</f>
        <v>58</v>
      </c>
      <c r="B654" s="4">
        <f>INDEX(Albums!$B:$B, MATCH(C654,Albums!$C:$C,0))</f>
        <v>2014</v>
      </c>
      <c r="C654" t="s">
        <v>22</v>
      </c>
      <c r="D654">
        <v>10</v>
      </c>
      <c r="E654" t="s">
        <v>278</v>
      </c>
      <c r="F654" t="s">
        <v>92</v>
      </c>
      <c r="G654" t="s">
        <v>360</v>
      </c>
      <c r="H654">
        <v>7019980</v>
      </c>
      <c r="J654" t="s">
        <v>81</v>
      </c>
      <c r="K654" s="2">
        <v>0.19583333333333333</v>
      </c>
      <c r="L654" s="4" t="str">
        <f>IF(AND(ISNUMBER(H654), COUNTIF([1]Songs!$L:$L,H654)&gt;0),"YES","")</f>
        <v/>
      </c>
    </row>
    <row r="655" spans="1:12" x14ac:dyDescent="0.25">
      <c r="A655" s="4">
        <f>INDEX(Albums!$A:$A, MATCH(C655,Albums!$C:$C,0))</f>
        <v>58</v>
      </c>
      <c r="B655" s="4">
        <f>INDEX(Albums!$B:$B, MATCH(C655,Albums!$C:$C,0))</f>
        <v>2014</v>
      </c>
      <c r="C655" t="s">
        <v>22</v>
      </c>
      <c r="D655">
        <v>11</v>
      </c>
      <c r="E655" t="s">
        <v>279</v>
      </c>
      <c r="F655" t="s">
        <v>93</v>
      </c>
      <c r="G655" t="s">
        <v>355</v>
      </c>
      <c r="H655">
        <v>6428853</v>
      </c>
      <c r="J655" t="s">
        <v>62</v>
      </c>
      <c r="K655" s="2">
        <v>0.28263888888888888</v>
      </c>
      <c r="L655" s="4" t="str">
        <f>IF(AND(ISNUMBER(H655), COUNTIF([1]Songs!$L:$L,H655)&gt;0),"YES","")</f>
        <v>YES</v>
      </c>
    </row>
    <row r="656" spans="1:12" x14ac:dyDescent="0.25">
      <c r="A656" s="4">
        <f>INDEX(Albums!$A:$A, MATCH(C656,Albums!$C:$C,0))</f>
        <v>60</v>
      </c>
      <c r="B656" s="4">
        <f>INDEX(Albums!$B:$B, MATCH(C656,Albums!$C:$C,0))</f>
        <v>2015</v>
      </c>
      <c r="C656" t="s">
        <v>670</v>
      </c>
      <c r="D656">
        <v>1</v>
      </c>
      <c r="E656" t="s">
        <v>879</v>
      </c>
      <c r="F656" t="s">
        <v>777</v>
      </c>
      <c r="J656" t="s">
        <v>566</v>
      </c>
      <c r="K656" s="2">
        <v>0.30694444444444441</v>
      </c>
      <c r="L656" t="str">
        <f>IF(AND(ISNUMBER(H656), COUNTIF([1]Songs!$L:$L,H656)&gt;0),"YES","")</f>
        <v/>
      </c>
    </row>
    <row r="657" spans="1:12" x14ac:dyDescent="0.25">
      <c r="A657" s="4">
        <f>INDEX(Albums!$A:$A, MATCH(C657,Albums!$C:$C,0))</f>
        <v>60</v>
      </c>
      <c r="B657" s="4">
        <f>INDEX(Albums!$B:$B, MATCH(C657,Albums!$C:$C,0))</f>
        <v>2015</v>
      </c>
      <c r="C657" t="s">
        <v>670</v>
      </c>
      <c r="D657">
        <v>2</v>
      </c>
      <c r="E657" t="s">
        <v>880</v>
      </c>
      <c r="F657" t="s">
        <v>672</v>
      </c>
      <c r="J657" t="s">
        <v>74</v>
      </c>
      <c r="K657" s="2">
        <v>0.18333333333333335</v>
      </c>
      <c r="L657" t="str">
        <f>IF(AND(ISNUMBER(H657), COUNTIF([1]Songs!$L:$L,H657)&gt;0),"YES","")</f>
        <v/>
      </c>
    </row>
    <row r="658" spans="1:12" x14ac:dyDescent="0.25">
      <c r="A658" s="4">
        <f>INDEX(Albums!$A:$A, MATCH(C658,Albums!$C:$C,0))</f>
        <v>60</v>
      </c>
      <c r="B658" s="4">
        <f>INDEX(Albums!$B:$B, MATCH(C658,Albums!$C:$C,0))</f>
        <v>2015</v>
      </c>
      <c r="C658" t="s">
        <v>670</v>
      </c>
      <c r="D658">
        <v>3</v>
      </c>
      <c r="E658" t="s">
        <v>264</v>
      </c>
      <c r="F658" t="s">
        <v>100</v>
      </c>
      <c r="J658" t="s">
        <v>62</v>
      </c>
      <c r="K658" s="2">
        <v>0.27013888888888887</v>
      </c>
      <c r="L658" t="str">
        <f>IF(AND(ISNUMBER(H658), COUNTIF([1]Songs!$L:$L,H658)&gt;0),"YES","")</f>
        <v/>
      </c>
    </row>
    <row r="659" spans="1:12" x14ac:dyDescent="0.25">
      <c r="A659" s="4">
        <f>INDEX(Albums!$A:$A, MATCH(C659,Albums!$C:$C,0))</f>
        <v>60</v>
      </c>
      <c r="B659" s="4">
        <f>INDEX(Albums!$B:$B, MATCH(C659,Albums!$C:$C,0))</f>
        <v>2015</v>
      </c>
      <c r="C659" t="s">
        <v>670</v>
      </c>
      <c r="D659">
        <v>4</v>
      </c>
      <c r="E659" t="s">
        <v>881</v>
      </c>
      <c r="F659" t="s">
        <v>675</v>
      </c>
      <c r="J659" t="s">
        <v>74</v>
      </c>
      <c r="K659" s="2">
        <v>0.18194444444444444</v>
      </c>
      <c r="L659" t="str">
        <f>IF(AND(ISNUMBER(H659), COUNTIF([1]Songs!$L:$L,H659)&gt;0),"YES","")</f>
        <v/>
      </c>
    </row>
    <row r="660" spans="1:12" x14ac:dyDescent="0.25">
      <c r="A660" s="4">
        <f>INDEX(Albums!$A:$A, MATCH(C660,Albums!$C:$C,0))</f>
        <v>60</v>
      </c>
      <c r="B660" s="4">
        <f>INDEX(Albums!$B:$B, MATCH(C660,Albums!$C:$C,0))</f>
        <v>2015</v>
      </c>
      <c r="C660" t="s">
        <v>670</v>
      </c>
      <c r="D660">
        <v>5</v>
      </c>
      <c r="E660" t="s">
        <v>882</v>
      </c>
      <c r="F660" t="s">
        <v>93</v>
      </c>
      <c r="J660" t="s">
        <v>677</v>
      </c>
      <c r="K660" s="2">
        <v>0.18124999999999999</v>
      </c>
      <c r="L660" t="str">
        <f>IF(AND(ISNUMBER(H660), COUNTIF([1]Songs!$L:$L,H660)&gt;0),"YES","")</f>
        <v/>
      </c>
    </row>
    <row r="661" spans="1:12" x14ac:dyDescent="0.25">
      <c r="A661" s="4">
        <f>INDEX(Albums!$A:$A, MATCH(C661,Albums!$C:$C,0))</f>
        <v>60</v>
      </c>
      <c r="B661" s="4">
        <f>INDEX(Albums!$B:$B, MATCH(C661,Albums!$C:$C,0))</f>
        <v>2015</v>
      </c>
      <c r="C661" t="s">
        <v>670</v>
      </c>
      <c r="D661">
        <v>6</v>
      </c>
      <c r="E661" t="s">
        <v>883</v>
      </c>
      <c r="F661" t="s">
        <v>672</v>
      </c>
      <c r="J661" t="s">
        <v>58</v>
      </c>
      <c r="K661" s="2">
        <v>0.19791666666666666</v>
      </c>
      <c r="L661" t="str">
        <f>IF(AND(ISNUMBER(H661), COUNTIF([1]Songs!$L:$L,H661)&gt;0),"YES","")</f>
        <v/>
      </c>
    </row>
    <row r="662" spans="1:12" x14ac:dyDescent="0.25">
      <c r="A662" s="4">
        <f>INDEX(Albums!$A:$A, MATCH(C662,Albums!$C:$C,0))</f>
        <v>60</v>
      </c>
      <c r="B662" s="4">
        <f>INDEX(Albums!$B:$B, MATCH(C662,Albums!$C:$C,0))</f>
        <v>2015</v>
      </c>
      <c r="C662" t="s">
        <v>670</v>
      </c>
      <c r="D662">
        <v>7</v>
      </c>
      <c r="E662" t="s">
        <v>884</v>
      </c>
      <c r="F662" t="s">
        <v>672</v>
      </c>
      <c r="J662" t="s">
        <v>74</v>
      </c>
      <c r="K662" s="2">
        <v>0.26250000000000001</v>
      </c>
      <c r="L662" t="str">
        <f>IF(AND(ISNUMBER(H662), COUNTIF([1]Songs!$L:$L,H662)&gt;0),"YES","")</f>
        <v/>
      </c>
    </row>
    <row r="663" spans="1:12" x14ac:dyDescent="0.25">
      <c r="A663" s="4">
        <f>INDEX(Albums!$A:$A, MATCH(C663,Albums!$C:$C,0))</f>
        <v>60</v>
      </c>
      <c r="B663" s="4">
        <f>INDEX(Albums!$B:$B, MATCH(C663,Albums!$C:$C,0))</f>
        <v>2015</v>
      </c>
      <c r="C663" t="s">
        <v>670</v>
      </c>
      <c r="D663">
        <v>8</v>
      </c>
      <c r="E663" t="s">
        <v>885</v>
      </c>
      <c r="F663" t="s">
        <v>679</v>
      </c>
      <c r="J663" t="s">
        <v>713</v>
      </c>
      <c r="K663" s="2">
        <v>0.24722222222222223</v>
      </c>
      <c r="L663" t="str">
        <f>IF(AND(ISNUMBER(H663), COUNTIF([1]Songs!$L:$L,H663)&gt;0),"YES","")</f>
        <v/>
      </c>
    </row>
    <row r="664" spans="1:12" x14ac:dyDescent="0.25">
      <c r="A664" s="4">
        <f>INDEX(Albums!$A:$A, MATCH(C664,Albums!$C:$C,0))</f>
        <v>60</v>
      </c>
      <c r="B664" s="4">
        <f>INDEX(Albums!$B:$B, MATCH(C664,Albums!$C:$C,0))</f>
        <v>2015</v>
      </c>
      <c r="C664" t="s">
        <v>670</v>
      </c>
      <c r="D664">
        <v>9</v>
      </c>
      <c r="E664" t="s">
        <v>670</v>
      </c>
      <c r="F664" t="s">
        <v>680</v>
      </c>
      <c r="J664" t="s">
        <v>62</v>
      </c>
      <c r="K664" s="2">
        <v>0.3430555555555555</v>
      </c>
      <c r="L664" t="str">
        <f>IF(AND(ISNUMBER(H664), COUNTIF([1]Songs!$L:$L,H664)&gt;0),"YES","")</f>
        <v/>
      </c>
    </row>
    <row r="665" spans="1:12" x14ac:dyDescent="0.25">
      <c r="A665" s="4">
        <f>INDEX(Albums!$A:$A, MATCH(C665,Albums!$C:$C,0))</f>
        <v>60</v>
      </c>
      <c r="B665" s="4">
        <f>INDEX(Albums!$B:$B, MATCH(C665,Albums!$C:$C,0))</f>
        <v>2015</v>
      </c>
      <c r="C665" t="s">
        <v>670</v>
      </c>
      <c r="D665">
        <v>10</v>
      </c>
      <c r="E665" t="s">
        <v>886</v>
      </c>
      <c r="F665" t="s">
        <v>681</v>
      </c>
      <c r="J665" t="s">
        <v>60</v>
      </c>
      <c r="K665" s="2">
        <v>0.17500000000000002</v>
      </c>
      <c r="L665" t="str">
        <f>IF(AND(ISNUMBER(H665), COUNTIF([1]Songs!$L:$L,H665)&gt;0),"YES","")</f>
        <v/>
      </c>
    </row>
    <row r="666" spans="1:12" x14ac:dyDescent="0.25">
      <c r="A666" s="4">
        <f>INDEX(Albums!$A:$A, MATCH(C666,Albums!$C:$C,0))</f>
        <v>60</v>
      </c>
      <c r="B666" s="4">
        <f>INDEX(Albums!$B:$B, MATCH(C666,Albums!$C:$C,0))</f>
        <v>2015</v>
      </c>
      <c r="C666" t="s">
        <v>670</v>
      </c>
      <c r="D666">
        <v>11</v>
      </c>
      <c r="E666" t="s">
        <v>887</v>
      </c>
      <c r="F666" t="s">
        <v>682</v>
      </c>
      <c r="J666" t="s">
        <v>74</v>
      </c>
      <c r="K666" s="2">
        <v>0.2298611111111111</v>
      </c>
      <c r="L666" t="str">
        <f>IF(AND(ISNUMBER(H666), COUNTIF([1]Songs!$L:$L,H666)&gt;0),"YES","")</f>
        <v/>
      </c>
    </row>
    <row r="667" spans="1:12" x14ac:dyDescent="0.25">
      <c r="A667" s="4">
        <f>INDEX(Albums!$A:$A, MATCH(C667,Albums!$C:$C,0))</f>
        <v>60</v>
      </c>
      <c r="B667" s="4">
        <f>INDEX(Albums!$B:$B, MATCH(C667,Albums!$C:$C,0))</f>
        <v>2015</v>
      </c>
      <c r="C667" t="s">
        <v>670</v>
      </c>
      <c r="D667">
        <v>12</v>
      </c>
      <c r="E667" t="s">
        <v>888</v>
      </c>
      <c r="F667" t="s">
        <v>683</v>
      </c>
      <c r="J667" t="s">
        <v>684</v>
      </c>
      <c r="K667" s="2">
        <v>0.39583333333333331</v>
      </c>
      <c r="L667" t="str">
        <f>IF(AND(ISNUMBER(H667), COUNTIF([1]Songs!$L:$L,H667)&gt;0),"YES","")</f>
        <v/>
      </c>
    </row>
    <row r="668" spans="1:12" x14ac:dyDescent="0.25">
      <c r="A668" s="4">
        <f>INDEX(Albums!$A:$A, MATCH(C668,Albums!$C:$C,0))</f>
        <v>61</v>
      </c>
      <c r="B668" s="4">
        <f>INDEX(Albums!$B:$B, MATCH(C668,Albums!$C:$C,0))</f>
        <v>2015</v>
      </c>
      <c r="C668" t="s">
        <v>23</v>
      </c>
      <c r="D668">
        <v>1</v>
      </c>
      <c r="E668" t="s">
        <v>258</v>
      </c>
      <c r="F668" t="s">
        <v>380</v>
      </c>
      <c r="G668" t="s">
        <v>358</v>
      </c>
      <c r="H668">
        <v>7037787</v>
      </c>
      <c r="J668" t="s">
        <v>69</v>
      </c>
      <c r="K668" s="2">
        <v>0.22847222222222222</v>
      </c>
      <c r="L668" s="4" t="str">
        <f>IF(AND(ISNUMBER(H668), COUNTIF([1]Songs!$L:$L,H668)&gt;0),"YES","")</f>
        <v>YES</v>
      </c>
    </row>
    <row r="669" spans="1:12" x14ac:dyDescent="0.25">
      <c r="A669" s="4">
        <f>INDEX(Albums!$A:$A, MATCH(C669,Albums!$C:$C,0))</f>
        <v>61</v>
      </c>
      <c r="B669" s="4">
        <f>INDEX(Albums!$B:$B, MATCH(C669,Albums!$C:$C,0))</f>
        <v>2015</v>
      </c>
      <c r="C669" t="s">
        <v>23</v>
      </c>
      <c r="D669">
        <v>2</v>
      </c>
      <c r="E669" t="s">
        <v>259</v>
      </c>
      <c r="F669" t="s">
        <v>379</v>
      </c>
      <c r="G669" t="s">
        <v>356</v>
      </c>
      <c r="H669">
        <v>7047249</v>
      </c>
      <c r="J669" t="s">
        <v>83</v>
      </c>
      <c r="K669" s="2">
        <v>0.20555555555555557</v>
      </c>
      <c r="L669" s="4" t="str">
        <f>IF(AND(ISNUMBER(H669), COUNTIF([1]Songs!$L:$L,H669)&gt;0),"YES","")</f>
        <v/>
      </c>
    </row>
    <row r="670" spans="1:12" x14ac:dyDescent="0.25">
      <c r="A670" s="4">
        <f>INDEX(Albums!$A:$A, MATCH(C670,Albums!$C:$C,0))</f>
        <v>61</v>
      </c>
      <c r="B670" s="4">
        <f>INDEX(Albums!$B:$B, MATCH(C670,Albums!$C:$C,0))</f>
        <v>2015</v>
      </c>
      <c r="C670" t="s">
        <v>23</v>
      </c>
      <c r="D670">
        <v>3</v>
      </c>
      <c r="E670" t="s">
        <v>260</v>
      </c>
      <c r="F670" t="s">
        <v>378</v>
      </c>
      <c r="G670" t="s">
        <v>358</v>
      </c>
      <c r="H670">
        <v>7047247</v>
      </c>
      <c r="J670" t="s">
        <v>57</v>
      </c>
      <c r="K670" s="2">
        <v>0.2590277777777778</v>
      </c>
      <c r="L670" s="4" t="str">
        <f>IF(AND(ISNUMBER(H670), COUNTIF([1]Songs!$L:$L,H670)&gt;0),"YES","")</f>
        <v/>
      </c>
    </row>
    <row r="671" spans="1:12" x14ac:dyDescent="0.25">
      <c r="A671" s="4">
        <f>INDEX(Albums!$A:$A, MATCH(C671,Albums!$C:$C,0))</f>
        <v>61</v>
      </c>
      <c r="B671" s="4">
        <f>INDEX(Albums!$B:$B, MATCH(C671,Albums!$C:$C,0))</f>
        <v>2015</v>
      </c>
      <c r="C671" t="s">
        <v>23</v>
      </c>
      <c r="D671">
        <v>4</v>
      </c>
      <c r="E671" t="s">
        <v>261</v>
      </c>
      <c r="F671" t="s">
        <v>376</v>
      </c>
      <c r="G671" t="s">
        <v>358</v>
      </c>
      <c r="H671">
        <v>7047254</v>
      </c>
      <c r="J671" t="s">
        <v>377</v>
      </c>
      <c r="K671" s="2">
        <v>0.31180555555555556</v>
      </c>
      <c r="L671" s="4" t="str">
        <f>IF(AND(ISNUMBER(H671), COUNTIF([1]Songs!$L:$L,H671)&gt;0),"YES","")</f>
        <v/>
      </c>
    </row>
    <row r="672" spans="1:12" x14ac:dyDescent="0.25">
      <c r="A672" s="4">
        <f>INDEX(Albums!$A:$A, MATCH(C672,Albums!$C:$C,0))</f>
        <v>61</v>
      </c>
      <c r="B672" s="4">
        <f>INDEX(Albums!$B:$B, MATCH(C672,Albums!$C:$C,0))</f>
        <v>2015</v>
      </c>
      <c r="C672" t="s">
        <v>23</v>
      </c>
      <c r="D672">
        <v>5</v>
      </c>
      <c r="E672" t="s">
        <v>262</v>
      </c>
      <c r="F672" t="s">
        <v>375</v>
      </c>
      <c r="G672" t="s">
        <v>358</v>
      </c>
      <c r="H672">
        <v>7047252</v>
      </c>
      <c r="J672" t="s">
        <v>74</v>
      </c>
      <c r="K672" s="2">
        <v>0.23333333333333331</v>
      </c>
      <c r="L672" s="4" t="str">
        <f>IF(AND(ISNUMBER(H672), COUNTIF([1]Songs!$L:$L,H672)&gt;0),"YES","")</f>
        <v/>
      </c>
    </row>
    <row r="673" spans="1:12" x14ac:dyDescent="0.25">
      <c r="A673" s="4">
        <f>INDEX(Albums!$A:$A, MATCH(C673,Albums!$C:$C,0))</f>
        <v>61</v>
      </c>
      <c r="B673" s="4">
        <f>INDEX(Albums!$B:$B, MATCH(C673,Albums!$C:$C,0))</f>
        <v>2015</v>
      </c>
      <c r="C673" t="s">
        <v>23</v>
      </c>
      <c r="D673">
        <v>6</v>
      </c>
      <c r="E673" t="s">
        <v>263</v>
      </c>
      <c r="F673" t="s">
        <v>374</v>
      </c>
      <c r="G673" t="s">
        <v>362</v>
      </c>
      <c r="H673">
        <v>7047248</v>
      </c>
      <c r="J673" t="s">
        <v>58</v>
      </c>
      <c r="K673" s="2">
        <v>0.28958333333333336</v>
      </c>
      <c r="L673" s="4" t="str">
        <f>IF(AND(ISNUMBER(H673), COUNTIF([1]Songs!$L:$L,H673)&gt;0),"YES","")</f>
        <v/>
      </c>
    </row>
    <row r="674" spans="1:12" x14ac:dyDescent="0.25">
      <c r="A674" s="4">
        <f>INDEX(Albums!$A:$A, MATCH(C674,Albums!$C:$C,0))</f>
        <v>61</v>
      </c>
      <c r="B674" s="4">
        <f>INDEX(Albums!$B:$B, MATCH(C674,Albums!$C:$C,0))</f>
        <v>2015</v>
      </c>
      <c r="C674" t="s">
        <v>23</v>
      </c>
      <c r="D674">
        <v>7</v>
      </c>
      <c r="E674" t="s">
        <v>264</v>
      </c>
      <c r="F674" t="s">
        <v>93</v>
      </c>
      <c r="G674" t="s">
        <v>369</v>
      </c>
      <c r="H674">
        <v>7037921</v>
      </c>
      <c r="J674" t="s">
        <v>62</v>
      </c>
      <c r="K674" s="2">
        <v>0.31111111111111112</v>
      </c>
      <c r="L674" s="4" t="str">
        <f>IF(AND(ISNUMBER(H674), COUNTIF([1]Songs!$L:$L,H674)&gt;0),"YES","")</f>
        <v/>
      </c>
    </row>
    <row r="675" spans="1:12" x14ac:dyDescent="0.25">
      <c r="A675" s="4">
        <f>INDEX(Albums!$A:$A, MATCH(C675,Albums!$C:$C,0))</f>
        <v>61</v>
      </c>
      <c r="B675" s="4">
        <f>INDEX(Albums!$B:$B, MATCH(C675,Albums!$C:$C,0))</f>
        <v>2015</v>
      </c>
      <c r="C675" t="s">
        <v>23</v>
      </c>
      <c r="D675">
        <v>8</v>
      </c>
      <c r="E675" t="s">
        <v>265</v>
      </c>
      <c r="F675" t="s">
        <v>425</v>
      </c>
      <c r="G675" t="s">
        <v>359</v>
      </c>
      <c r="H675">
        <v>7047253</v>
      </c>
      <c r="J675" t="s">
        <v>426</v>
      </c>
      <c r="K675" s="2">
        <v>0.2076388888888889</v>
      </c>
      <c r="L675" s="4" t="str">
        <f>IF(AND(ISNUMBER(H675), COUNTIF([1]Songs!$L:$L,H675)&gt;0),"YES","")</f>
        <v/>
      </c>
    </row>
    <row r="676" spans="1:12" x14ac:dyDescent="0.25">
      <c r="A676" s="4">
        <f>INDEX(Albums!$A:$A, MATCH(C676,Albums!$C:$C,0))</f>
        <v>61</v>
      </c>
      <c r="B676" s="4">
        <f>INDEX(Albums!$B:$B, MATCH(C676,Albums!$C:$C,0))</f>
        <v>2015</v>
      </c>
      <c r="C676" t="s">
        <v>23</v>
      </c>
      <c r="D676">
        <v>9</v>
      </c>
      <c r="E676" t="s">
        <v>266</v>
      </c>
      <c r="F676" t="s">
        <v>373</v>
      </c>
      <c r="G676" t="s">
        <v>358</v>
      </c>
      <c r="H676">
        <v>7047251</v>
      </c>
      <c r="J676" t="s">
        <v>84</v>
      </c>
      <c r="K676" s="2">
        <v>0.18055555555555555</v>
      </c>
      <c r="L676" s="4" t="str">
        <f>IF(AND(ISNUMBER(H676), COUNTIF([1]Songs!$L:$L,H676)&gt;0),"YES","")</f>
        <v/>
      </c>
    </row>
    <row r="677" spans="1:12" x14ac:dyDescent="0.25">
      <c r="A677" s="4">
        <f>INDEX(Albums!$A:$A, MATCH(C677,Albums!$C:$C,0))</f>
        <v>61</v>
      </c>
      <c r="B677" s="4">
        <f>INDEX(Albums!$B:$B, MATCH(C677,Albums!$C:$C,0))</f>
        <v>2015</v>
      </c>
      <c r="C677" t="s">
        <v>23</v>
      </c>
      <c r="D677">
        <v>10</v>
      </c>
      <c r="E677" t="s">
        <v>267</v>
      </c>
      <c r="F677" t="s">
        <v>371</v>
      </c>
      <c r="G677" t="s">
        <v>363</v>
      </c>
      <c r="H677">
        <v>7037224</v>
      </c>
      <c r="J677" t="s">
        <v>372</v>
      </c>
      <c r="K677" s="2">
        <v>0.1673611111111111</v>
      </c>
      <c r="L677" s="4" t="str">
        <f>IF(AND(ISNUMBER(H677), COUNTIF([1]Songs!$L:$L,H677)&gt;0),"YES","")</f>
        <v/>
      </c>
    </row>
    <row r="678" spans="1:12" x14ac:dyDescent="0.25">
      <c r="A678" s="4">
        <f>INDEX(Albums!$A:$A, MATCH(C678,Albums!$C:$C,0))</f>
        <v>61</v>
      </c>
      <c r="B678" s="4">
        <f>INDEX(Albums!$B:$B, MATCH(C678,Albums!$C:$C,0))</f>
        <v>2015</v>
      </c>
      <c r="C678" t="s">
        <v>23</v>
      </c>
      <c r="D678">
        <v>11</v>
      </c>
      <c r="E678" t="s">
        <v>268</v>
      </c>
      <c r="F678" t="s">
        <v>71</v>
      </c>
      <c r="G678" t="s">
        <v>359</v>
      </c>
      <c r="H678">
        <v>7047250</v>
      </c>
      <c r="J678" t="s">
        <v>61</v>
      </c>
      <c r="K678" s="2">
        <v>0.23472222222222219</v>
      </c>
      <c r="L678" s="4" t="str">
        <f>IF(AND(ISNUMBER(H678), COUNTIF([1]Songs!$L:$L,H678)&gt;0),"YES","")</f>
        <v/>
      </c>
    </row>
    <row r="679" spans="1:12" x14ac:dyDescent="0.25">
      <c r="A679" s="4">
        <f>INDEX(Albums!$A:$A, MATCH(C679,Albums!$C:$C,0))</f>
        <v>61</v>
      </c>
      <c r="B679" s="4">
        <f>INDEX(Albums!$B:$B, MATCH(C679,Albums!$C:$C,0))</f>
        <v>2015</v>
      </c>
      <c r="C679" t="s">
        <v>23</v>
      </c>
      <c r="D679">
        <v>12</v>
      </c>
      <c r="E679" t="s">
        <v>269</v>
      </c>
      <c r="F679" t="s">
        <v>370</v>
      </c>
      <c r="G679" t="s">
        <v>358</v>
      </c>
      <c r="H679">
        <v>7047255</v>
      </c>
      <c r="J679" t="s">
        <v>75</v>
      </c>
      <c r="K679" s="2">
        <v>0.19166666666666665</v>
      </c>
      <c r="L679" s="4" t="str">
        <f>IF(AND(ISNUMBER(H679), COUNTIF([1]Songs!$L:$L,H679)&gt;0),"YES","")</f>
        <v/>
      </c>
    </row>
    <row r="680" spans="1:12" x14ac:dyDescent="0.25">
      <c r="A680" s="4">
        <f>INDEX(Albums!$A:$A, MATCH(C680,Albums!$C:$C,0))</f>
        <v>62</v>
      </c>
      <c r="B680" s="4">
        <f>INDEX(Albums!$B:$B, MATCH(C680,Albums!$C:$C,0))</f>
        <v>2016</v>
      </c>
      <c r="C680" t="s">
        <v>24</v>
      </c>
      <c r="D680">
        <v>1</v>
      </c>
      <c r="E680" t="s">
        <v>247</v>
      </c>
      <c r="F680" t="s">
        <v>58</v>
      </c>
      <c r="G680" t="s">
        <v>362</v>
      </c>
      <c r="H680">
        <v>7068430</v>
      </c>
      <c r="J680" t="s">
        <v>343</v>
      </c>
      <c r="K680" s="2">
        <v>0.28194444444444444</v>
      </c>
      <c r="L680" s="4" t="str">
        <f>IF(AND(ISNUMBER(H680), COUNTIF([1]Songs!$L:$L,H680)&gt;0),"YES","")</f>
        <v>YES</v>
      </c>
    </row>
    <row r="681" spans="1:12" x14ac:dyDescent="0.25">
      <c r="A681" s="4">
        <f>INDEX(Albums!$A:$A, MATCH(C681,Albums!$C:$C,0))</f>
        <v>62</v>
      </c>
      <c r="B681" s="4">
        <f>INDEX(Albums!$B:$B, MATCH(C681,Albums!$C:$C,0))</f>
        <v>2016</v>
      </c>
      <c r="C681" t="s">
        <v>24</v>
      </c>
      <c r="D681">
        <v>2</v>
      </c>
      <c r="E681" t="s">
        <v>248</v>
      </c>
      <c r="F681" t="s">
        <v>388</v>
      </c>
      <c r="G681" t="s">
        <v>362</v>
      </c>
      <c r="H681">
        <v>7068428</v>
      </c>
      <c r="J681" t="s">
        <v>56</v>
      </c>
      <c r="K681" s="2">
        <v>0.22152777777777777</v>
      </c>
      <c r="L681" s="4" t="str">
        <f>IF(AND(ISNUMBER(H681), COUNTIF([1]Songs!$L:$L,H681)&gt;0),"YES","")</f>
        <v>YES</v>
      </c>
    </row>
    <row r="682" spans="1:12" x14ac:dyDescent="0.25">
      <c r="A682" s="4">
        <f>INDEX(Albums!$A:$A, MATCH(C682,Albums!$C:$C,0))</f>
        <v>62</v>
      </c>
      <c r="B682" s="4">
        <f>INDEX(Albums!$B:$B, MATCH(C682,Albums!$C:$C,0))</f>
        <v>2016</v>
      </c>
      <c r="C682" t="s">
        <v>24</v>
      </c>
      <c r="D682">
        <v>3</v>
      </c>
      <c r="E682" t="s">
        <v>249</v>
      </c>
      <c r="F682" t="s">
        <v>387</v>
      </c>
      <c r="G682" t="s">
        <v>358</v>
      </c>
      <c r="H682">
        <v>7068422</v>
      </c>
      <c r="J682" t="s">
        <v>80</v>
      </c>
      <c r="K682" s="2">
        <v>0.19166666666666665</v>
      </c>
      <c r="L682" s="4" t="str">
        <f>IF(AND(ISNUMBER(H682), COUNTIF([1]Songs!$L:$L,H682)&gt;0),"YES","")</f>
        <v>YES</v>
      </c>
    </row>
    <row r="683" spans="1:12" x14ac:dyDescent="0.25">
      <c r="A683" s="4">
        <f>INDEX(Albums!$A:$A, MATCH(C683,Albums!$C:$C,0))</f>
        <v>62</v>
      </c>
      <c r="B683" s="4">
        <f>INDEX(Albums!$B:$B, MATCH(C683,Albums!$C:$C,0))</f>
        <v>2016</v>
      </c>
      <c r="C683" t="s">
        <v>24</v>
      </c>
      <c r="D683">
        <v>4</v>
      </c>
      <c r="E683" t="s">
        <v>250</v>
      </c>
      <c r="F683" t="s">
        <v>386</v>
      </c>
      <c r="G683" t="s">
        <v>356</v>
      </c>
      <c r="H683">
        <v>7068421</v>
      </c>
      <c r="J683" t="s">
        <v>53</v>
      </c>
      <c r="K683" s="2">
        <v>0.20625000000000002</v>
      </c>
      <c r="L683" s="4" t="str">
        <f>IF(AND(ISNUMBER(H683), COUNTIF([1]Songs!$L:$L,H683)&gt;0),"YES","")</f>
        <v>YES</v>
      </c>
    </row>
    <row r="684" spans="1:12" x14ac:dyDescent="0.25">
      <c r="A684" s="4">
        <f>INDEX(Albums!$A:$A, MATCH(C684,Albums!$C:$C,0))</f>
        <v>62</v>
      </c>
      <c r="B684" s="4">
        <f>INDEX(Albums!$B:$B, MATCH(C684,Albums!$C:$C,0))</f>
        <v>2016</v>
      </c>
      <c r="C684" t="s">
        <v>24</v>
      </c>
      <c r="D684">
        <v>5</v>
      </c>
      <c r="E684" t="s">
        <v>251</v>
      </c>
      <c r="F684" t="s">
        <v>385</v>
      </c>
      <c r="G684" t="s">
        <v>355</v>
      </c>
      <c r="H684">
        <v>7068424</v>
      </c>
      <c r="J684" t="s">
        <v>52</v>
      </c>
      <c r="K684" s="2">
        <v>0.23680555555555557</v>
      </c>
      <c r="L684" s="4" t="str">
        <f>IF(AND(ISNUMBER(H684), COUNTIF([1]Songs!$L:$L,H684)&gt;0),"YES","")</f>
        <v>YES</v>
      </c>
    </row>
    <row r="685" spans="1:12" x14ac:dyDescent="0.25">
      <c r="A685" s="4">
        <f>INDEX(Albums!$A:$A, MATCH(C685,Albums!$C:$C,0))</f>
        <v>62</v>
      </c>
      <c r="B685" s="4">
        <f>INDEX(Albums!$B:$B, MATCH(C685,Albums!$C:$C,0))</f>
        <v>2016</v>
      </c>
      <c r="C685" t="s">
        <v>24</v>
      </c>
      <c r="D685">
        <v>6</v>
      </c>
      <c r="E685" t="s">
        <v>252</v>
      </c>
      <c r="F685" t="s">
        <v>61</v>
      </c>
      <c r="G685" t="s">
        <v>358</v>
      </c>
      <c r="H685">
        <v>7068426</v>
      </c>
      <c r="J685" t="s">
        <v>62</v>
      </c>
      <c r="K685" s="2">
        <v>0.29166666666666669</v>
      </c>
      <c r="L685" s="4" t="str">
        <f>IF(AND(ISNUMBER(H685), COUNTIF([1]Songs!$L:$L,H685)&gt;0),"YES","")</f>
        <v/>
      </c>
    </row>
    <row r="686" spans="1:12" x14ac:dyDescent="0.25">
      <c r="A686" s="4">
        <f>INDEX(Albums!$A:$A, MATCH(C686,Albums!$C:$C,0))</f>
        <v>62</v>
      </c>
      <c r="B686" s="4">
        <f>INDEX(Albums!$B:$B, MATCH(C686,Albums!$C:$C,0))</f>
        <v>2016</v>
      </c>
      <c r="C686" t="s">
        <v>24</v>
      </c>
      <c r="D686">
        <v>7</v>
      </c>
      <c r="E686" t="s">
        <v>24</v>
      </c>
      <c r="F686" t="s">
        <v>384</v>
      </c>
      <c r="G686" t="s">
        <v>358</v>
      </c>
      <c r="H686">
        <v>7069096</v>
      </c>
      <c r="J686" t="s">
        <v>60</v>
      </c>
      <c r="K686" s="2">
        <v>0.31319444444444444</v>
      </c>
      <c r="L686" s="4" t="str">
        <f>IF(AND(ISNUMBER(H686), COUNTIF([1]Songs!$L:$L,H686)&gt;0),"YES","")</f>
        <v/>
      </c>
    </row>
    <row r="687" spans="1:12" x14ac:dyDescent="0.25">
      <c r="A687" s="4">
        <f>INDEX(Albums!$A:$A, MATCH(C687,Albums!$C:$C,0))</f>
        <v>62</v>
      </c>
      <c r="B687" s="4">
        <f>INDEX(Albums!$B:$B, MATCH(C687,Albums!$C:$C,0))</f>
        <v>2016</v>
      </c>
      <c r="C687" t="s">
        <v>24</v>
      </c>
      <c r="D687">
        <v>8</v>
      </c>
      <c r="E687" t="s">
        <v>253</v>
      </c>
      <c r="F687" t="s">
        <v>383</v>
      </c>
      <c r="G687" t="s">
        <v>359</v>
      </c>
      <c r="H687">
        <v>7068425</v>
      </c>
      <c r="J687" t="s">
        <v>54</v>
      </c>
      <c r="K687" s="2">
        <v>0.21319444444444444</v>
      </c>
      <c r="L687" s="4" t="str">
        <f>IF(AND(ISNUMBER(H687), COUNTIF([1]Songs!$L:$L,H687)&gt;0),"YES","")</f>
        <v/>
      </c>
    </row>
    <row r="688" spans="1:12" x14ac:dyDescent="0.25">
      <c r="A688" s="4">
        <f>INDEX(Albums!$A:$A, MATCH(C688,Albums!$C:$C,0))</f>
        <v>62</v>
      </c>
      <c r="B688" s="4">
        <f>INDEX(Albums!$B:$B, MATCH(C688,Albums!$C:$C,0))</f>
        <v>2016</v>
      </c>
      <c r="C688" t="s">
        <v>24</v>
      </c>
      <c r="D688">
        <v>9</v>
      </c>
      <c r="E688" t="s">
        <v>254</v>
      </c>
      <c r="F688" t="s">
        <v>382</v>
      </c>
      <c r="G688" t="s">
        <v>362</v>
      </c>
      <c r="H688">
        <v>7057218</v>
      </c>
      <c r="J688" t="s">
        <v>74</v>
      </c>
      <c r="K688" s="2">
        <v>0.29583333333333334</v>
      </c>
      <c r="L688" s="4" t="str">
        <f>IF(AND(ISNUMBER(H688), COUNTIF([1]Songs!$L:$L,H688)&gt;0),"YES","")</f>
        <v/>
      </c>
    </row>
    <row r="689" spans="1:12" x14ac:dyDescent="0.25">
      <c r="A689" s="4">
        <f>INDEX(Albums!$A:$A, MATCH(C689,Albums!$C:$C,0))</f>
        <v>62</v>
      </c>
      <c r="B689" s="4">
        <f>INDEX(Albums!$B:$B, MATCH(C689,Albums!$C:$C,0))</f>
        <v>2016</v>
      </c>
      <c r="C689" t="s">
        <v>24</v>
      </c>
      <c r="D689">
        <v>10</v>
      </c>
      <c r="E689" t="s">
        <v>255</v>
      </c>
      <c r="F689" t="s">
        <v>76</v>
      </c>
      <c r="G689" t="s">
        <v>368</v>
      </c>
      <c r="H689">
        <v>7069097</v>
      </c>
      <c r="J689" t="s">
        <v>69</v>
      </c>
      <c r="K689" s="2">
        <v>0.18680555555555556</v>
      </c>
      <c r="L689" s="4" t="str">
        <f>IF(AND(ISNUMBER(H689), COUNTIF([1]Songs!$L:$L,H689)&gt;0),"YES","")</f>
        <v/>
      </c>
    </row>
    <row r="690" spans="1:12" x14ac:dyDescent="0.25">
      <c r="A690" s="4">
        <f>INDEX(Albums!$A:$A, MATCH(C690,Albums!$C:$C,0))</f>
        <v>62</v>
      </c>
      <c r="B690" s="4">
        <f>INDEX(Albums!$B:$B, MATCH(C690,Albums!$C:$C,0))</f>
        <v>2016</v>
      </c>
      <c r="C690" t="s">
        <v>24</v>
      </c>
      <c r="D690">
        <v>11</v>
      </c>
      <c r="E690" t="s">
        <v>256</v>
      </c>
      <c r="F690" t="s">
        <v>423</v>
      </c>
      <c r="G690" t="s">
        <v>359</v>
      </c>
      <c r="H690">
        <v>7068427</v>
      </c>
      <c r="J690" t="s">
        <v>424</v>
      </c>
      <c r="K690" s="2">
        <v>0.20277777777777781</v>
      </c>
      <c r="L690" s="4" t="str">
        <f>IF(AND(ISNUMBER(H690), COUNTIF([1]Songs!$L:$L,H690)&gt;0),"YES","")</f>
        <v/>
      </c>
    </row>
    <row r="691" spans="1:12" x14ac:dyDescent="0.25">
      <c r="A691" s="4">
        <f>INDEX(Albums!$A:$A, MATCH(C691,Albums!$C:$C,0))</f>
        <v>62</v>
      </c>
      <c r="B691" s="4">
        <f>INDEX(Albums!$B:$B, MATCH(C691,Albums!$C:$C,0))</f>
        <v>2016</v>
      </c>
      <c r="C691" t="s">
        <v>24</v>
      </c>
      <c r="D691">
        <v>12</v>
      </c>
      <c r="E691" t="s">
        <v>257</v>
      </c>
      <c r="F691" t="s">
        <v>381</v>
      </c>
      <c r="G691" t="s">
        <v>360</v>
      </c>
      <c r="H691">
        <v>7068429</v>
      </c>
      <c r="J691" t="s">
        <v>58</v>
      </c>
      <c r="K691" s="2">
        <v>0.36041666666666666</v>
      </c>
      <c r="L691" s="4" t="str">
        <f>IF(AND(ISNUMBER(H691), COUNTIF([1]Songs!$L:$L,H691)&gt;0),"YES","")</f>
        <v/>
      </c>
    </row>
    <row r="692" spans="1:12" x14ac:dyDescent="0.25">
      <c r="A692" s="4">
        <f>INDEX(Albums!$A:$A, MATCH(C692,Albums!$C:$C,0))</f>
        <v>64</v>
      </c>
      <c r="B692" s="4">
        <f>INDEX(Albums!$B:$B, MATCH(C692,Albums!$C:$C,0))</f>
        <v>2017</v>
      </c>
      <c r="C692" t="s">
        <v>31</v>
      </c>
      <c r="D692">
        <v>1</v>
      </c>
      <c r="E692" t="s">
        <v>235</v>
      </c>
      <c r="F692" t="s">
        <v>398</v>
      </c>
      <c r="I692" s="7" t="s">
        <v>656</v>
      </c>
      <c r="J692" t="s">
        <v>57</v>
      </c>
      <c r="K692" s="2">
        <v>0.15625</v>
      </c>
      <c r="L692" s="4" t="str">
        <f>IF(AND(ISNUMBER(H692), COUNTIF([1]Songs!$L:$L,H692)&gt;0),"YES","")</f>
        <v/>
      </c>
    </row>
    <row r="693" spans="1:12" x14ac:dyDescent="0.25">
      <c r="A693" s="4">
        <f>INDEX(Albums!$A:$A, MATCH(C693,Albums!$C:$C,0))</f>
        <v>64</v>
      </c>
      <c r="B693" s="4">
        <f>INDEX(Albums!$B:$B, MATCH(C693,Albums!$C:$C,0))</f>
        <v>2017</v>
      </c>
      <c r="C693" t="s">
        <v>31</v>
      </c>
      <c r="D693">
        <v>2</v>
      </c>
      <c r="E693" t="s">
        <v>236</v>
      </c>
      <c r="F693" t="s">
        <v>397</v>
      </c>
      <c r="I693" s="7" t="s">
        <v>656</v>
      </c>
      <c r="J693" t="s">
        <v>74</v>
      </c>
      <c r="K693" s="2">
        <v>0.21041666666666667</v>
      </c>
      <c r="L693" s="4" t="str">
        <f>IF(AND(ISNUMBER(H693), COUNTIF([1]Songs!$L:$L,H693)&gt;0),"YES","")</f>
        <v/>
      </c>
    </row>
    <row r="694" spans="1:12" x14ac:dyDescent="0.25">
      <c r="A694" s="4">
        <f>INDEX(Albums!$A:$A, MATCH(C694,Albums!$C:$C,0))</f>
        <v>64</v>
      </c>
      <c r="B694" s="4">
        <f>INDEX(Albums!$B:$B, MATCH(C694,Albums!$C:$C,0))</f>
        <v>2017</v>
      </c>
      <c r="C694" t="s">
        <v>31</v>
      </c>
      <c r="D694">
        <v>3</v>
      </c>
      <c r="E694" t="s">
        <v>237</v>
      </c>
      <c r="F694" t="s">
        <v>396</v>
      </c>
      <c r="G694" t="s">
        <v>358</v>
      </c>
      <c r="H694">
        <v>7095538</v>
      </c>
      <c r="J694" t="s">
        <v>53</v>
      </c>
      <c r="K694" s="2">
        <v>0.19027777777777777</v>
      </c>
      <c r="L694" s="4" t="str">
        <f>IF(AND(ISNUMBER(H694), COUNTIF([1]Songs!$L:$L,H694)&gt;0),"YES","")</f>
        <v/>
      </c>
    </row>
    <row r="695" spans="1:12" x14ac:dyDescent="0.25">
      <c r="A695" s="4">
        <f>INDEX(Albums!$A:$A, MATCH(C695,Albums!$C:$C,0))</f>
        <v>64</v>
      </c>
      <c r="B695" s="4">
        <f>INDEX(Albums!$B:$B, MATCH(C695,Albums!$C:$C,0))</f>
        <v>2017</v>
      </c>
      <c r="C695" t="s">
        <v>31</v>
      </c>
      <c r="D695">
        <v>4</v>
      </c>
      <c r="E695" t="s">
        <v>238</v>
      </c>
      <c r="F695" t="s">
        <v>419</v>
      </c>
      <c r="G695" t="s">
        <v>363</v>
      </c>
      <c r="H695">
        <v>7095645</v>
      </c>
      <c r="J695" t="s">
        <v>420</v>
      </c>
      <c r="K695" s="2">
        <v>0.25833333333333336</v>
      </c>
      <c r="L695" s="4" t="str">
        <f>IF(AND(ISNUMBER(H695), COUNTIF([1]Songs!$L:$L,H695)&gt;0),"YES","")</f>
        <v/>
      </c>
    </row>
    <row r="696" spans="1:12" x14ac:dyDescent="0.25">
      <c r="A696" s="4">
        <f>INDEX(Albums!$A:$A, MATCH(C696,Albums!$C:$C,0))</f>
        <v>64</v>
      </c>
      <c r="B696" s="4">
        <f>INDEX(Albums!$B:$B, MATCH(C696,Albums!$C:$C,0))</f>
        <v>2017</v>
      </c>
      <c r="C696" t="s">
        <v>31</v>
      </c>
      <c r="D696">
        <v>5</v>
      </c>
      <c r="E696" t="s">
        <v>239</v>
      </c>
      <c r="F696" t="s">
        <v>395</v>
      </c>
      <c r="G696" t="s">
        <v>356</v>
      </c>
      <c r="H696">
        <v>31054</v>
      </c>
      <c r="J696" t="s">
        <v>68</v>
      </c>
      <c r="K696" s="2">
        <v>0.17916666666666667</v>
      </c>
      <c r="L696" s="4" t="str">
        <f>IF(AND(ISNUMBER(H696), COUNTIF([1]Songs!$L:$L,H696)&gt;0),"YES","")</f>
        <v>YES</v>
      </c>
    </row>
    <row r="697" spans="1:12" x14ac:dyDescent="0.25">
      <c r="A697" s="4">
        <f>INDEX(Albums!$A:$A, MATCH(C697,Albums!$C:$C,0))</f>
        <v>64</v>
      </c>
      <c r="B697" s="4">
        <f>INDEX(Albums!$B:$B, MATCH(C697,Albums!$C:$C,0))</f>
        <v>2017</v>
      </c>
      <c r="C697" t="s">
        <v>31</v>
      </c>
      <c r="D697">
        <v>6</v>
      </c>
      <c r="E697" t="s">
        <v>240</v>
      </c>
      <c r="F697" t="s">
        <v>394</v>
      </c>
      <c r="I697" s="7" t="s">
        <v>656</v>
      </c>
      <c r="J697" t="s">
        <v>72</v>
      </c>
      <c r="K697" s="2">
        <v>0.1673611111111111</v>
      </c>
      <c r="L697" s="4" t="str">
        <f>IF(AND(ISNUMBER(H697), COUNTIF([1]Songs!$L:$L,H697)&gt;0),"YES","")</f>
        <v/>
      </c>
    </row>
    <row r="698" spans="1:12" x14ac:dyDescent="0.25">
      <c r="A698" s="4">
        <f>INDEX(Albums!$A:$A, MATCH(C698,Albums!$C:$C,0))</f>
        <v>64</v>
      </c>
      <c r="B698" s="4">
        <f>INDEX(Albums!$B:$B, MATCH(C698,Albums!$C:$C,0))</f>
        <v>2017</v>
      </c>
      <c r="C698" t="s">
        <v>31</v>
      </c>
      <c r="D698">
        <v>7</v>
      </c>
      <c r="E698" t="s">
        <v>241</v>
      </c>
      <c r="F698" t="s">
        <v>392</v>
      </c>
      <c r="G698" t="s">
        <v>358</v>
      </c>
      <c r="H698">
        <v>7095539</v>
      </c>
      <c r="J698" t="s">
        <v>77</v>
      </c>
      <c r="K698" s="2">
        <v>0.16388888888888889</v>
      </c>
      <c r="L698" s="4" t="str">
        <f>IF(AND(ISNUMBER(H698), COUNTIF([1]Songs!$L:$L,H698)&gt;0),"YES","")</f>
        <v/>
      </c>
    </row>
    <row r="699" spans="1:12" x14ac:dyDescent="0.25">
      <c r="A699" s="4">
        <f>INDEX(Albums!$A:$A, MATCH(C699,Albums!$C:$C,0))</f>
        <v>64</v>
      </c>
      <c r="B699" s="4">
        <f>INDEX(Albums!$B:$B, MATCH(C699,Albums!$C:$C,0))</f>
        <v>2017</v>
      </c>
      <c r="C699" t="s">
        <v>31</v>
      </c>
      <c r="D699">
        <v>8</v>
      </c>
      <c r="E699" t="s">
        <v>242</v>
      </c>
      <c r="F699" t="s">
        <v>421</v>
      </c>
      <c r="G699" t="s">
        <v>355</v>
      </c>
      <c r="H699">
        <v>7095545</v>
      </c>
      <c r="J699" t="s">
        <v>422</v>
      </c>
      <c r="K699" s="2">
        <v>0.29583333333333334</v>
      </c>
      <c r="L699" s="4" t="str">
        <f>IF(AND(ISNUMBER(H699), COUNTIF([1]Songs!$L:$L,H699)&gt;0),"YES","")</f>
        <v/>
      </c>
    </row>
    <row r="700" spans="1:12" x14ac:dyDescent="0.25">
      <c r="A700" s="4">
        <f>INDEX(Albums!$A:$A, MATCH(C700,Albums!$C:$C,0))</f>
        <v>64</v>
      </c>
      <c r="B700" s="4">
        <f>INDEX(Albums!$B:$B, MATCH(C700,Albums!$C:$C,0))</f>
        <v>2017</v>
      </c>
      <c r="C700" t="s">
        <v>31</v>
      </c>
      <c r="D700">
        <v>9</v>
      </c>
      <c r="E700" t="s">
        <v>243</v>
      </c>
      <c r="F700" t="s">
        <v>391</v>
      </c>
      <c r="G700" t="s">
        <v>359</v>
      </c>
      <c r="H700">
        <v>7095542</v>
      </c>
      <c r="J700" t="s">
        <v>60</v>
      </c>
      <c r="K700" s="2">
        <v>0.30624999999999997</v>
      </c>
      <c r="L700" s="4" t="str">
        <f>IF(AND(ISNUMBER(H700), COUNTIF([1]Songs!$L:$L,H700)&gt;0),"YES","")</f>
        <v/>
      </c>
    </row>
    <row r="701" spans="1:12" x14ac:dyDescent="0.25">
      <c r="A701" s="4">
        <f>INDEX(Albums!$A:$A, MATCH(C701,Albums!$C:$C,0))</f>
        <v>64</v>
      </c>
      <c r="B701" s="4">
        <f>INDEX(Albums!$B:$B, MATCH(C701,Albums!$C:$C,0))</f>
        <v>2017</v>
      </c>
      <c r="C701" t="s">
        <v>31</v>
      </c>
      <c r="D701">
        <v>10</v>
      </c>
      <c r="E701" t="s">
        <v>244</v>
      </c>
      <c r="F701" t="s">
        <v>79</v>
      </c>
      <c r="I701" s="7" t="s">
        <v>656</v>
      </c>
      <c r="K701" s="2">
        <v>4.7916666666666663E-2</v>
      </c>
      <c r="L701" s="4" t="str">
        <f>IF(AND(ISNUMBER(H701), COUNTIF([1]Songs!$L:$L,H701)&gt;0),"YES","")</f>
        <v/>
      </c>
    </row>
    <row r="702" spans="1:12" x14ac:dyDescent="0.25">
      <c r="A702" s="4">
        <f>INDEX(Albums!$A:$A, MATCH(C702,Albums!$C:$C,0))</f>
        <v>64</v>
      </c>
      <c r="B702" s="4">
        <f>INDEX(Albums!$B:$B, MATCH(C702,Albums!$C:$C,0))</f>
        <v>2017</v>
      </c>
      <c r="C702" t="s">
        <v>31</v>
      </c>
      <c r="D702">
        <v>11</v>
      </c>
      <c r="E702" t="s">
        <v>245</v>
      </c>
      <c r="F702" t="s">
        <v>390</v>
      </c>
      <c r="G702" t="s">
        <v>358</v>
      </c>
      <c r="H702">
        <v>32015</v>
      </c>
      <c r="I702" s="7" t="s">
        <v>656</v>
      </c>
      <c r="J702" t="s">
        <v>74</v>
      </c>
      <c r="K702" s="2">
        <v>0.23194444444444443</v>
      </c>
      <c r="L702" s="4" t="str">
        <f>IF(AND(ISNUMBER(H702), COUNTIF([1]Songs!$L:$L,H702)&gt;0),"YES","")</f>
        <v>YES</v>
      </c>
    </row>
    <row r="703" spans="1:12" x14ac:dyDescent="0.25">
      <c r="A703" s="4">
        <f>INDEX(Albums!$A:$A, MATCH(C703,Albums!$C:$C,0))</f>
        <v>64</v>
      </c>
      <c r="B703" s="4">
        <f>INDEX(Albums!$B:$B, MATCH(C703,Albums!$C:$C,0))</f>
        <v>2017</v>
      </c>
      <c r="C703" t="s">
        <v>31</v>
      </c>
      <c r="D703">
        <v>12</v>
      </c>
      <c r="E703" t="s">
        <v>246</v>
      </c>
      <c r="F703" t="s">
        <v>389</v>
      </c>
      <c r="G703" t="s">
        <v>368</v>
      </c>
      <c r="H703">
        <v>7095541</v>
      </c>
      <c r="J703" t="s">
        <v>69</v>
      </c>
      <c r="K703" s="2">
        <v>0.17361111111111113</v>
      </c>
      <c r="L703" s="4" t="str">
        <f>IF(AND(ISNUMBER(H703), COUNTIF([1]Songs!$L:$L,H703)&gt;0),"YES","")</f>
        <v/>
      </c>
    </row>
    <row r="704" spans="1:12" x14ac:dyDescent="0.25">
      <c r="A704" s="4">
        <f>INDEX(Albums!$A:$A, MATCH(C704,Albums!$C:$C,0))</f>
        <v>65</v>
      </c>
      <c r="B704" s="4">
        <f>INDEX(Albums!$B:$B, MATCH(C704,Albums!$C:$C,0))</f>
        <v>2017</v>
      </c>
      <c r="C704" t="s">
        <v>671</v>
      </c>
      <c r="D704">
        <v>1</v>
      </c>
      <c r="E704" t="s">
        <v>671</v>
      </c>
      <c r="F704" t="s">
        <v>561</v>
      </c>
      <c r="J704" t="s">
        <v>60</v>
      </c>
      <c r="K704" s="2">
        <v>0.20416666666666669</v>
      </c>
      <c r="L704" t="str">
        <f>IF(AND(ISNUMBER(H704), COUNTIF([1]Songs!$L:$L,H704)&gt;0),"YES","")</f>
        <v/>
      </c>
    </row>
    <row r="705" spans="1:12" x14ac:dyDescent="0.25">
      <c r="A705" s="4">
        <f>INDEX(Albums!$A:$A, MATCH(C705,Albums!$C:$C,0))</f>
        <v>65</v>
      </c>
      <c r="B705" s="4">
        <f>INDEX(Albums!$B:$B, MATCH(C705,Albums!$C:$C,0))</f>
        <v>2017</v>
      </c>
      <c r="C705" t="s">
        <v>671</v>
      </c>
      <c r="D705">
        <v>2</v>
      </c>
      <c r="E705" t="s">
        <v>869</v>
      </c>
      <c r="F705" t="s">
        <v>778</v>
      </c>
      <c r="J705" t="s">
        <v>74</v>
      </c>
      <c r="K705" s="2">
        <v>0.23194444444444443</v>
      </c>
      <c r="L705" t="str">
        <f>IF(AND(ISNUMBER(H705), COUNTIF([1]Songs!$L:$L,H705)&gt;0),"YES","")</f>
        <v/>
      </c>
    </row>
    <row r="706" spans="1:12" x14ac:dyDescent="0.25">
      <c r="A706" s="4">
        <f>INDEX(Albums!$A:$A, MATCH(C706,Albums!$C:$C,0))</f>
        <v>65</v>
      </c>
      <c r="B706" s="4">
        <f>INDEX(Albums!$B:$B, MATCH(C706,Albums!$C:$C,0))</f>
        <v>2017</v>
      </c>
      <c r="C706" t="s">
        <v>671</v>
      </c>
      <c r="D706">
        <v>3</v>
      </c>
      <c r="E706" t="s">
        <v>870</v>
      </c>
      <c r="F706" t="s">
        <v>779</v>
      </c>
      <c r="J706" t="s">
        <v>60</v>
      </c>
      <c r="K706" s="2">
        <v>0.23750000000000002</v>
      </c>
      <c r="L706" t="str">
        <f>IF(AND(ISNUMBER(H706), COUNTIF([1]Songs!$L:$L,H706)&gt;0),"YES","")</f>
        <v/>
      </c>
    </row>
    <row r="707" spans="1:12" x14ac:dyDescent="0.25">
      <c r="A707" s="4">
        <f>INDEX(Albums!$A:$A, MATCH(C707,Albums!$C:$C,0))</f>
        <v>65</v>
      </c>
      <c r="B707" s="4">
        <f>INDEX(Albums!$B:$B, MATCH(C707,Albums!$C:$C,0))</f>
        <v>2017</v>
      </c>
      <c r="C707" t="s">
        <v>671</v>
      </c>
      <c r="D707">
        <v>4</v>
      </c>
      <c r="E707" t="s">
        <v>234</v>
      </c>
      <c r="F707" t="s">
        <v>780</v>
      </c>
      <c r="I707" s="7" t="s">
        <v>953</v>
      </c>
      <c r="J707" t="s">
        <v>53</v>
      </c>
      <c r="K707" s="2">
        <v>0.28541666666666665</v>
      </c>
      <c r="L707" t="str">
        <f>IF(AND(ISNUMBER(H707), COUNTIF([1]Songs!$L:$L,H707)&gt;0),"YES","")</f>
        <v/>
      </c>
    </row>
    <row r="708" spans="1:12" x14ac:dyDescent="0.25">
      <c r="A708" s="4">
        <f>INDEX(Albums!$A:$A, MATCH(C708,Albums!$C:$C,0))</f>
        <v>65</v>
      </c>
      <c r="B708" s="4">
        <f>INDEX(Albums!$B:$B, MATCH(C708,Albums!$C:$C,0))</f>
        <v>2017</v>
      </c>
      <c r="C708" t="s">
        <v>671</v>
      </c>
      <c r="D708">
        <v>5</v>
      </c>
      <c r="E708" t="s">
        <v>871</v>
      </c>
      <c r="F708" t="s">
        <v>781</v>
      </c>
      <c r="J708" t="s">
        <v>684</v>
      </c>
      <c r="K708" s="2">
        <v>0.18888888888888888</v>
      </c>
      <c r="L708" t="str">
        <f>IF(AND(ISNUMBER(H708), COUNTIF([1]Songs!$L:$L,H708)&gt;0),"YES","")</f>
        <v/>
      </c>
    </row>
    <row r="709" spans="1:12" x14ac:dyDescent="0.25">
      <c r="A709" s="4">
        <f>INDEX(Albums!$A:$A, MATCH(C709,Albums!$C:$C,0))</f>
        <v>65</v>
      </c>
      <c r="B709" s="4">
        <f>INDEX(Albums!$B:$B, MATCH(C709,Albums!$C:$C,0))</f>
        <v>2017</v>
      </c>
      <c r="C709" t="s">
        <v>671</v>
      </c>
      <c r="D709">
        <v>6</v>
      </c>
      <c r="E709" t="s">
        <v>872</v>
      </c>
      <c r="F709" t="s">
        <v>782</v>
      </c>
      <c r="J709" t="s">
        <v>783</v>
      </c>
      <c r="K709" s="2">
        <v>0.32222222222222224</v>
      </c>
      <c r="L709" t="str">
        <f>IF(AND(ISNUMBER(H709), COUNTIF([1]Songs!$L:$L,H709)&gt;0),"YES","")</f>
        <v/>
      </c>
    </row>
    <row r="710" spans="1:12" x14ac:dyDescent="0.25">
      <c r="A710" s="4">
        <f>INDEX(Albums!$A:$A, MATCH(C710,Albums!$C:$C,0))</f>
        <v>65</v>
      </c>
      <c r="B710" s="4">
        <f>INDEX(Albums!$B:$B, MATCH(C710,Albums!$C:$C,0))</f>
        <v>2017</v>
      </c>
      <c r="C710" t="s">
        <v>671</v>
      </c>
      <c r="D710">
        <v>7</v>
      </c>
      <c r="E710" t="s">
        <v>873</v>
      </c>
      <c r="F710" t="s">
        <v>784</v>
      </c>
      <c r="J710" t="s">
        <v>343</v>
      </c>
      <c r="K710" s="2">
        <v>0.16597222222222222</v>
      </c>
      <c r="L710" t="str">
        <f>IF(AND(ISNUMBER(H710), COUNTIF([1]Songs!$L:$L,H710)&gt;0),"YES","")</f>
        <v/>
      </c>
    </row>
    <row r="711" spans="1:12" x14ac:dyDescent="0.25">
      <c r="A711" s="4">
        <f>INDEX(Albums!$A:$A, MATCH(C711,Albums!$C:$C,0))</f>
        <v>65</v>
      </c>
      <c r="B711" s="4">
        <f>INDEX(Albums!$B:$B, MATCH(C711,Albums!$C:$C,0))</f>
        <v>2017</v>
      </c>
      <c r="C711" t="s">
        <v>671</v>
      </c>
      <c r="D711">
        <v>8</v>
      </c>
      <c r="E711" t="s">
        <v>874</v>
      </c>
      <c r="F711" t="s">
        <v>779</v>
      </c>
      <c r="J711" t="s">
        <v>60</v>
      </c>
      <c r="K711" s="2">
        <v>0.20972222222222223</v>
      </c>
      <c r="L711" t="str">
        <f>IF(AND(ISNUMBER(H711), COUNTIF([1]Songs!$L:$L,H711)&gt;0),"YES","")</f>
        <v/>
      </c>
    </row>
    <row r="712" spans="1:12" x14ac:dyDescent="0.25">
      <c r="A712" s="4">
        <f>INDEX(Albums!$A:$A, MATCH(C712,Albums!$C:$C,0))</f>
        <v>65</v>
      </c>
      <c r="B712" s="4">
        <f>INDEX(Albums!$B:$B, MATCH(C712,Albums!$C:$C,0))</f>
        <v>2017</v>
      </c>
      <c r="C712" t="s">
        <v>671</v>
      </c>
      <c r="D712">
        <v>9</v>
      </c>
      <c r="E712" t="s">
        <v>875</v>
      </c>
      <c r="F712" t="s">
        <v>690</v>
      </c>
      <c r="J712" t="s">
        <v>74</v>
      </c>
      <c r="K712" s="2">
        <v>0.17569444444444446</v>
      </c>
      <c r="L712" t="str">
        <f>IF(AND(ISNUMBER(H712), COUNTIF([1]Songs!$L:$L,H712)&gt;0),"YES","")</f>
        <v/>
      </c>
    </row>
    <row r="713" spans="1:12" x14ac:dyDescent="0.25">
      <c r="A713" s="4">
        <f>INDEX(Albums!$A:$A, MATCH(C713,Albums!$C:$C,0))</f>
        <v>65</v>
      </c>
      <c r="B713" s="4">
        <f>INDEX(Albums!$B:$B, MATCH(C713,Albums!$C:$C,0))</f>
        <v>2017</v>
      </c>
      <c r="C713" t="s">
        <v>671</v>
      </c>
      <c r="D713">
        <v>10</v>
      </c>
      <c r="E713" t="s">
        <v>876</v>
      </c>
      <c r="F713" t="s">
        <v>683</v>
      </c>
      <c r="J713" t="s">
        <v>785</v>
      </c>
      <c r="K713" s="2">
        <v>0.25555555555555559</v>
      </c>
      <c r="L713" t="str">
        <f>IF(AND(ISNUMBER(H713), COUNTIF([1]Songs!$L:$L,H713)&gt;0),"YES","")</f>
        <v/>
      </c>
    </row>
    <row r="714" spans="1:12" x14ac:dyDescent="0.25">
      <c r="A714" s="4">
        <f>INDEX(Albums!$A:$A, MATCH(C714,Albums!$C:$C,0))</f>
        <v>65</v>
      </c>
      <c r="B714" s="4">
        <f>INDEX(Albums!$B:$B, MATCH(C714,Albums!$C:$C,0))</f>
        <v>2017</v>
      </c>
      <c r="C714" t="s">
        <v>671</v>
      </c>
      <c r="D714">
        <v>11</v>
      </c>
      <c r="E714" t="s">
        <v>877</v>
      </c>
      <c r="F714" t="s">
        <v>690</v>
      </c>
      <c r="J714" t="s">
        <v>786</v>
      </c>
      <c r="K714" s="2">
        <v>0.27361111111111108</v>
      </c>
      <c r="L714" t="str">
        <f>IF(AND(ISNUMBER(H714), COUNTIF([1]Songs!$L:$L,H714)&gt;0),"YES","")</f>
        <v/>
      </c>
    </row>
    <row r="715" spans="1:12" x14ac:dyDescent="0.25">
      <c r="A715" s="4">
        <f>INDEX(Albums!$A:$A, MATCH(C715,Albums!$C:$C,0))</f>
        <v>65</v>
      </c>
      <c r="B715" s="4">
        <f>INDEX(Albums!$B:$B, MATCH(C715,Albums!$C:$C,0))</f>
        <v>2017</v>
      </c>
      <c r="C715" t="s">
        <v>671</v>
      </c>
      <c r="D715">
        <v>12</v>
      </c>
      <c r="E715" t="s">
        <v>878</v>
      </c>
      <c r="F715" t="s">
        <v>776</v>
      </c>
      <c r="J715" t="s">
        <v>58</v>
      </c>
      <c r="K715" s="2">
        <v>0.40763888888888888</v>
      </c>
      <c r="L715" t="str">
        <f>IF(AND(ISNUMBER(H715), COUNTIF([1]Songs!$L:$L,H715)&gt;0),"YES","")</f>
        <v/>
      </c>
    </row>
    <row r="716" spans="1:12" x14ac:dyDescent="0.25">
      <c r="A716" s="4">
        <f>INDEX(Albums!$A:$A, MATCH(C716,Albums!$C:$C,0))</f>
        <v>66</v>
      </c>
      <c r="B716" s="4">
        <f>INDEX(Albums!$B:$B, MATCH(C716,Albums!$C:$C,0))</f>
        <v>2018</v>
      </c>
      <c r="C716" t="s">
        <v>25</v>
      </c>
      <c r="D716">
        <v>1</v>
      </c>
      <c r="E716" t="s">
        <v>223</v>
      </c>
      <c r="F716" t="s">
        <v>169</v>
      </c>
      <c r="G716" t="s">
        <v>359</v>
      </c>
      <c r="H716">
        <v>7102401</v>
      </c>
      <c r="J716" t="s">
        <v>410</v>
      </c>
      <c r="K716" s="2">
        <v>0.22847222222222222</v>
      </c>
      <c r="L716" s="4" t="str">
        <f>IF(AND(ISNUMBER(H716), COUNTIF([1]Songs!$L:$L,H716)&gt;0),"YES","")</f>
        <v>YES</v>
      </c>
    </row>
    <row r="717" spans="1:12" x14ac:dyDescent="0.25">
      <c r="A717" s="4">
        <f>INDEX(Albums!$A:$A, MATCH(C717,Albums!$C:$C,0))</f>
        <v>66</v>
      </c>
      <c r="B717" s="4">
        <f>INDEX(Albums!$B:$B, MATCH(C717,Albums!$C:$C,0))</f>
        <v>2018</v>
      </c>
      <c r="C717" t="s">
        <v>25</v>
      </c>
      <c r="D717">
        <v>2</v>
      </c>
      <c r="E717" t="s">
        <v>224</v>
      </c>
      <c r="F717" t="s">
        <v>409</v>
      </c>
      <c r="G717" t="s">
        <v>358</v>
      </c>
      <c r="H717">
        <v>7102402</v>
      </c>
      <c r="J717" t="s">
        <v>408</v>
      </c>
      <c r="K717" s="2">
        <v>0.14097222222222222</v>
      </c>
      <c r="L717" s="4" t="str">
        <f>IF(AND(ISNUMBER(H717), COUNTIF([1]Songs!$L:$L,H717)&gt;0),"YES","")</f>
        <v/>
      </c>
    </row>
    <row r="718" spans="1:12" x14ac:dyDescent="0.25">
      <c r="A718" s="4">
        <f>INDEX(Albums!$A:$A, MATCH(C718,Albums!$C:$C,0))</f>
        <v>66</v>
      </c>
      <c r="B718" s="4">
        <f>INDEX(Albums!$B:$B, MATCH(C718,Albums!$C:$C,0))</f>
        <v>2018</v>
      </c>
      <c r="C718" t="s">
        <v>25</v>
      </c>
      <c r="D718">
        <v>3</v>
      </c>
      <c r="E718" t="s">
        <v>225</v>
      </c>
      <c r="F718" t="s">
        <v>406</v>
      </c>
      <c r="G718" t="s">
        <v>355</v>
      </c>
      <c r="H718">
        <v>7102399</v>
      </c>
      <c r="J718" t="s">
        <v>407</v>
      </c>
      <c r="K718" s="2">
        <v>0.18888888888888888</v>
      </c>
      <c r="L718" s="4" t="str">
        <f>IF(AND(ISNUMBER(H718), COUNTIF([1]Songs!$L:$L,H718)&gt;0),"YES","")</f>
        <v>YES</v>
      </c>
    </row>
    <row r="719" spans="1:12" x14ac:dyDescent="0.25">
      <c r="A719" s="4">
        <f>INDEX(Albums!$A:$A, MATCH(C719,Albums!$C:$C,0))</f>
        <v>66</v>
      </c>
      <c r="B719" s="4">
        <f>INDEX(Albums!$B:$B, MATCH(C719,Albums!$C:$C,0))</f>
        <v>2018</v>
      </c>
      <c r="C719" t="s">
        <v>25</v>
      </c>
      <c r="D719">
        <v>4</v>
      </c>
      <c r="E719" t="s">
        <v>226</v>
      </c>
      <c r="F719" t="s">
        <v>405</v>
      </c>
      <c r="G719" t="s">
        <v>359</v>
      </c>
      <c r="H719">
        <v>7102394</v>
      </c>
      <c r="J719" t="s">
        <v>56</v>
      </c>
      <c r="K719" s="2">
        <v>0.18819444444444444</v>
      </c>
      <c r="L719" s="4" t="str">
        <f>IF(AND(ISNUMBER(H719), COUNTIF([1]Songs!$L:$L,H719)&gt;0),"YES","")</f>
        <v/>
      </c>
    </row>
    <row r="720" spans="1:12" x14ac:dyDescent="0.25">
      <c r="A720" s="4">
        <f>INDEX(Albums!$A:$A, MATCH(C720,Albums!$C:$C,0))</f>
        <v>66</v>
      </c>
      <c r="B720" s="4">
        <f>INDEX(Albums!$B:$B, MATCH(C720,Albums!$C:$C,0))</f>
        <v>2018</v>
      </c>
      <c r="C720" t="s">
        <v>25</v>
      </c>
      <c r="D720">
        <v>5</v>
      </c>
      <c r="E720" t="s">
        <v>227</v>
      </c>
      <c r="F720" t="s">
        <v>404</v>
      </c>
      <c r="G720" t="s">
        <v>357</v>
      </c>
      <c r="H720">
        <v>7102393</v>
      </c>
      <c r="J720" t="s">
        <v>54</v>
      </c>
      <c r="K720" s="2">
        <v>0.33819444444444446</v>
      </c>
      <c r="L720" s="4" t="str">
        <f>IF(AND(ISNUMBER(H720), COUNTIF([1]Songs!$L:$L,H720)&gt;0),"YES","")</f>
        <v/>
      </c>
    </row>
    <row r="721" spans="1:12" x14ac:dyDescent="0.25">
      <c r="A721" s="4">
        <f>INDEX(Albums!$A:$A, MATCH(C721,Albums!$C:$C,0))</f>
        <v>66</v>
      </c>
      <c r="B721" s="4">
        <f>INDEX(Albums!$B:$B, MATCH(C721,Albums!$C:$C,0))</f>
        <v>2018</v>
      </c>
      <c r="C721" t="s">
        <v>25</v>
      </c>
      <c r="D721">
        <v>6</v>
      </c>
      <c r="E721" t="s">
        <v>228</v>
      </c>
      <c r="F721" t="s">
        <v>393</v>
      </c>
      <c r="G721" t="s">
        <v>362</v>
      </c>
      <c r="H721">
        <v>7102398</v>
      </c>
      <c r="J721" t="s">
        <v>403</v>
      </c>
      <c r="K721" s="2">
        <v>0.23263888888888887</v>
      </c>
      <c r="L721" s="4" t="str">
        <f>IF(AND(ISNUMBER(H721), COUNTIF([1]Songs!$L:$L,H721)&gt;0),"YES","")</f>
        <v/>
      </c>
    </row>
    <row r="722" spans="1:12" x14ac:dyDescent="0.25">
      <c r="A722" s="4">
        <f>INDEX(Albums!$A:$A, MATCH(C722,Albums!$C:$C,0))</f>
        <v>66</v>
      </c>
      <c r="B722" s="4">
        <f>INDEX(Albums!$B:$B, MATCH(C722,Albums!$C:$C,0))</f>
        <v>2018</v>
      </c>
      <c r="C722" t="s">
        <v>25</v>
      </c>
      <c r="D722">
        <v>7</v>
      </c>
      <c r="E722" t="s">
        <v>229</v>
      </c>
      <c r="F722" t="s">
        <v>402</v>
      </c>
      <c r="G722" t="s">
        <v>357</v>
      </c>
      <c r="H722">
        <v>7102400</v>
      </c>
      <c r="J722" t="s">
        <v>74</v>
      </c>
      <c r="K722" s="2">
        <v>0.22152777777777777</v>
      </c>
      <c r="L722" s="4" t="str">
        <f>IF(AND(ISNUMBER(H722), COUNTIF([1]Songs!$L:$L,H722)&gt;0),"YES","")</f>
        <v/>
      </c>
    </row>
    <row r="723" spans="1:12" x14ac:dyDescent="0.25">
      <c r="A723" s="4">
        <f>INDEX(Albums!$A:$A, MATCH(C723,Albums!$C:$C,0))</f>
        <v>66</v>
      </c>
      <c r="B723" s="4">
        <f>INDEX(Albums!$B:$B, MATCH(C723,Albums!$C:$C,0))</f>
        <v>2018</v>
      </c>
      <c r="C723" t="s">
        <v>25</v>
      </c>
      <c r="D723">
        <v>8</v>
      </c>
      <c r="E723" t="s">
        <v>230</v>
      </c>
      <c r="F723" t="s">
        <v>428</v>
      </c>
      <c r="G723" t="s">
        <v>359</v>
      </c>
      <c r="H723">
        <v>7102403</v>
      </c>
      <c r="J723" t="s">
        <v>411</v>
      </c>
      <c r="K723" s="2">
        <v>0.29652777777777778</v>
      </c>
      <c r="L723" s="4" t="str">
        <f>IF(AND(ISNUMBER(H723), COUNTIF([1]Songs!$L:$L,H723)&gt;0),"YES","")</f>
        <v/>
      </c>
    </row>
    <row r="724" spans="1:12" x14ac:dyDescent="0.25">
      <c r="A724" s="4">
        <f>INDEX(Albums!$A:$A, MATCH(C724,Albums!$C:$C,0))</f>
        <v>66</v>
      </c>
      <c r="B724" s="4">
        <f>INDEX(Albums!$B:$B, MATCH(C724,Albums!$C:$C,0))</f>
        <v>2018</v>
      </c>
      <c r="C724" t="s">
        <v>25</v>
      </c>
      <c r="D724">
        <v>9</v>
      </c>
      <c r="E724" t="s">
        <v>231</v>
      </c>
      <c r="F724" t="s">
        <v>401</v>
      </c>
      <c r="G724" t="s">
        <v>358</v>
      </c>
      <c r="H724">
        <v>7102395</v>
      </c>
      <c r="J724" t="s">
        <v>108</v>
      </c>
      <c r="K724" s="2">
        <v>0.15416666666666667</v>
      </c>
      <c r="L724" s="4" t="str">
        <f>IF(AND(ISNUMBER(H724), COUNTIF([1]Songs!$L:$L,H724)&gt;0),"YES","")</f>
        <v/>
      </c>
    </row>
    <row r="725" spans="1:12" x14ac:dyDescent="0.25">
      <c r="A725" s="4">
        <f>INDEX(Albums!$A:$A, MATCH(C725,Albums!$C:$C,0))</f>
        <v>66</v>
      </c>
      <c r="B725" s="4">
        <f>INDEX(Albums!$B:$B, MATCH(C725,Albums!$C:$C,0))</f>
        <v>2018</v>
      </c>
      <c r="C725" t="s">
        <v>25</v>
      </c>
      <c r="D725">
        <v>10</v>
      </c>
      <c r="E725" t="s">
        <v>232</v>
      </c>
      <c r="F725" t="s">
        <v>400</v>
      </c>
      <c r="G725" t="s">
        <v>359</v>
      </c>
      <c r="H725">
        <v>7102396</v>
      </c>
      <c r="J725" t="s">
        <v>53</v>
      </c>
      <c r="K725" s="2">
        <v>0.25555555555555559</v>
      </c>
      <c r="L725" s="4" t="str">
        <f>IF(AND(ISNUMBER(H725), COUNTIF([1]Songs!$L:$L,H725)&gt;0),"YES","")</f>
        <v/>
      </c>
    </row>
    <row r="726" spans="1:12" x14ac:dyDescent="0.25">
      <c r="A726" s="4">
        <f>INDEX(Albums!$A:$A, MATCH(C726,Albums!$C:$C,0))</f>
        <v>66</v>
      </c>
      <c r="B726" s="4">
        <f>INDEX(Albums!$B:$B, MATCH(C726,Albums!$C:$C,0))</f>
        <v>2018</v>
      </c>
      <c r="C726" t="s">
        <v>25</v>
      </c>
      <c r="D726">
        <v>11</v>
      </c>
      <c r="E726" t="s">
        <v>233</v>
      </c>
      <c r="F726" t="s">
        <v>73</v>
      </c>
      <c r="G726" t="s">
        <v>363</v>
      </c>
      <c r="H726">
        <v>7102397</v>
      </c>
      <c r="J726" t="s">
        <v>52</v>
      </c>
      <c r="K726" s="2">
        <v>0.34027777777777773</v>
      </c>
      <c r="L726" s="4" t="str">
        <f>IF(AND(ISNUMBER(H726), COUNTIF([1]Songs!$L:$L,H726)&gt;0),"YES","")</f>
        <v>YES</v>
      </c>
    </row>
    <row r="727" spans="1:12" x14ac:dyDescent="0.25">
      <c r="A727" s="4">
        <f>INDEX(Albums!$A:$A, MATCH(C727,Albums!$C:$C,0))</f>
        <v>66</v>
      </c>
      <c r="B727" s="4">
        <f>INDEX(Albums!$B:$B, MATCH(C727,Albums!$C:$C,0))</f>
        <v>2018</v>
      </c>
      <c r="C727" t="s">
        <v>25</v>
      </c>
      <c r="D727">
        <v>12</v>
      </c>
      <c r="E727" t="s">
        <v>234</v>
      </c>
      <c r="F727" t="s">
        <v>399</v>
      </c>
      <c r="G727" t="s">
        <v>359</v>
      </c>
      <c r="H727">
        <v>7084123</v>
      </c>
      <c r="J727" t="s">
        <v>74</v>
      </c>
      <c r="K727" s="2">
        <v>0.29444444444444445</v>
      </c>
      <c r="L727" s="4" t="str">
        <f>IF(AND(ISNUMBER(H727), COUNTIF([1]Songs!$L:$L,H727)&gt;0),"YES","")</f>
        <v>YES</v>
      </c>
    </row>
    <row r="728" spans="1:12" x14ac:dyDescent="0.25">
      <c r="A728" s="4">
        <f>INDEX(Albums!$A:$A, MATCH(C728,Albums!$C:$C,0))</f>
        <v>67</v>
      </c>
      <c r="B728" s="4">
        <f>INDEX(Albums!$B:$B, MATCH(C728,Albums!$C:$C,0))</f>
        <v>2019</v>
      </c>
      <c r="C728" t="s">
        <v>28</v>
      </c>
      <c r="D728">
        <v>1</v>
      </c>
      <c r="E728" t="s">
        <v>208</v>
      </c>
      <c r="F728" t="s">
        <v>52</v>
      </c>
      <c r="H728" t="s">
        <v>361</v>
      </c>
      <c r="I728" s="7" t="s">
        <v>657</v>
      </c>
      <c r="K728" s="2">
        <v>6.3194444444444442E-2</v>
      </c>
      <c r="L728" s="4" t="str">
        <f>IF(AND(ISNUMBER(H728), COUNTIF([1]Songs!$L:$L,H728)&gt;0),"YES","")</f>
        <v/>
      </c>
    </row>
    <row r="729" spans="1:12" x14ac:dyDescent="0.25">
      <c r="A729" s="4">
        <f>INDEX(Albums!$A:$A, MATCH(C729,Albums!$C:$C,0))</f>
        <v>67</v>
      </c>
      <c r="B729" s="4">
        <f>INDEX(Albums!$B:$B, MATCH(C729,Albums!$C:$C,0))</f>
        <v>2019</v>
      </c>
      <c r="C729" t="s">
        <v>28</v>
      </c>
      <c r="D729">
        <v>2</v>
      </c>
      <c r="E729" t="s">
        <v>209</v>
      </c>
      <c r="F729" t="s">
        <v>52</v>
      </c>
      <c r="G729" t="s">
        <v>357</v>
      </c>
      <c r="H729">
        <v>7134998</v>
      </c>
      <c r="J729" t="s">
        <v>52</v>
      </c>
      <c r="K729" s="2">
        <v>0.18333333333333335</v>
      </c>
      <c r="L729" s="4" t="str">
        <f>IF(AND(ISNUMBER(H729), COUNTIF([1]Songs!$L:$L,H729)&gt;0),"YES","")</f>
        <v/>
      </c>
    </row>
    <row r="730" spans="1:12" x14ac:dyDescent="0.25">
      <c r="A730" s="4">
        <f>INDEX(Albums!$A:$A, MATCH(C730,Albums!$C:$C,0))</f>
        <v>67</v>
      </c>
      <c r="B730" s="4">
        <f>INDEX(Albums!$B:$B, MATCH(C730,Albums!$C:$C,0))</f>
        <v>2019</v>
      </c>
      <c r="C730" t="s">
        <v>28</v>
      </c>
      <c r="D730">
        <v>3</v>
      </c>
      <c r="E730" t="s">
        <v>210</v>
      </c>
      <c r="F730" t="s">
        <v>418</v>
      </c>
      <c r="G730" t="s">
        <v>358</v>
      </c>
      <c r="H730">
        <v>7134993</v>
      </c>
      <c r="J730" t="s">
        <v>53</v>
      </c>
      <c r="K730" s="2">
        <v>0.18888888888888888</v>
      </c>
      <c r="L730" s="4" t="str">
        <f>IF(AND(ISNUMBER(H730), COUNTIF([1]Songs!$L:$L,H730)&gt;0),"YES","")</f>
        <v/>
      </c>
    </row>
    <row r="731" spans="1:12" x14ac:dyDescent="0.25">
      <c r="A731" s="4">
        <f>INDEX(Albums!$A:$A, MATCH(C731,Albums!$C:$C,0))</f>
        <v>67</v>
      </c>
      <c r="B731" s="4">
        <f>INDEX(Albums!$B:$B, MATCH(C731,Albums!$C:$C,0))</f>
        <v>2019</v>
      </c>
      <c r="C731" t="s">
        <v>28</v>
      </c>
      <c r="D731">
        <v>4</v>
      </c>
      <c r="E731" t="s">
        <v>211</v>
      </c>
      <c r="F731" t="s">
        <v>147</v>
      </c>
      <c r="G731" t="s">
        <v>357</v>
      </c>
      <c r="H731">
        <v>7134996</v>
      </c>
      <c r="J731" t="s">
        <v>56</v>
      </c>
      <c r="K731" s="2">
        <v>0.17152777777777775</v>
      </c>
      <c r="L731" s="4" t="str">
        <f>IF(AND(ISNUMBER(H731), COUNTIF([1]Songs!$L:$L,H731)&gt;0),"YES","")</f>
        <v/>
      </c>
    </row>
    <row r="732" spans="1:12" x14ac:dyDescent="0.25">
      <c r="A732" s="4">
        <f>INDEX(Albums!$A:$A, MATCH(C732,Albums!$C:$C,0))</f>
        <v>67</v>
      </c>
      <c r="B732" s="4">
        <f>INDEX(Albums!$B:$B, MATCH(C732,Albums!$C:$C,0))</f>
        <v>2019</v>
      </c>
      <c r="C732" t="s">
        <v>28</v>
      </c>
      <c r="D732">
        <v>5</v>
      </c>
      <c r="E732" t="s">
        <v>212</v>
      </c>
      <c r="F732" t="s">
        <v>427</v>
      </c>
      <c r="G732" t="s">
        <v>355</v>
      </c>
      <c r="H732">
        <v>7135000</v>
      </c>
      <c r="J732" t="s">
        <v>411</v>
      </c>
      <c r="K732" s="2">
        <v>0.37152777777777773</v>
      </c>
      <c r="L732" s="4" t="str">
        <f>IF(AND(ISNUMBER(H732), COUNTIF([1]Songs!$L:$L,H732)&gt;0),"YES","")</f>
        <v/>
      </c>
    </row>
    <row r="733" spans="1:12" x14ac:dyDescent="0.25">
      <c r="A733" s="4">
        <f>INDEX(Albums!$A:$A, MATCH(C733,Albums!$C:$C,0))</f>
        <v>67</v>
      </c>
      <c r="B733" s="4">
        <f>INDEX(Albums!$B:$B, MATCH(C733,Albums!$C:$C,0))</f>
        <v>2019</v>
      </c>
      <c r="C733" t="s">
        <v>28</v>
      </c>
      <c r="D733">
        <v>6</v>
      </c>
      <c r="E733" t="s">
        <v>213</v>
      </c>
      <c r="F733" t="s">
        <v>412</v>
      </c>
      <c r="G733" t="s">
        <v>355</v>
      </c>
      <c r="H733">
        <v>7127647</v>
      </c>
      <c r="J733" t="s">
        <v>52</v>
      </c>
      <c r="K733" s="2">
        <v>0.18402777777777779</v>
      </c>
      <c r="L733" s="4" t="str">
        <f>IF(AND(ISNUMBER(H733), COUNTIF([1]Songs!$L:$L,H733)&gt;0),"YES","")</f>
        <v>YES</v>
      </c>
    </row>
    <row r="734" spans="1:12" x14ac:dyDescent="0.25">
      <c r="A734" s="4">
        <f>INDEX(Albums!$A:$A, MATCH(C734,Albums!$C:$C,0))</f>
        <v>67</v>
      </c>
      <c r="B734" s="4">
        <f>INDEX(Albums!$B:$B, MATCH(C734,Albums!$C:$C,0))</f>
        <v>2019</v>
      </c>
      <c r="C734" t="s">
        <v>28</v>
      </c>
      <c r="D734">
        <v>7</v>
      </c>
      <c r="E734" t="s">
        <v>214</v>
      </c>
      <c r="F734" t="s">
        <v>417</v>
      </c>
      <c r="H734" t="s">
        <v>361</v>
      </c>
      <c r="J734" t="s">
        <v>54</v>
      </c>
      <c r="K734" s="2">
        <v>0.24305555555555555</v>
      </c>
      <c r="L734" s="4" t="str">
        <f>IF(AND(ISNUMBER(H734), COUNTIF([1]Songs!$L:$L,H734)&gt;0),"YES","")</f>
        <v/>
      </c>
    </row>
    <row r="735" spans="1:12" x14ac:dyDescent="0.25">
      <c r="A735" s="4">
        <f>INDEX(Albums!$A:$A, MATCH(C735,Albums!$C:$C,0))</f>
        <v>67</v>
      </c>
      <c r="B735" s="4">
        <f>INDEX(Albums!$B:$B, MATCH(C735,Albums!$C:$C,0))</f>
        <v>2019</v>
      </c>
      <c r="C735" t="s">
        <v>28</v>
      </c>
      <c r="D735">
        <v>8</v>
      </c>
      <c r="E735" t="s">
        <v>215</v>
      </c>
      <c r="F735" t="s">
        <v>416</v>
      </c>
      <c r="G735" t="s">
        <v>359</v>
      </c>
      <c r="H735">
        <v>7134995</v>
      </c>
      <c r="J735" t="s">
        <v>62</v>
      </c>
      <c r="K735" s="2">
        <v>0.19999999999999998</v>
      </c>
      <c r="L735" s="4" t="str">
        <f>IF(AND(ISNUMBER(H735), COUNTIF([1]Songs!$L:$L,H735)&gt;0),"YES","")</f>
        <v/>
      </c>
    </row>
    <row r="736" spans="1:12" x14ac:dyDescent="0.25">
      <c r="A736" s="4">
        <f>INDEX(Albums!$A:$A, MATCH(C736,Albums!$C:$C,0))</f>
        <v>67</v>
      </c>
      <c r="B736" s="4">
        <f>INDEX(Albums!$B:$B, MATCH(C736,Albums!$C:$C,0))</f>
        <v>2019</v>
      </c>
      <c r="C736" t="s">
        <v>28</v>
      </c>
      <c r="D736">
        <v>9</v>
      </c>
      <c r="E736" t="s">
        <v>216</v>
      </c>
      <c r="F736" t="s">
        <v>415</v>
      </c>
      <c r="G736" t="s">
        <v>356</v>
      </c>
      <c r="H736">
        <v>7134999</v>
      </c>
      <c r="J736" t="s">
        <v>63</v>
      </c>
      <c r="K736" s="2">
        <v>0.20208333333333331</v>
      </c>
      <c r="L736" s="4" t="str">
        <f>IF(AND(ISNUMBER(H736), COUNTIF([1]Songs!$L:$L,H736)&gt;0),"YES","")</f>
        <v/>
      </c>
    </row>
    <row r="737" spans="1:12" x14ac:dyDescent="0.25">
      <c r="A737" s="4">
        <f>INDEX(Albums!$A:$A, MATCH(C737,Albums!$C:$C,0))</f>
        <v>67</v>
      </c>
      <c r="B737" s="4">
        <f>INDEX(Albums!$B:$B, MATCH(C737,Albums!$C:$C,0))</f>
        <v>2019</v>
      </c>
      <c r="C737" t="s">
        <v>28</v>
      </c>
      <c r="D737">
        <v>10</v>
      </c>
      <c r="E737" t="s">
        <v>217</v>
      </c>
      <c r="F737" t="s">
        <v>58</v>
      </c>
      <c r="G737" t="s">
        <v>357</v>
      </c>
      <c r="H737">
        <v>7135001</v>
      </c>
      <c r="J737" t="s">
        <v>343</v>
      </c>
      <c r="K737" s="2">
        <v>0.26250000000000001</v>
      </c>
      <c r="L737" s="4" t="str">
        <f>IF(AND(ISNUMBER(H737), COUNTIF([1]Songs!$L:$L,H737)&gt;0),"YES","")</f>
        <v/>
      </c>
    </row>
    <row r="738" spans="1:12" x14ac:dyDescent="0.25">
      <c r="A738" s="4">
        <f>INDEX(Albums!$A:$A, MATCH(C738,Albums!$C:$C,0))</f>
        <v>67</v>
      </c>
      <c r="B738" s="4">
        <f>INDEX(Albums!$B:$B, MATCH(C738,Albums!$C:$C,0))</f>
        <v>2019</v>
      </c>
      <c r="C738" t="s">
        <v>28</v>
      </c>
      <c r="D738">
        <v>11</v>
      </c>
      <c r="E738" t="s">
        <v>218</v>
      </c>
      <c r="F738" t="s">
        <v>414</v>
      </c>
      <c r="G738" t="s">
        <v>360</v>
      </c>
      <c r="H738">
        <v>7134994</v>
      </c>
      <c r="J738" t="s">
        <v>64</v>
      </c>
      <c r="K738" s="2">
        <v>0.16666666666666666</v>
      </c>
      <c r="L738" s="4" t="str">
        <f>IF(AND(ISNUMBER(H738), COUNTIF([1]Songs!$L:$L,H738)&gt;0),"YES","")</f>
        <v/>
      </c>
    </row>
    <row r="739" spans="1:12" x14ac:dyDescent="0.25">
      <c r="A739" s="4">
        <f>INDEX(Albums!$A:$A, MATCH(C739,Albums!$C:$C,0))</f>
        <v>67</v>
      </c>
      <c r="B739" s="4">
        <f>INDEX(Albums!$B:$B, MATCH(C739,Albums!$C:$C,0))</f>
        <v>2019</v>
      </c>
      <c r="C739" t="s">
        <v>28</v>
      </c>
      <c r="D739">
        <v>12</v>
      </c>
      <c r="E739" t="s">
        <v>219</v>
      </c>
      <c r="F739" t="s">
        <v>147</v>
      </c>
      <c r="G739" t="s">
        <v>360</v>
      </c>
      <c r="H739">
        <v>7134997</v>
      </c>
      <c r="J739" t="s">
        <v>55</v>
      </c>
      <c r="K739" s="2">
        <v>0.27569444444444446</v>
      </c>
      <c r="L739" s="4" t="str">
        <f>IF(AND(ISNUMBER(H739), COUNTIF([1]Songs!$L:$L,H739)&gt;0),"YES","")</f>
        <v/>
      </c>
    </row>
    <row r="740" spans="1:12" x14ac:dyDescent="0.25">
      <c r="A740" s="4">
        <f>INDEX(Albums!$A:$A, MATCH(C740,Albums!$C:$C,0))</f>
        <v>67</v>
      </c>
      <c r="B740" s="4">
        <f>INDEX(Albums!$B:$B, MATCH(C740,Albums!$C:$C,0))</f>
        <v>2019</v>
      </c>
      <c r="C740" t="s">
        <v>28</v>
      </c>
      <c r="D740">
        <v>13</v>
      </c>
      <c r="E740" t="s">
        <v>220</v>
      </c>
      <c r="F740" t="s">
        <v>147</v>
      </c>
      <c r="G740" t="s">
        <v>357</v>
      </c>
      <c r="H740">
        <v>7134996</v>
      </c>
      <c r="J740" t="s">
        <v>413</v>
      </c>
      <c r="K740" s="2">
        <v>0.17361111111111113</v>
      </c>
      <c r="L740" s="4" t="str">
        <f>IF(AND(ISNUMBER(H740), COUNTIF([1]Songs!$L:$L,H740)&gt;0),"YES","")</f>
        <v/>
      </c>
    </row>
    <row r="741" spans="1:12" x14ac:dyDescent="0.25">
      <c r="A741" s="4">
        <f>INDEX(Albums!$A:$A, MATCH(C741,Albums!$C:$C,0))</f>
        <v>67</v>
      </c>
      <c r="B741" s="4">
        <f>INDEX(Albums!$B:$B, MATCH(C741,Albums!$C:$C,0))</f>
        <v>2019</v>
      </c>
      <c r="C741" t="s">
        <v>28</v>
      </c>
      <c r="D741">
        <v>14</v>
      </c>
      <c r="E741" t="s">
        <v>221</v>
      </c>
      <c r="F741" t="s">
        <v>412</v>
      </c>
      <c r="G741" t="s">
        <v>355</v>
      </c>
      <c r="H741">
        <v>7127647</v>
      </c>
      <c r="J741" t="s">
        <v>52</v>
      </c>
      <c r="K741" s="2">
        <v>0.20208333333333331</v>
      </c>
      <c r="L741" s="4" t="str">
        <f>IF(AND(ISNUMBER(H741), COUNTIF([1]Songs!$L:$L,H741)&gt;0),"YES","")</f>
        <v>YES</v>
      </c>
    </row>
    <row r="742" spans="1:12" x14ac:dyDescent="0.25">
      <c r="A742" s="4">
        <f>INDEX(Albums!$A:$A, MATCH(C742,Albums!$C:$C,0))</f>
        <v>67</v>
      </c>
      <c r="B742" s="4">
        <f>INDEX(Albums!$B:$B, MATCH(C742,Albums!$C:$C,0))</f>
        <v>2019</v>
      </c>
      <c r="C742" t="s">
        <v>28</v>
      </c>
      <c r="D742">
        <v>15</v>
      </c>
      <c r="E742" t="s">
        <v>222</v>
      </c>
      <c r="F742" t="s">
        <v>427</v>
      </c>
      <c r="G742" t="s">
        <v>355</v>
      </c>
      <c r="H742">
        <v>7135000</v>
      </c>
      <c r="J742" t="s">
        <v>411</v>
      </c>
      <c r="K742" s="2">
        <v>0.36249999999999999</v>
      </c>
      <c r="L742" s="4" t="str">
        <f>IF(AND(ISNUMBER(H742), COUNTIF([1]Songs!$L:$L,H742)&gt;0),"YES","")</f>
        <v/>
      </c>
    </row>
    <row r="743" spans="1:12" x14ac:dyDescent="0.25">
      <c r="A743" s="4">
        <f>INDEX(Albums!$A:$A, MATCH(C743,Albums!$C:$C,0))</f>
        <v>68</v>
      </c>
      <c r="B743" s="4">
        <f>INDEX(Albums!$B:$B, MATCH(C743,Albums!$C:$C,0))</f>
        <v>2019</v>
      </c>
      <c r="C743" t="s">
        <v>666</v>
      </c>
      <c r="D743">
        <v>1</v>
      </c>
      <c r="E743" t="s">
        <v>700</v>
      </c>
      <c r="F743" t="s">
        <v>588</v>
      </c>
      <c r="G743" t="s">
        <v>358</v>
      </c>
      <c r="H743">
        <v>7124903</v>
      </c>
      <c r="J743" t="s">
        <v>687</v>
      </c>
      <c r="K743" s="2">
        <v>0.24444444444444446</v>
      </c>
      <c r="L743" t="str">
        <f>IF(AND(ISNUMBER(H743), COUNTIF([1]Songs!$L:$L,H743)&gt;0),"YES","")</f>
        <v/>
      </c>
    </row>
    <row r="744" spans="1:12" x14ac:dyDescent="0.25">
      <c r="A744" s="4">
        <f>INDEX(Albums!$A:$A, MATCH(C744,Albums!$C:$C,0))</f>
        <v>68</v>
      </c>
      <c r="B744" s="4">
        <f>INDEX(Albums!$B:$B, MATCH(C744,Albums!$C:$C,0))</f>
        <v>2019</v>
      </c>
      <c r="C744" t="s">
        <v>666</v>
      </c>
      <c r="D744">
        <v>2</v>
      </c>
      <c r="E744" t="s">
        <v>701</v>
      </c>
      <c r="F744" t="s">
        <v>688</v>
      </c>
      <c r="G744" t="s">
        <v>359</v>
      </c>
      <c r="H744">
        <v>7124904</v>
      </c>
      <c r="J744" t="s">
        <v>80</v>
      </c>
      <c r="K744" s="2">
        <v>0.15</v>
      </c>
      <c r="L744" t="str">
        <f>IF(AND(ISNUMBER(H744), COUNTIF([1]Songs!$L:$L,H744)&gt;0),"YES","")</f>
        <v/>
      </c>
    </row>
    <row r="745" spans="1:12" x14ac:dyDescent="0.25">
      <c r="A745" s="4">
        <f>INDEX(Albums!$A:$A, MATCH(C745,Albums!$C:$C,0))</f>
        <v>68</v>
      </c>
      <c r="B745" s="4">
        <f>INDEX(Albums!$B:$B, MATCH(C745,Albums!$C:$C,0))</f>
        <v>2019</v>
      </c>
      <c r="C745" t="s">
        <v>666</v>
      </c>
      <c r="D745">
        <v>3</v>
      </c>
      <c r="E745" t="s">
        <v>702</v>
      </c>
      <c r="F745" t="s">
        <v>689</v>
      </c>
      <c r="G745" t="s">
        <v>357</v>
      </c>
      <c r="H745">
        <v>7124905</v>
      </c>
      <c r="J745" t="s">
        <v>562</v>
      </c>
      <c r="K745" s="2">
        <v>0.26041666666666669</v>
      </c>
      <c r="L745" t="str">
        <f>IF(AND(ISNUMBER(H745), COUNTIF([1]Songs!$L:$L,H745)&gt;0),"YES","")</f>
        <v/>
      </c>
    </row>
    <row r="746" spans="1:12" x14ac:dyDescent="0.25">
      <c r="A746" s="4">
        <f>INDEX(Albums!$A:$A, MATCH(C746,Albums!$C:$C,0))</f>
        <v>68</v>
      </c>
      <c r="B746" s="4">
        <f>INDEX(Albums!$B:$B, MATCH(C746,Albums!$C:$C,0))</f>
        <v>2019</v>
      </c>
      <c r="C746" t="s">
        <v>666</v>
      </c>
      <c r="D746">
        <v>4</v>
      </c>
      <c r="E746" t="s">
        <v>703</v>
      </c>
      <c r="F746" t="s">
        <v>690</v>
      </c>
      <c r="G746" t="s">
        <v>360</v>
      </c>
      <c r="H746">
        <v>7122452</v>
      </c>
      <c r="J746" t="s">
        <v>691</v>
      </c>
      <c r="K746" s="2">
        <v>0.31180555555555556</v>
      </c>
      <c r="L746" t="str">
        <f>IF(AND(ISNUMBER(H746), COUNTIF([1]Songs!$L:$L,H746)&gt;0),"YES","")</f>
        <v/>
      </c>
    </row>
    <row r="747" spans="1:12" x14ac:dyDescent="0.25">
      <c r="A747" s="4">
        <f>INDEX(Albums!$A:$A, MATCH(C747,Albums!$C:$C,0))</f>
        <v>68</v>
      </c>
      <c r="B747" s="4">
        <f>INDEX(Albums!$B:$B, MATCH(C747,Albums!$C:$C,0))</f>
        <v>2019</v>
      </c>
      <c r="C747" t="s">
        <v>666</v>
      </c>
      <c r="D747">
        <v>5</v>
      </c>
      <c r="E747" t="s">
        <v>704</v>
      </c>
      <c r="F747" t="s">
        <v>692</v>
      </c>
      <c r="G747" t="s">
        <v>355</v>
      </c>
      <c r="H747">
        <v>7124065</v>
      </c>
      <c r="J747" t="s">
        <v>693</v>
      </c>
      <c r="K747" s="2">
        <v>0.36249999999999999</v>
      </c>
      <c r="L747" t="str">
        <f>IF(AND(ISNUMBER(H747), COUNTIF([1]Songs!$L:$L,H747)&gt;0),"YES","")</f>
        <v/>
      </c>
    </row>
    <row r="748" spans="1:12" x14ac:dyDescent="0.25">
      <c r="A748" s="4">
        <f>INDEX(Albums!$A:$A, MATCH(C748,Albums!$C:$C,0))</f>
        <v>68</v>
      </c>
      <c r="B748" s="4">
        <f>INDEX(Albums!$B:$B, MATCH(C748,Albums!$C:$C,0))</f>
        <v>2019</v>
      </c>
      <c r="C748" t="s">
        <v>666</v>
      </c>
      <c r="D748">
        <v>6</v>
      </c>
      <c r="E748" t="s">
        <v>705</v>
      </c>
      <c r="F748" t="s">
        <v>694</v>
      </c>
      <c r="G748" t="s">
        <v>358</v>
      </c>
      <c r="H748">
        <v>7125215</v>
      </c>
      <c r="J748" t="s">
        <v>64</v>
      </c>
      <c r="K748" s="2">
        <v>0.10277777777777779</v>
      </c>
      <c r="L748" t="str">
        <f>IF(AND(ISNUMBER(H748), COUNTIF([1]Songs!$L:$L,H748)&gt;0),"YES","")</f>
        <v/>
      </c>
    </row>
    <row r="749" spans="1:12" x14ac:dyDescent="0.25">
      <c r="A749" s="4">
        <f>INDEX(Albums!$A:$A, MATCH(C749,Albums!$C:$C,0))</f>
        <v>68</v>
      </c>
      <c r="B749" s="4">
        <f>INDEX(Albums!$B:$B, MATCH(C749,Albums!$C:$C,0))</f>
        <v>2019</v>
      </c>
      <c r="C749" t="s">
        <v>666</v>
      </c>
      <c r="D749">
        <v>7</v>
      </c>
      <c r="E749" t="s">
        <v>706</v>
      </c>
      <c r="F749" t="s">
        <v>695</v>
      </c>
      <c r="G749" t="s">
        <v>355</v>
      </c>
      <c r="H749">
        <v>7124909</v>
      </c>
      <c r="J749" t="s">
        <v>343</v>
      </c>
      <c r="K749" s="2">
        <v>0.34027777777777773</v>
      </c>
      <c r="L749" t="str">
        <f>IF(AND(ISNUMBER(H749), COUNTIF([1]Songs!$L:$L,H749)&gt;0),"YES","")</f>
        <v/>
      </c>
    </row>
    <row r="750" spans="1:12" x14ac:dyDescent="0.25">
      <c r="A750" s="4">
        <f>INDEX(Albums!$A:$A, MATCH(C750,Albums!$C:$C,0))</f>
        <v>68</v>
      </c>
      <c r="B750" s="4">
        <f>INDEX(Albums!$B:$B, MATCH(C750,Albums!$C:$C,0))</f>
        <v>2019</v>
      </c>
      <c r="C750" t="s">
        <v>666</v>
      </c>
      <c r="D750">
        <v>8</v>
      </c>
      <c r="E750" t="s">
        <v>707</v>
      </c>
      <c r="F750" t="s">
        <v>696</v>
      </c>
      <c r="G750" t="s">
        <v>360</v>
      </c>
      <c r="H750">
        <v>7122399</v>
      </c>
      <c r="J750" t="s">
        <v>53</v>
      </c>
      <c r="K750" s="2">
        <v>0.27083333333333331</v>
      </c>
      <c r="L750" t="str">
        <f>IF(AND(ISNUMBER(H750), COUNTIF([1]Songs!$L:$L,H750)&gt;0),"YES","")</f>
        <v/>
      </c>
    </row>
    <row r="751" spans="1:12" x14ac:dyDescent="0.25">
      <c r="A751" s="4">
        <f>INDEX(Albums!$A:$A, MATCH(C751,Albums!$C:$C,0))</f>
        <v>68</v>
      </c>
      <c r="B751" s="4">
        <f>INDEX(Albums!$B:$B, MATCH(C751,Albums!$C:$C,0))</f>
        <v>2019</v>
      </c>
      <c r="C751" t="s">
        <v>666</v>
      </c>
      <c r="D751">
        <v>9</v>
      </c>
      <c r="E751" t="s">
        <v>708</v>
      </c>
      <c r="F751" t="s">
        <v>697</v>
      </c>
      <c r="G751" t="s">
        <v>359</v>
      </c>
      <c r="H751">
        <v>7124906</v>
      </c>
      <c r="J751" t="s">
        <v>60</v>
      </c>
      <c r="K751" s="2">
        <v>0.23124999999999998</v>
      </c>
      <c r="L751" t="str">
        <f>IF(AND(ISNUMBER(H751), COUNTIF([1]Songs!$L:$L,H751)&gt;0),"YES","")</f>
        <v/>
      </c>
    </row>
    <row r="752" spans="1:12" x14ac:dyDescent="0.25">
      <c r="A752" s="4">
        <f>INDEX(Albums!$A:$A, MATCH(C752,Albums!$C:$C,0))</f>
        <v>68</v>
      </c>
      <c r="B752" s="4">
        <f>INDEX(Albums!$B:$B, MATCH(C752,Albums!$C:$C,0))</f>
        <v>2019</v>
      </c>
      <c r="C752" t="s">
        <v>666</v>
      </c>
      <c r="D752">
        <v>10</v>
      </c>
      <c r="E752" t="s">
        <v>709</v>
      </c>
      <c r="F752" t="s">
        <v>374</v>
      </c>
      <c r="G752" t="s">
        <v>358</v>
      </c>
      <c r="H752">
        <v>7124907</v>
      </c>
      <c r="I752" s="7" t="s">
        <v>953</v>
      </c>
      <c r="J752" t="s">
        <v>61</v>
      </c>
      <c r="K752" s="2">
        <v>0.27291666666666664</v>
      </c>
      <c r="L752" t="str">
        <f>IF(AND(ISNUMBER(H752), COUNTIF([1]Songs!$L:$L,H752)&gt;0),"YES","")</f>
        <v>YES</v>
      </c>
    </row>
    <row r="753" spans="1:12" x14ac:dyDescent="0.25">
      <c r="A753" s="4">
        <f>INDEX(Albums!$A:$A, MATCH(C753,Albums!$C:$C,0))</f>
        <v>68</v>
      </c>
      <c r="B753" s="4">
        <f>INDEX(Albums!$B:$B, MATCH(C753,Albums!$C:$C,0))</f>
        <v>2019</v>
      </c>
      <c r="C753" t="s">
        <v>666</v>
      </c>
      <c r="D753">
        <v>11</v>
      </c>
      <c r="E753" t="s">
        <v>710</v>
      </c>
      <c r="F753" t="s">
        <v>672</v>
      </c>
      <c r="G753" t="s">
        <v>368</v>
      </c>
      <c r="H753">
        <v>7122177</v>
      </c>
      <c r="J753" t="s">
        <v>58</v>
      </c>
      <c r="K753" s="2">
        <v>0.24513888888888888</v>
      </c>
      <c r="L753" t="str">
        <f>IF(AND(ISNUMBER(H753), COUNTIF([1]Songs!$L:$L,H753)&gt;0),"YES","")</f>
        <v>YES</v>
      </c>
    </row>
    <row r="754" spans="1:12" x14ac:dyDescent="0.25">
      <c r="A754" s="4">
        <f>INDEX(Albums!$A:$A, MATCH(C754,Albums!$C:$C,0))</f>
        <v>68</v>
      </c>
      <c r="B754" s="4">
        <f>INDEX(Albums!$B:$B, MATCH(C754,Albums!$C:$C,0))</f>
        <v>2019</v>
      </c>
      <c r="C754" t="s">
        <v>666</v>
      </c>
      <c r="D754">
        <v>12</v>
      </c>
      <c r="E754" t="s">
        <v>951</v>
      </c>
      <c r="F754" t="s">
        <v>698</v>
      </c>
      <c r="G754" t="s">
        <v>360</v>
      </c>
      <c r="H754">
        <v>7124908</v>
      </c>
      <c r="J754" t="s">
        <v>699</v>
      </c>
      <c r="K754" s="2">
        <v>0.26527777777777778</v>
      </c>
      <c r="L754" t="str">
        <f>IF(AND(ISNUMBER(H754), COUNTIF([1]Songs!$L:$L,H754)&gt;0),"YES","")</f>
        <v/>
      </c>
    </row>
    <row r="755" spans="1:12" x14ac:dyDescent="0.25">
      <c r="A755" s="4">
        <f>INDEX(Albums!$A:$A, MATCH(C755,Albums!$C:$C,0))</f>
        <v>69</v>
      </c>
      <c r="B755" s="4">
        <f>INDEX(Albums!$B:$B, MATCH(C755,Albums!$C:$C,0))</f>
        <v>2020</v>
      </c>
      <c r="C755" t="s">
        <v>32</v>
      </c>
      <c r="D755" s="4">
        <v>1</v>
      </c>
      <c r="E755" s="4" t="s">
        <v>338</v>
      </c>
      <c r="F755" s="4" t="s">
        <v>52</v>
      </c>
      <c r="G755" s="4" t="s">
        <v>360</v>
      </c>
      <c r="H755" s="4">
        <v>4785835</v>
      </c>
      <c r="I755" s="8"/>
      <c r="J755" s="4"/>
      <c r="K755" s="4"/>
      <c r="L755" s="4" t="str">
        <f>IF(AND(ISNUMBER(H755), COUNTIF([1]Songs!$L:$L,H755)&gt;0),"YES","")</f>
        <v>YES</v>
      </c>
    </row>
    <row r="756" spans="1:12" x14ac:dyDescent="0.25">
      <c r="A756" s="4">
        <f>INDEX(Albums!$A:$A, MATCH(C756,Albums!$C:$C,0))</f>
        <v>69</v>
      </c>
      <c r="B756" s="4">
        <f>INDEX(Albums!$B:$B, MATCH(C756,Albums!$C:$C,0))</f>
        <v>2020</v>
      </c>
      <c r="C756" t="s">
        <v>32</v>
      </c>
      <c r="D756" s="4">
        <v>2</v>
      </c>
      <c r="E756" s="4" t="s">
        <v>344</v>
      </c>
      <c r="F756" s="4" t="s">
        <v>52</v>
      </c>
      <c r="G756" s="4" t="s">
        <v>355</v>
      </c>
      <c r="H756" s="4">
        <v>4785842</v>
      </c>
      <c r="I756" s="8"/>
      <c r="J756" s="4"/>
      <c r="K756" s="4"/>
      <c r="L756" s="4" t="str">
        <f>IF(AND(ISNUMBER(H756), COUNTIF([1]Songs!$L:$L,H756)&gt;0),"YES","")</f>
        <v/>
      </c>
    </row>
    <row r="757" spans="1:12" x14ac:dyDescent="0.25">
      <c r="A757" s="4">
        <f>INDEX(Albums!$A:$A, MATCH(C757,Albums!$C:$C,0))</f>
        <v>69</v>
      </c>
      <c r="B757" s="4">
        <f>INDEX(Albums!$B:$B, MATCH(C757,Albums!$C:$C,0))</f>
        <v>2020</v>
      </c>
      <c r="C757" t="s">
        <v>32</v>
      </c>
      <c r="D757" s="4">
        <v>3</v>
      </c>
      <c r="E757" s="4" t="s">
        <v>233</v>
      </c>
      <c r="F757" s="4" t="s">
        <v>52</v>
      </c>
      <c r="G757" s="4" t="s">
        <v>363</v>
      </c>
      <c r="H757" s="4">
        <v>7102397</v>
      </c>
      <c r="I757" s="8"/>
      <c r="J757" s="4"/>
      <c r="K757" s="4"/>
      <c r="L757" s="4" t="str">
        <f>IF(AND(ISNUMBER(H757), COUNTIF([1]Songs!$L:$L,H757)&gt;0),"YES","")</f>
        <v>YES</v>
      </c>
    </row>
    <row r="758" spans="1:12" x14ac:dyDescent="0.25">
      <c r="A758" s="4">
        <f>INDEX(Albums!$A:$A, MATCH(C758,Albums!$C:$C,0))</f>
        <v>69</v>
      </c>
      <c r="B758" s="4">
        <f>INDEX(Albums!$B:$B, MATCH(C758,Albums!$C:$C,0))</f>
        <v>2020</v>
      </c>
      <c r="C758" t="s">
        <v>32</v>
      </c>
      <c r="D758" s="4">
        <v>4</v>
      </c>
      <c r="E758" s="4" t="s">
        <v>345</v>
      </c>
      <c r="F758" s="4" t="s">
        <v>592</v>
      </c>
      <c r="G758" s="4" t="s">
        <v>358</v>
      </c>
      <c r="H758" s="4">
        <v>7109453</v>
      </c>
      <c r="I758" s="8"/>
      <c r="J758" s="4"/>
      <c r="K758" s="4"/>
      <c r="L758" s="4" t="str">
        <f>IF(AND(ISNUMBER(H758), COUNTIF([1]Songs!$L:$L,H758)&gt;0),"YES","")</f>
        <v>YES</v>
      </c>
    </row>
    <row r="759" spans="1:12" x14ac:dyDescent="0.25">
      <c r="A759" s="4">
        <f>INDEX(Albums!$A:$A, MATCH(C759,Albums!$C:$C,0))</f>
        <v>69</v>
      </c>
      <c r="B759" s="4">
        <f>INDEX(Albums!$B:$B, MATCH(C759,Albums!$C:$C,0))</f>
        <v>2020</v>
      </c>
      <c r="C759" t="s">
        <v>32</v>
      </c>
      <c r="D759" s="4">
        <v>5</v>
      </c>
      <c r="E759" s="4" t="s">
        <v>293</v>
      </c>
      <c r="F759" s="4" t="s">
        <v>60</v>
      </c>
      <c r="G759" s="4" t="s">
        <v>357</v>
      </c>
      <c r="H759" s="4">
        <v>6177317</v>
      </c>
      <c r="I759" s="8"/>
      <c r="J759" s="4"/>
      <c r="K759" s="4"/>
      <c r="L759" s="4" t="str">
        <f>IF(AND(ISNUMBER(H759), COUNTIF([1]Songs!$L:$L,H759)&gt;0),"YES","")</f>
        <v/>
      </c>
    </row>
    <row r="760" spans="1:12" x14ac:dyDescent="0.25">
      <c r="A760" s="4">
        <f>INDEX(Albums!$A:$A, MATCH(C760,Albums!$C:$C,0))</f>
        <v>69</v>
      </c>
      <c r="B760" s="4">
        <f>INDEX(Albums!$B:$B, MATCH(C760,Albums!$C:$C,0))</f>
        <v>2020</v>
      </c>
      <c r="C760" t="s">
        <v>32</v>
      </c>
      <c r="D760" s="4">
        <v>6</v>
      </c>
      <c r="E760" s="4" t="s">
        <v>346</v>
      </c>
      <c r="F760" s="4" t="s">
        <v>591</v>
      </c>
      <c r="G760" s="4" t="s">
        <v>362</v>
      </c>
      <c r="H760" s="4">
        <v>7162357</v>
      </c>
      <c r="I760" s="8" t="s">
        <v>611</v>
      </c>
      <c r="J760" s="4"/>
      <c r="K760" s="4"/>
      <c r="L760" s="4" t="str">
        <f>IF(AND(ISNUMBER(H760), COUNTIF([1]Songs!$L:$L,H760)&gt;0),"YES","")</f>
        <v/>
      </c>
    </row>
    <row r="761" spans="1:12" x14ac:dyDescent="0.25">
      <c r="A761" s="4">
        <f>INDEX(Albums!$A:$A, MATCH(C761,Albums!$C:$C,0))</f>
        <v>69</v>
      </c>
      <c r="B761" s="4">
        <f>INDEX(Albums!$B:$B, MATCH(C761,Albums!$C:$C,0))</f>
        <v>2020</v>
      </c>
      <c r="C761" t="s">
        <v>32</v>
      </c>
      <c r="D761" s="4">
        <v>7</v>
      </c>
      <c r="E761" s="4" t="s">
        <v>347</v>
      </c>
      <c r="F761" s="4" t="s">
        <v>58</v>
      </c>
      <c r="G761" s="4" t="s">
        <v>358</v>
      </c>
      <c r="H761" s="4">
        <v>7162731</v>
      </c>
      <c r="I761" s="8"/>
      <c r="J761" s="4"/>
      <c r="K761" s="4"/>
      <c r="L761" s="4" t="str">
        <f>IF(AND(ISNUMBER(H761), COUNTIF([1]Songs!$L:$L,H761)&gt;0),"YES","")</f>
        <v/>
      </c>
    </row>
    <row r="762" spans="1:12" x14ac:dyDescent="0.25">
      <c r="A762" s="4">
        <f>INDEX(Albums!$A:$A, MATCH(C762,Albums!$C:$C,0))</f>
        <v>69</v>
      </c>
      <c r="B762" s="4">
        <f>INDEX(Albums!$B:$B, MATCH(C762,Albums!$C:$C,0))</f>
        <v>2020</v>
      </c>
      <c r="C762" t="s">
        <v>32</v>
      </c>
      <c r="D762" s="4">
        <v>8</v>
      </c>
      <c r="E762" s="4" t="s">
        <v>348</v>
      </c>
      <c r="F762" t="s">
        <v>94</v>
      </c>
      <c r="G762" t="s">
        <v>356</v>
      </c>
      <c r="H762">
        <v>7019974</v>
      </c>
      <c r="I762" s="8" t="s">
        <v>611</v>
      </c>
      <c r="J762" s="4"/>
      <c r="K762" s="4"/>
      <c r="L762" s="4" t="str">
        <f>IF(AND(ISNUMBER(H762), COUNTIF([1]Songs!$L:$L,H762)&gt;0),"YES","")</f>
        <v>YES</v>
      </c>
    </row>
    <row r="763" spans="1:12" x14ac:dyDescent="0.25">
      <c r="A763" s="4">
        <f>INDEX(Albums!$A:$A, MATCH(C763,Albums!$C:$C,0))</f>
        <v>69</v>
      </c>
      <c r="B763" s="4">
        <f>INDEX(Albums!$B:$B, MATCH(C763,Albums!$C:$C,0))</f>
        <v>2020</v>
      </c>
      <c r="C763" t="s">
        <v>32</v>
      </c>
      <c r="D763" s="4">
        <v>9</v>
      </c>
      <c r="E763" s="4" t="s">
        <v>223</v>
      </c>
      <c r="F763" t="s">
        <v>169</v>
      </c>
      <c r="G763" t="s">
        <v>359</v>
      </c>
      <c r="H763">
        <v>7102401</v>
      </c>
      <c r="I763" s="8"/>
      <c r="J763" s="4"/>
      <c r="K763" s="4"/>
      <c r="L763" s="4" t="str">
        <f>IF(AND(ISNUMBER(H763), COUNTIF([1]Songs!$L:$L,H763)&gt;0),"YES","")</f>
        <v>YES</v>
      </c>
    </row>
    <row r="764" spans="1:12" x14ac:dyDescent="0.25">
      <c r="A764" s="4">
        <f>INDEX(Albums!$A:$A, MATCH(C764,Albums!$C:$C,0))</f>
        <v>69</v>
      </c>
      <c r="B764" s="4">
        <f>INDEX(Albums!$B:$B, MATCH(C764,Albums!$C:$C,0))</f>
        <v>2020</v>
      </c>
      <c r="C764" t="s">
        <v>32</v>
      </c>
      <c r="D764" s="4">
        <v>10</v>
      </c>
      <c r="E764" s="4" t="s">
        <v>551</v>
      </c>
      <c r="F764" s="4" t="s">
        <v>590</v>
      </c>
      <c r="G764" s="4" t="s">
        <v>357</v>
      </c>
      <c r="H764" s="4">
        <v>7109454</v>
      </c>
      <c r="I764" s="8"/>
      <c r="J764" s="4"/>
      <c r="K764" s="4"/>
      <c r="L764" s="4" t="str">
        <f>IF(AND(ISNUMBER(H764), COUNTIF([1]Songs!$L:$L,H764)&gt;0),"YES","")</f>
        <v/>
      </c>
    </row>
    <row r="765" spans="1:12" x14ac:dyDescent="0.25">
      <c r="A765" s="4">
        <f>INDEX(Albums!$A:$A, MATCH(C765,Albums!$C:$C,0))</f>
        <v>69</v>
      </c>
      <c r="B765" s="4">
        <f>INDEX(Albums!$B:$B, MATCH(C765,Albums!$C:$C,0))</f>
        <v>2020</v>
      </c>
      <c r="C765" t="s">
        <v>32</v>
      </c>
      <c r="D765" s="4">
        <v>11</v>
      </c>
      <c r="E765" s="4" t="s">
        <v>349</v>
      </c>
      <c r="F765" s="4" t="s">
        <v>55</v>
      </c>
      <c r="G765" s="4" t="s">
        <v>356</v>
      </c>
      <c r="H765" s="4">
        <v>2478168</v>
      </c>
      <c r="I765" s="8"/>
      <c r="J765" s="4"/>
      <c r="K765" s="4"/>
      <c r="L765" s="4" t="str">
        <f>IF(AND(ISNUMBER(H765), COUNTIF([1]Songs!$L:$L,H765)&gt;0),"YES","")</f>
        <v/>
      </c>
    </row>
    <row r="766" spans="1:12" x14ac:dyDescent="0.25">
      <c r="A766" s="4">
        <f>INDEX(Albums!$A:$A, MATCH(C766,Albums!$C:$C,0))</f>
        <v>69</v>
      </c>
      <c r="B766" s="4">
        <f>INDEX(Albums!$B:$B, MATCH(C766,Albums!$C:$C,0))</f>
        <v>2020</v>
      </c>
      <c r="C766" t="s">
        <v>32</v>
      </c>
      <c r="D766" s="4">
        <v>12</v>
      </c>
      <c r="E766" s="4" t="s">
        <v>350</v>
      </c>
      <c r="F766" s="4" t="s">
        <v>589</v>
      </c>
      <c r="G766" s="4" t="s">
        <v>359</v>
      </c>
      <c r="H766" s="4">
        <v>7163384</v>
      </c>
      <c r="I766" s="8" t="s">
        <v>611</v>
      </c>
      <c r="J766" s="4"/>
      <c r="K766" s="4"/>
      <c r="L766" s="4" t="str">
        <f>IF(AND(ISNUMBER(H766), COUNTIF([1]Songs!$L:$L,H766)&gt;0),"YES","")</f>
        <v/>
      </c>
    </row>
  </sheetData>
  <autoFilter ref="A1:L766" xr:uid="{25F3441C-A19B-43D6-964C-DCF5B6CBAE73}"/>
  <conditionalFormatting sqref="K477:K491 H492:H588 H767:H774 H851:H1048576 H1:H254 H269:H380 H392:H419 H432:H476">
    <cfRule type="duplicateValues" dxfId="7" priority="15"/>
  </conditionalFormatting>
  <conditionalFormatting sqref="E589:E766">
    <cfRule type="duplicateValues" dxfId="6" priority="5"/>
  </conditionalFormatting>
  <conditionalFormatting sqref="H255:H268">
    <cfRule type="duplicateValues" dxfId="5" priority="3"/>
  </conditionalFormatting>
  <conditionalFormatting sqref="K391 H420:H431">
    <cfRule type="duplicateValues" dxfId="4" priority="1"/>
  </conditionalFormatting>
  <conditionalFormatting sqref="E536:E588 E1:E100 E113:E151 G101:G112 E168:E202 G152:G167 E215:E254 E269:E380 G255:G268 G462:G535 E432:E447 G423:G431 E450:E461 E767:E774 E851:E1048576 G381:G419">
    <cfRule type="duplicateValues" dxfId="3" priority="18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EDF7-BDD6-4A97-AB36-B8EFABAB99D2}">
  <dimension ref="A1:L7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2" x14ac:dyDescent="0.25">
      <c r="A1" s="3" t="s">
        <v>1213</v>
      </c>
      <c r="B1" s="3" t="s">
        <v>26</v>
      </c>
      <c r="C1" s="3" t="s">
        <v>1210</v>
      </c>
      <c r="D1" s="3" t="s">
        <v>207</v>
      </c>
      <c r="E1" s="3" t="s">
        <v>65</v>
      </c>
      <c r="F1" s="3" t="s">
        <v>658</v>
      </c>
      <c r="G1" s="3" t="s">
        <v>66</v>
      </c>
      <c r="H1" s="3" t="s">
        <v>67</v>
      </c>
      <c r="I1" s="3" t="s">
        <v>354</v>
      </c>
      <c r="J1" s="3" t="s">
        <v>593</v>
      </c>
      <c r="K1" s="3" t="s">
        <v>616</v>
      </c>
      <c r="L1" s="3" t="s">
        <v>1130</v>
      </c>
    </row>
    <row r="2" spans="1:12" x14ac:dyDescent="0.25">
      <c r="A2">
        <v>2016</v>
      </c>
      <c r="B2" t="s">
        <v>665</v>
      </c>
      <c r="C2" t="s">
        <v>1211</v>
      </c>
      <c r="D2">
        <v>1</v>
      </c>
      <c r="E2" t="s">
        <v>879</v>
      </c>
      <c r="F2" t="s">
        <v>685</v>
      </c>
      <c r="G2" t="s">
        <v>674</v>
      </c>
      <c r="H2" s="2">
        <v>0.31527777777777777</v>
      </c>
      <c r="L2" t="str">
        <f>IF(AND(ISNUMBER(I2), COUNTIF([1]Songs!$L:$L,I2)&gt;0),"YES","")</f>
        <v/>
      </c>
    </row>
    <row r="3" spans="1:12" x14ac:dyDescent="0.25">
      <c r="A3">
        <v>2016</v>
      </c>
      <c r="B3" t="s">
        <v>665</v>
      </c>
      <c r="C3" t="s">
        <v>1211</v>
      </c>
      <c r="D3">
        <v>2</v>
      </c>
      <c r="E3" t="s">
        <v>880</v>
      </c>
      <c r="F3" t="s">
        <v>672</v>
      </c>
      <c r="G3" t="s">
        <v>62</v>
      </c>
      <c r="H3" s="2">
        <v>0.15486111111111112</v>
      </c>
      <c r="L3" t="str">
        <f>IF(AND(ISNUMBER(I3), COUNTIF([1]Songs!$L:$L,I3)&gt;0),"YES","")</f>
        <v/>
      </c>
    </row>
    <row r="4" spans="1:12" x14ac:dyDescent="0.25">
      <c r="A4">
        <v>2016</v>
      </c>
      <c r="B4" t="s">
        <v>665</v>
      </c>
      <c r="C4" t="s">
        <v>1211</v>
      </c>
      <c r="D4">
        <v>3</v>
      </c>
      <c r="E4" t="s">
        <v>952</v>
      </c>
      <c r="F4" t="s">
        <v>100</v>
      </c>
      <c r="G4" t="s">
        <v>60</v>
      </c>
      <c r="H4" s="2">
        <v>0.3430555555555555</v>
      </c>
      <c r="L4" t="str">
        <f>IF(AND(ISNUMBER(I4), COUNTIF([1]Songs!$L:$L,I4)&gt;0),"YES","")</f>
        <v/>
      </c>
    </row>
    <row r="5" spans="1:12" x14ac:dyDescent="0.25">
      <c r="A5">
        <v>2016</v>
      </c>
      <c r="B5" t="s">
        <v>665</v>
      </c>
      <c r="C5" t="s">
        <v>1211</v>
      </c>
      <c r="D5">
        <v>4</v>
      </c>
      <c r="E5" t="s">
        <v>881</v>
      </c>
      <c r="F5" t="s">
        <v>675</v>
      </c>
      <c r="G5" t="s">
        <v>676</v>
      </c>
      <c r="H5" s="2">
        <v>0.17013888888888887</v>
      </c>
      <c r="L5" t="str">
        <f>IF(AND(ISNUMBER(I5), COUNTIF([1]Songs!$L:$L,I5)&gt;0),"YES","")</f>
        <v/>
      </c>
    </row>
    <row r="6" spans="1:12" x14ac:dyDescent="0.25">
      <c r="A6">
        <v>2016</v>
      </c>
      <c r="B6" t="s">
        <v>665</v>
      </c>
      <c r="C6" t="s">
        <v>1211</v>
      </c>
      <c r="D6">
        <v>5</v>
      </c>
      <c r="E6" t="s">
        <v>882</v>
      </c>
      <c r="F6" t="s">
        <v>93</v>
      </c>
      <c r="G6" t="s">
        <v>677</v>
      </c>
      <c r="H6" s="2">
        <v>0.16458333333333333</v>
      </c>
      <c r="L6" t="str">
        <f>IF(AND(ISNUMBER(I6), COUNTIF([1]Songs!$L:$L,I6)&gt;0),"YES","")</f>
        <v/>
      </c>
    </row>
    <row r="7" spans="1:12" x14ac:dyDescent="0.25">
      <c r="A7">
        <v>2016</v>
      </c>
      <c r="B7" t="s">
        <v>665</v>
      </c>
      <c r="C7" t="s">
        <v>1211</v>
      </c>
      <c r="D7">
        <v>6</v>
      </c>
      <c r="E7" t="s">
        <v>883</v>
      </c>
      <c r="F7" t="s">
        <v>672</v>
      </c>
      <c r="G7" t="s">
        <v>678</v>
      </c>
      <c r="H7" s="2">
        <v>0.34791666666666665</v>
      </c>
      <c r="L7" t="str">
        <f>IF(AND(ISNUMBER(I7), COUNTIF([1]Songs!$L:$L,I7)&gt;0),"YES","")</f>
        <v/>
      </c>
    </row>
    <row r="8" spans="1:12" x14ac:dyDescent="0.25">
      <c r="A8">
        <v>2016</v>
      </c>
      <c r="B8" t="s">
        <v>665</v>
      </c>
      <c r="C8" t="s">
        <v>1211</v>
      </c>
      <c r="D8">
        <v>7</v>
      </c>
      <c r="E8" t="s">
        <v>884</v>
      </c>
      <c r="F8" t="s">
        <v>672</v>
      </c>
      <c r="G8" t="s">
        <v>676</v>
      </c>
      <c r="H8" s="2">
        <v>0.24305555555555555</v>
      </c>
      <c r="L8" t="str">
        <f>IF(AND(ISNUMBER(I8), COUNTIF([1]Songs!$L:$L,I8)&gt;0),"YES","")</f>
        <v/>
      </c>
    </row>
    <row r="9" spans="1:12" x14ac:dyDescent="0.25">
      <c r="A9">
        <v>2016</v>
      </c>
      <c r="B9" t="s">
        <v>665</v>
      </c>
      <c r="C9" t="s">
        <v>1211</v>
      </c>
      <c r="D9">
        <v>8</v>
      </c>
      <c r="E9" t="s">
        <v>885</v>
      </c>
      <c r="F9" t="s">
        <v>679</v>
      </c>
      <c r="G9" t="s">
        <v>686</v>
      </c>
      <c r="H9" s="2">
        <v>0.34166666666666662</v>
      </c>
      <c r="L9" t="str">
        <f>IF(AND(ISNUMBER(I9), COUNTIF([1]Songs!$L:$L,I9)&gt;0),"YES","")</f>
        <v/>
      </c>
    </row>
    <row r="10" spans="1:12" x14ac:dyDescent="0.25">
      <c r="A10">
        <v>2016</v>
      </c>
      <c r="B10" t="s">
        <v>665</v>
      </c>
      <c r="C10" t="s">
        <v>1211</v>
      </c>
      <c r="D10">
        <v>9</v>
      </c>
      <c r="E10" t="s">
        <v>670</v>
      </c>
      <c r="F10" t="s">
        <v>680</v>
      </c>
      <c r="G10" t="s">
        <v>58</v>
      </c>
      <c r="H10" s="2">
        <v>0.3034722222222222</v>
      </c>
      <c r="L10" t="str">
        <f>IF(AND(ISNUMBER(I10), COUNTIF([1]Songs!$L:$L,I10)&gt;0),"YES","")</f>
        <v/>
      </c>
    </row>
    <row r="11" spans="1:12" x14ac:dyDescent="0.25">
      <c r="A11">
        <v>2016</v>
      </c>
      <c r="B11" t="s">
        <v>665</v>
      </c>
      <c r="C11" t="s">
        <v>1211</v>
      </c>
      <c r="D11">
        <v>10</v>
      </c>
      <c r="E11" t="s">
        <v>886</v>
      </c>
      <c r="F11" t="s">
        <v>681</v>
      </c>
      <c r="G11" t="s">
        <v>60</v>
      </c>
      <c r="H11" s="2">
        <v>0.16458333333333333</v>
      </c>
      <c r="L11" t="str">
        <f>IF(AND(ISNUMBER(I11), COUNTIF([1]Songs!$L:$L,I11)&gt;0),"YES","")</f>
        <v/>
      </c>
    </row>
    <row r="12" spans="1:12" x14ac:dyDescent="0.25">
      <c r="A12">
        <v>2016</v>
      </c>
      <c r="B12" t="s">
        <v>665</v>
      </c>
      <c r="C12" t="s">
        <v>1211</v>
      </c>
      <c r="D12">
        <v>11</v>
      </c>
      <c r="E12" t="s">
        <v>887</v>
      </c>
      <c r="F12" t="s">
        <v>682</v>
      </c>
      <c r="G12" t="s">
        <v>62</v>
      </c>
      <c r="H12" s="2">
        <v>0.26666666666666666</v>
      </c>
      <c r="L12" t="str">
        <f>IF(AND(ISNUMBER(I12), COUNTIF([1]Songs!$L:$L,I12)&gt;0),"YES","")</f>
        <v/>
      </c>
    </row>
    <row r="13" spans="1:12" x14ac:dyDescent="0.25">
      <c r="A13">
        <v>2016</v>
      </c>
      <c r="B13" t="s">
        <v>665</v>
      </c>
      <c r="C13" t="s">
        <v>1211</v>
      </c>
      <c r="D13">
        <v>12</v>
      </c>
      <c r="E13" t="s">
        <v>888</v>
      </c>
      <c r="F13" t="s">
        <v>683</v>
      </c>
      <c r="G13" t="s">
        <v>684</v>
      </c>
      <c r="H13" s="2">
        <v>0.41875000000000001</v>
      </c>
      <c r="L13" t="str">
        <f>IF(AND(ISNUMBER(I13), COUNTIF([1]Songs!$L:$L,I13)&gt;0),"YES","")</f>
        <v/>
      </c>
    </row>
    <row r="14" spans="1:12" x14ac:dyDescent="0.25">
      <c r="A14">
        <v>2013</v>
      </c>
      <c r="B14" t="s">
        <v>664</v>
      </c>
      <c r="C14" t="s">
        <v>1211</v>
      </c>
      <c r="D14">
        <v>1</v>
      </c>
      <c r="E14" t="s">
        <v>802</v>
      </c>
      <c r="F14" t="s">
        <v>562</v>
      </c>
      <c r="G14" t="s">
        <v>711</v>
      </c>
      <c r="H14" s="2">
        <v>0.18472222222222223</v>
      </c>
      <c r="L14" t="str">
        <f>IF(AND(ISNUMBER(I14), COUNTIF([1]Songs!$L:$L,I14)&gt;0),"YES","")</f>
        <v/>
      </c>
    </row>
    <row r="15" spans="1:12" x14ac:dyDescent="0.25">
      <c r="A15">
        <v>2013</v>
      </c>
      <c r="B15" t="s">
        <v>664</v>
      </c>
      <c r="C15" t="s">
        <v>1211</v>
      </c>
      <c r="D15">
        <v>2</v>
      </c>
      <c r="E15" t="s">
        <v>803</v>
      </c>
      <c r="F15" t="s">
        <v>672</v>
      </c>
      <c r="G15" t="s">
        <v>58</v>
      </c>
      <c r="H15" s="2">
        <v>0.20069444444444443</v>
      </c>
      <c r="L15" t="str">
        <f>IF(AND(ISNUMBER(I15), COUNTIF([1]Songs!$L:$L,I15)&gt;0),"YES","")</f>
        <v/>
      </c>
    </row>
    <row r="16" spans="1:12" x14ac:dyDescent="0.25">
      <c r="A16">
        <v>2013</v>
      </c>
      <c r="B16" t="s">
        <v>664</v>
      </c>
      <c r="C16" t="s">
        <v>1211</v>
      </c>
      <c r="D16">
        <v>3</v>
      </c>
      <c r="E16" t="s">
        <v>804</v>
      </c>
      <c r="F16" t="s">
        <v>93</v>
      </c>
      <c r="G16" t="s">
        <v>60</v>
      </c>
      <c r="H16" s="2">
        <v>0.18333333333333335</v>
      </c>
      <c r="L16" t="str">
        <f>IF(AND(ISNUMBER(I16), COUNTIF([1]Songs!$L:$L,I16)&gt;0),"YES","")</f>
        <v/>
      </c>
    </row>
    <row r="17" spans="1:12" x14ac:dyDescent="0.25">
      <c r="A17">
        <v>2013</v>
      </c>
      <c r="B17" t="s">
        <v>664</v>
      </c>
      <c r="C17" t="s">
        <v>1211</v>
      </c>
      <c r="D17">
        <v>4</v>
      </c>
      <c r="E17" t="s">
        <v>805</v>
      </c>
      <c r="F17" t="s">
        <v>712</v>
      </c>
      <c r="G17" t="s">
        <v>74</v>
      </c>
      <c r="H17" s="2">
        <v>0.40902777777777777</v>
      </c>
      <c r="L17" t="str">
        <f>IF(AND(ISNUMBER(I17), COUNTIF([1]Songs!$L:$L,I17)&gt;0),"YES","")</f>
        <v/>
      </c>
    </row>
    <row r="18" spans="1:12" x14ac:dyDescent="0.25">
      <c r="A18">
        <v>2013</v>
      </c>
      <c r="B18" t="s">
        <v>664</v>
      </c>
      <c r="C18" t="s">
        <v>1211</v>
      </c>
      <c r="D18">
        <v>5</v>
      </c>
      <c r="E18" t="s">
        <v>806</v>
      </c>
      <c r="F18" t="s">
        <v>672</v>
      </c>
      <c r="G18" t="s">
        <v>58</v>
      </c>
      <c r="H18" s="2">
        <v>0.21527777777777779</v>
      </c>
      <c r="L18" t="str">
        <f>IF(AND(ISNUMBER(I18), COUNTIF([1]Songs!$L:$L,I18)&gt;0),"YES","")</f>
        <v/>
      </c>
    </row>
    <row r="19" spans="1:12" x14ac:dyDescent="0.25">
      <c r="A19">
        <v>2013</v>
      </c>
      <c r="B19" t="s">
        <v>664</v>
      </c>
      <c r="C19" t="s">
        <v>1211</v>
      </c>
      <c r="D19">
        <v>6</v>
      </c>
      <c r="E19" t="s">
        <v>807</v>
      </c>
      <c r="F19" t="s">
        <v>93</v>
      </c>
      <c r="G19" t="s">
        <v>60</v>
      </c>
      <c r="H19" s="2">
        <v>0.21319444444444444</v>
      </c>
      <c r="L19" t="str">
        <f>IF(AND(ISNUMBER(I19), COUNTIF([1]Songs!$L:$L,I19)&gt;0),"YES","")</f>
        <v/>
      </c>
    </row>
    <row r="20" spans="1:12" x14ac:dyDescent="0.25">
      <c r="A20">
        <v>2013</v>
      </c>
      <c r="B20" t="s">
        <v>664</v>
      </c>
      <c r="C20" t="s">
        <v>1211</v>
      </c>
      <c r="D20">
        <v>7</v>
      </c>
      <c r="E20" t="s">
        <v>808</v>
      </c>
      <c r="F20" t="s">
        <v>672</v>
      </c>
      <c r="G20" t="s">
        <v>713</v>
      </c>
      <c r="H20" s="2">
        <v>0.26666666666666666</v>
      </c>
      <c r="L20" t="str">
        <f>IF(AND(ISNUMBER(I20), COUNTIF([1]Songs!$L:$L,I20)&gt;0),"YES","")</f>
        <v/>
      </c>
    </row>
    <row r="21" spans="1:12" x14ac:dyDescent="0.25">
      <c r="A21">
        <v>2013</v>
      </c>
      <c r="B21" t="s">
        <v>664</v>
      </c>
      <c r="C21" t="s">
        <v>1211</v>
      </c>
      <c r="D21">
        <v>8</v>
      </c>
      <c r="E21" t="s">
        <v>809</v>
      </c>
      <c r="F21" t="s">
        <v>102</v>
      </c>
      <c r="G21" t="s">
        <v>62</v>
      </c>
      <c r="H21" s="2">
        <v>0.37222222222222223</v>
      </c>
      <c r="L21" t="str">
        <f>IF(AND(ISNUMBER(I21), COUNTIF([1]Songs!$L:$L,I21)&gt;0),"YES","")</f>
        <v/>
      </c>
    </row>
    <row r="22" spans="1:12" x14ac:dyDescent="0.25">
      <c r="A22">
        <v>2013</v>
      </c>
      <c r="B22" t="s">
        <v>664</v>
      </c>
      <c r="C22" t="s">
        <v>1211</v>
      </c>
      <c r="D22">
        <v>9</v>
      </c>
      <c r="E22" t="s">
        <v>810</v>
      </c>
      <c r="F22" t="s">
        <v>714</v>
      </c>
      <c r="G22" t="s">
        <v>60</v>
      </c>
      <c r="H22" s="2">
        <v>0.1875</v>
      </c>
      <c r="L22" t="str">
        <f>IF(AND(ISNUMBER(I22), COUNTIF([1]Songs!$L:$L,I22)&gt;0),"YES","")</f>
        <v/>
      </c>
    </row>
    <row r="23" spans="1:12" x14ac:dyDescent="0.25">
      <c r="A23">
        <v>2013</v>
      </c>
      <c r="B23" t="s">
        <v>664</v>
      </c>
      <c r="C23" t="s">
        <v>1211</v>
      </c>
      <c r="D23">
        <v>10</v>
      </c>
      <c r="E23" t="s">
        <v>811</v>
      </c>
      <c r="F23" t="s">
        <v>715</v>
      </c>
      <c r="G23" t="s">
        <v>716</v>
      </c>
      <c r="H23" s="2">
        <v>0.29791666666666666</v>
      </c>
      <c r="L23" t="str">
        <f>IF(AND(ISNUMBER(I23), COUNTIF([1]Songs!$L:$L,I23)&gt;0),"YES","")</f>
        <v/>
      </c>
    </row>
    <row r="24" spans="1:12" x14ac:dyDescent="0.25">
      <c r="A24">
        <v>2013</v>
      </c>
      <c r="B24" t="s">
        <v>664</v>
      </c>
      <c r="C24" t="s">
        <v>1211</v>
      </c>
      <c r="D24">
        <v>11</v>
      </c>
      <c r="E24" t="s">
        <v>812</v>
      </c>
      <c r="F24" t="s">
        <v>717</v>
      </c>
      <c r="G24" t="s">
        <v>718</v>
      </c>
      <c r="H24" s="2">
        <v>0.28541666666666665</v>
      </c>
      <c r="L24" t="str">
        <f>IF(AND(ISNUMBER(I24), COUNTIF([1]Songs!$L:$L,I24)&gt;0),"YES","")</f>
        <v/>
      </c>
    </row>
    <row r="25" spans="1:12" x14ac:dyDescent="0.25">
      <c r="A25">
        <v>2013</v>
      </c>
      <c r="B25" t="s">
        <v>664</v>
      </c>
      <c r="C25" t="s">
        <v>1211</v>
      </c>
      <c r="D25">
        <v>12</v>
      </c>
      <c r="E25" t="s">
        <v>813</v>
      </c>
      <c r="F25" t="s">
        <v>719</v>
      </c>
      <c r="G25" t="s">
        <v>60</v>
      </c>
      <c r="H25" s="2">
        <v>0.24374999999999999</v>
      </c>
      <c r="L25" t="str">
        <f>IF(AND(ISNUMBER(I25), COUNTIF([1]Songs!$L:$L,I25)&gt;0),"YES","")</f>
        <v/>
      </c>
    </row>
    <row r="26" spans="1:12" x14ac:dyDescent="0.25">
      <c r="A26">
        <v>2012</v>
      </c>
      <c r="B26" t="s">
        <v>663</v>
      </c>
      <c r="C26" t="s">
        <v>1211</v>
      </c>
      <c r="D26">
        <v>1</v>
      </c>
      <c r="E26" t="s">
        <v>341</v>
      </c>
      <c r="F26" t="s">
        <v>60</v>
      </c>
      <c r="G26" t="s">
        <v>727</v>
      </c>
      <c r="H26" s="2">
        <v>0.17222222222222225</v>
      </c>
      <c r="L26" t="str">
        <f>IF(AND(ISNUMBER(I26), COUNTIF([1]Songs!$L:$L,I26)&gt;0),"YES","")</f>
        <v/>
      </c>
    </row>
    <row r="27" spans="1:12" x14ac:dyDescent="0.25">
      <c r="A27">
        <v>2012</v>
      </c>
      <c r="B27" t="s">
        <v>663</v>
      </c>
      <c r="C27" t="s">
        <v>1211</v>
      </c>
      <c r="D27">
        <v>2</v>
      </c>
      <c r="E27" t="s">
        <v>330</v>
      </c>
      <c r="F27" t="s">
        <v>182</v>
      </c>
      <c r="G27" t="s">
        <v>80</v>
      </c>
      <c r="H27" s="2">
        <v>0.17152777777777775</v>
      </c>
      <c r="L27" t="str">
        <f>IF(AND(ISNUMBER(I27), COUNTIF([1]Songs!$L:$L,I27)&gt;0),"YES","")</f>
        <v/>
      </c>
    </row>
    <row r="28" spans="1:12" x14ac:dyDescent="0.25">
      <c r="A28">
        <v>2012</v>
      </c>
      <c r="B28" t="s">
        <v>663</v>
      </c>
      <c r="C28" t="s">
        <v>1211</v>
      </c>
      <c r="D28">
        <v>3</v>
      </c>
      <c r="E28" t="s">
        <v>140</v>
      </c>
      <c r="F28" t="s">
        <v>58</v>
      </c>
      <c r="G28" t="s">
        <v>58</v>
      </c>
      <c r="H28" s="2">
        <v>0.20069444444444443</v>
      </c>
      <c r="L28" t="str">
        <f>IF(AND(ISNUMBER(I28), COUNTIF([1]Songs!$L:$L,I28)&gt;0),"YES","")</f>
        <v/>
      </c>
    </row>
    <row r="29" spans="1:12" x14ac:dyDescent="0.25">
      <c r="A29">
        <v>2012</v>
      </c>
      <c r="B29" t="s">
        <v>663</v>
      </c>
      <c r="C29" t="s">
        <v>1211</v>
      </c>
      <c r="D29">
        <v>4</v>
      </c>
      <c r="E29" t="s">
        <v>814</v>
      </c>
      <c r="F29" t="s">
        <v>561</v>
      </c>
      <c r="G29" t="s">
        <v>62</v>
      </c>
      <c r="H29" s="2">
        <v>0.29375000000000001</v>
      </c>
      <c r="L29" t="str">
        <f>IF(AND(ISNUMBER(I29), COUNTIF([1]Songs!$L:$L,I29)&gt;0),"YES","")</f>
        <v/>
      </c>
    </row>
    <row r="30" spans="1:12" x14ac:dyDescent="0.25">
      <c r="A30">
        <v>2012</v>
      </c>
      <c r="B30" t="s">
        <v>663</v>
      </c>
      <c r="C30" t="s">
        <v>1211</v>
      </c>
      <c r="D30">
        <v>5</v>
      </c>
      <c r="E30" t="s">
        <v>14</v>
      </c>
      <c r="F30" t="s">
        <v>169</v>
      </c>
      <c r="G30" t="s">
        <v>58</v>
      </c>
      <c r="H30" s="2">
        <v>0.21666666666666667</v>
      </c>
      <c r="K30" t="s">
        <v>953</v>
      </c>
      <c r="L30" t="str">
        <f>IF(AND(ISNUMBER(I30), COUNTIF([1]Songs!$L:$L,I30)&gt;0),"YES","")</f>
        <v/>
      </c>
    </row>
    <row r="31" spans="1:12" x14ac:dyDescent="0.25">
      <c r="A31">
        <v>2012</v>
      </c>
      <c r="B31" t="s">
        <v>663</v>
      </c>
      <c r="C31" t="s">
        <v>1211</v>
      </c>
      <c r="D31">
        <v>6</v>
      </c>
      <c r="E31" t="s">
        <v>338</v>
      </c>
      <c r="F31" t="s">
        <v>134</v>
      </c>
      <c r="G31" t="s">
        <v>720</v>
      </c>
      <c r="H31" s="2">
        <v>0.2638888888888889</v>
      </c>
      <c r="L31" t="str">
        <f>IF(AND(ISNUMBER(I31), COUNTIF([1]Songs!$L:$L,I31)&gt;0),"YES","")</f>
        <v/>
      </c>
    </row>
    <row r="32" spans="1:12" x14ac:dyDescent="0.25">
      <c r="A32">
        <v>2012</v>
      </c>
      <c r="B32" t="s">
        <v>663</v>
      </c>
      <c r="C32" t="s">
        <v>1211</v>
      </c>
      <c r="D32">
        <v>7</v>
      </c>
      <c r="E32" t="s">
        <v>815</v>
      </c>
      <c r="F32" t="s">
        <v>69</v>
      </c>
      <c r="G32" t="s">
        <v>62</v>
      </c>
      <c r="H32" s="2">
        <v>0.24722222222222223</v>
      </c>
      <c r="L32" t="str">
        <f>IF(AND(ISNUMBER(I32), COUNTIF([1]Songs!$L:$L,I32)&gt;0),"YES","")</f>
        <v/>
      </c>
    </row>
    <row r="33" spans="1:12" x14ac:dyDescent="0.25">
      <c r="A33">
        <v>2012</v>
      </c>
      <c r="B33" t="s">
        <v>663</v>
      </c>
      <c r="C33" t="s">
        <v>1211</v>
      </c>
      <c r="D33">
        <v>8</v>
      </c>
      <c r="E33" t="s">
        <v>816</v>
      </c>
      <c r="F33" t="s">
        <v>721</v>
      </c>
      <c r="G33" t="s">
        <v>162</v>
      </c>
      <c r="H33" s="2">
        <v>0.17152777777777775</v>
      </c>
      <c r="L33" t="str">
        <f>IF(AND(ISNUMBER(I33), COUNTIF([1]Songs!$L:$L,I33)&gt;0),"YES","")</f>
        <v/>
      </c>
    </row>
    <row r="34" spans="1:12" x14ac:dyDescent="0.25">
      <c r="A34">
        <v>2012</v>
      </c>
      <c r="B34" t="s">
        <v>663</v>
      </c>
      <c r="C34" t="s">
        <v>1211</v>
      </c>
      <c r="D34">
        <v>9</v>
      </c>
      <c r="E34" t="s">
        <v>817</v>
      </c>
      <c r="F34" t="s">
        <v>725</v>
      </c>
      <c r="G34" t="s">
        <v>60</v>
      </c>
      <c r="H34" s="2">
        <v>0.25138888888888888</v>
      </c>
      <c r="L34" t="str">
        <f>IF(AND(ISNUMBER(I34), COUNTIF([1]Songs!$L:$L,I34)&gt;0),"YES","")</f>
        <v/>
      </c>
    </row>
    <row r="35" spans="1:12" x14ac:dyDescent="0.25">
      <c r="A35">
        <v>2012</v>
      </c>
      <c r="B35" t="s">
        <v>663</v>
      </c>
      <c r="C35" t="s">
        <v>1211</v>
      </c>
      <c r="D35">
        <v>10</v>
      </c>
      <c r="E35" t="s">
        <v>668</v>
      </c>
      <c r="F35" t="s">
        <v>58</v>
      </c>
      <c r="G35" t="s">
        <v>58</v>
      </c>
      <c r="H35" s="2">
        <v>0.33749999999999997</v>
      </c>
      <c r="L35" t="str">
        <f>IF(AND(ISNUMBER(I35), COUNTIF([1]Songs!$L:$L,I35)&gt;0),"YES","")</f>
        <v/>
      </c>
    </row>
    <row r="36" spans="1:12" x14ac:dyDescent="0.25">
      <c r="A36">
        <v>2012</v>
      </c>
      <c r="B36" t="s">
        <v>663</v>
      </c>
      <c r="C36" t="s">
        <v>1211</v>
      </c>
      <c r="D36">
        <v>11</v>
      </c>
      <c r="E36" t="s">
        <v>818</v>
      </c>
      <c r="F36" t="s">
        <v>726</v>
      </c>
      <c r="G36" t="s">
        <v>722</v>
      </c>
      <c r="H36" s="2">
        <v>0.32013888888888892</v>
      </c>
      <c r="L36" t="str">
        <f>IF(AND(ISNUMBER(I36), COUNTIF([1]Songs!$L:$L,I36)&gt;0),"YES","")</f>
        <v/>
      </c>
    </row>
    <row r="37" spans="1:12" x14ac:dyDescent="0.25">
      <c r="A37">
        <v>2012</v>
      </c>
      <c r="B37" t="s">
        <v>663</v>
      </c>
      <c r="C37" t="s">
        <v>1211</v>
      </c>
      <c r="D37">
        <v>12</v>
      </c>
      <c r="E37" t="s">
        <v>819</v>
      </c>
      <c r="F37" t="s">
        <v>723</v>
      </c>
      <c r="G37" t="s">
        <v>720</v>
      </c>
      <c r="H37" s="2">
        <v>0.26527777777777778</v>
      </c>
      <c r="L37" t="str">
        <f>IF(AND(ISNUMBER(I37), COUNTIF([1]Songs!$L:$L,I37)&gt;0),"YES","")</f>
        <v/>
      </c>
    </row>
    <row r="38" spans="1:12" x14ac:dyDescent="0.25">
      <c r="A38">
        <v>2012</v>
      </c>
      <c r="B38" t="s">
        <v>663</v>
      </c>
      <c r="C38" t="s">
        <v>1211</v>
      </c>
      <c r="D38">
        <v>13</v>
      </c>
      <c r="E38" t="s">
        <v>820</v>
      </c>
      <c r="F38" t="s">
        <v>724</v>
      </c>
      <c r="G38" t="s">
        <v>62</v>
      </c>
      <c r="H38" s="2">
        <v>0.26527777777777778</v>
      </c>
      <c r="L38" t="str">
        <f>IF(AND(ISNUMBER(I38), COUNTIF([1]Songs!$L:$L,I38)&gt;0),"YES","")</f>
        <v/>
      </c>
    </row>
    <row r="39" spans="1:12" x14ac:dyDescent="0.25">
      <c r="A39">
        <v>2012</v>
      </c>
      <c r="B39" t="s">
        <v>663</v>
      </c>
      <c r="C39" t="s">
        <v>1211</v>
      </c>
      <c r="D39">
        <v>14</v>
      </c>
      <c r="E39" t="s">
        <v>821</v>
      </c>
      <c r="F39" t="s">
        <v>60</v>
      </c>
      <c r="G39" t="s">
        <v>60</v>
      </c>
      <c r="H39" s="2">
        <v>0.26666666666666666</v>
      </c>
      <c r="L39" t="str">
        <f>IF(AND(ISNUMBER(I39), COUNTIF([1]Songs!$L:$L,I39)&gt;0),"YES","")</f>
        <v/>
      </c>
    </row>
    <row r="40" spans="1:12" x14ac:dyDescent="0.25">
      <c r="A40">
        <v>2012</v>
      </c>
      <c r="B40" t="s">
        <v>663</v>
      </c>
      <c r="C40" t="s">
        <v>1211</v>
      </c>
      <c r="D40">
        <v>15</v>
      </c>
      <c r="E40" t="s">
        <v>822</v>
      </c>
      <c r="F40" t="s">
        <v>58</v>
      </c>
      <c r="G40" t="s">
        <v>58</v>
      </c>
      <c r="H40" s="2">
        <v>0.20416666666666669</v>
      </c>
      <c r="L40" t="str">
        <f>IF(AND(ISNUMBER(I40), COUNTIF([1]Songs!$L:$L,I40)&gt;0),"YES","")</f>
        <v/>
      </c>
    </row>
    <row r="41" spans="1:12" x14ac:dyDescent="0.25">
      <c r="A41">
        <v>2012</v>
      </c>
      <c r="B41" t="s">
        <v>663</v>
      </c>
      <c r="C41" t="s">
        <v>1211</v>
      </c>
      <c r="D41">
        <v>16</v>
      </c>
      <c r="E41" t="s">
        <v>823</v>
      </c>
      <c r="F41" t="s">
        <v>58</v>
      </c>
      <c r="G41" t="s">
        <v>58</v>
      </c>
      <c r="H41" s="2">
        <v>0.22083333333333333</v>
      </c>
      <c r="L41" t="str">
        <f>IF(AND(ISNUMBER(I41), COUNTIF([1]Songs!$L:$L,I41)&gt;0),"YES","")</f>
        <v/>
      </c>
    </row>
    <row r="42" spans="1:12" x14ac:dyDescent="0.25">
      <c r="A42">
        <v>2012</v>
      </c>
      <c r="B42" t="s">
        <v>663</v>
      </c>
      <c r="C42" t="s">
        <v>1211</v>
      </c>
      <c r="D42">
        <v>17</v>
      </c>
      <c r="E42" t="s">
        <v>824</v>
      </c>
      <c r="F42" t="s">
        <v>58</v>
      </c>
      <c r="G42" t="s">
        <v>58</v>
      </c>
      <c r="H42" s="2">
        <v>0.11666666666666665</v>
      </c>
      <c r="L42" t="str">
        <f>IF(AND(ISNUMBER(I42), COUNTIF([1]Songs!$L:$L,I42)&gt;0),"YES","")</f>
        <v/>
      </c>
    </row>
    <row r="43" spans="1:12" x14ac:dyDescent="0.25">
      <c r="A43">
        <v>2012</v>
      </c>
      <c r="B43" t="s">
        <v>663</v>
      </c>
      <c r="C43" t="s">
        <v>1211</v>
      </c>
      <c r="D43">
        <v>18</v>
      </c>
      <c r="E43" t="s">
        <v>328</v>
      </c>
      <c r="F43" t="s">
        <v>58</v>
      </c>
      <c r="G43" t="s">
        <v>58</v>
      </c>
      <c r="H43" s="2">
        <v>0.45347222222222222</v>
      </c>
      <c r="L43" t="str">
        <f>IF(AND(ISNUMBER(I43), COUNTIF([1]Songs!$L:$L,I43)&gt;0),"YES","")</f>
        <v/>
      </c>
    </row>
    <row r="44" spans="1:12" x14ac:dyDescent="0.25">
      <c r="A44">
        <v>2012</v>
      </c>
      <c r="B44" t="s">
        <v>663</v>
      </c>
      <c r="C44" t="s">
        <v>1211</v>
      </c>
      <c r="D44">
        <v>19</v>
      </c>
      <c r="E44" t="s">
        <v>314</v>
      </c>
      <c r="F44" t="s">
        <v>58</v>
      </c>
      <c r="G44" t="s">
        <v>80</v>
      </c>
      <c r="H44" s="2">
        <v>0.17569444444444446</v>
      </c>
      <c r="L44" t="str">
        <f>IF(AND(ISNUMBER(I44), COUNTIF([1]Songs!$L:$L,I44)&gt;0),"YES","")</f>
        <v/>
      </c>
    </row>
    <row r="45" spans="1:12" x14ac:dyDescent="0.25">
      <c r="A45">
        <v>2012</v>
      </c>
      <c r="B45" t="s">
        <v>663</v>
      </c>
      <c r="C45" t="s">
        <v>1211</v>
      </c>
      <c r="D45">
        <v>20</v>
      </c>
      <c r="E45" t="s">
        <v>189</v>
      </c>
      <c r="F45" t="s">
        <v>599</v>
      </c>
      <c r="G45" t="s">
        <v>80</v>
      </c>
      <c r="H45" s="2">
        <v>0.17430555555555557</v>
      </c>
      <c r="L45" t="str">
        <f>IF(AND(ISNUMBER(I45), COUNTIF([1]Songs!$L:$L,I45)&gt;0),"YES","")</f>
        <v/>
      </c>
    </row>
    <row r="46" spans="1:12" x14ac:dyDescent="0.25">
      <c r="A46">
        <v>2012</v>
      </c>
      <c r="B46" t="s">
        <v>663</v>
      </c>
      <c r="C46" t="s">
        <v>1211</v>
      </c>
      <c r="D46">
        <v>21</v>
      </c>
      <c r="E46" t="s">
        <v>313</v>
      </c>
      <c r="F46" t="s">
        <v>560</v>
      </c>
      <c r="G46" t="s">
        <v>80</v>
      </c>
      <c r="H46" s="2">
        <v>0.17222222222222225</v>
      </c>
      <c r="L46" t="str">
        <f>IF(AND(ISNUMBER(I46), COUNTIF([1]Songs!$L:$L,I46)&gt;0),"YES","")</f>
        <v/>
      </c>
    </row>
    <row r="47" spans="1:12" x14ac:dyDescent="0.25">
      <c r="A47">
        <v>2012</v>
      </c>
      <c r="B47" t="s">
        <v>663</v>
      </c>
      <c r="C47" t="s">
        <v>1211</v>
      </c>
      <c r="D47">
        <v>22</v>
      </c>
      <c r="E47" t="s">
        <v>825</v>
      </c>
      <c r="F47" t="s">
        <v>58</v>
      </c>
      <c r="G47" t="s">
        <v>58</v>
      </c>
      <c r="H47" s="2">
        <v>0.33819444444444446</v>
      </c>
      <c r="L47" t="str">
        <f>IF(AND(ISNUMBER(I47), COUNTIF([1]Songs!$L:$L,I47)&gt;0),"YES","")</f>
        <v/>
      </c>
    </row>
    <row r="48" spans="1:12" x14ac:dyDescent="0.25">
      <c r="A48">
        <v>2008</v>
      </c>
      <c r="B48" t="s">
        <v>662</v>
      </c>
      <c r="C48" t="s">
        <v>1211</v>
      </c>
      <c r="D48">
        <v>1</v>
      </c>
      <c r="E48" t="s">
        <v>833</v>
      </c>
      <c r="F48" t="s">
        <v>58</v>
      </c>
      <c r="G48" t="s">
        <v>58</v>
      </c>
      <c r="H48" s="2">
        <v>0.26666666666666666</v>
      </c>
      <c r="L48" t="str">
        <f>IF(AND(ISNUMBER(I48), COUNTIF([1]Songs!$L:$L,I48)&gt;0),"YES","")</f>
        <v/>
      </c>
    </row>
    <row r="49" spans="1:12" x14ac:dyDescent="0.25">
      <c r="A49">
        <v>2008</v>
      </c>
      <c r="B49" t="s">
        <v>662</v>
      </c>
      <c r="C49" t="s">
        <v>1211</v>
      </c>
      <c r="D49">
        <v>2</v>
      </c>
      <c r="E49" t="s">
        <v>453</v>
      </c>
      <c r="F49" t="s">
        <v>732</v>
      </c>
      <c r="G49" t="s">
        <v>80</v>
      </c>
      <c r="H49" s="2">
        <v>0.15069444444444444</v>
      </c>
      <c r="L49" t="str">
        <f>IF(AND(ISNUMBER(I49), COUNTIF([1]Songs!$L:$L,I49)&gt;0),"YES","")</f>
        <v/>
      </c>
    </row>
    <row r="50" spans="1:12" x14ac:dyDescent="0.25">
      <c r="A50">
        <v>2008</v>
      </c>
      <c r="B50" t="s">
        <v>662</v>
      </c>
      <c r="C50" t="s">
        <v>1211</v>
      </c>
      <c r="D50">
        <v>3</v>
      </c>
      <c r="E50" t="s">
        <v>451</v>
      </c>
      <c r="F50" t="s">
        <v>750</v>
      </c>
      <c r="G50" t="s">
        <v>80</v>
      </c>
      <c r="H50" s="2">
        <v>0.17708333333333334</v>
      </c>
      <c r="L50" t="str">
        <f>IF(AND(ISNUMBER(I50), COUNTIF([1]Songs!$L:$L,I50)&gt;0),"YES","")</f>
        <v/>
      </c>
    </row>
    <row r="51" spans="1:12" x14ac:dyDescent="0.25">
      <c r="A51">
        <v>2008</v>
      </c>
      <c r="B51" t="s">
        <v>662</v>
      </c>
      <c r="C51" t="s">
        <v>1211</v>
      </c>
      <c r="D51">
        <v>4</v>
      </c>
      <c r="E51" s="5" t="s">
        <v>834</v>
      </c>
      <c r="F51" t="s">
        <v>733</v>
      </c>
      <c r="G51" t="s">
        <v>81</v>
      </c>
      <c r="H51" s="2">
        <v>0.25347222222222221</v>
      </c>
      <c r="L51" t="str">
        <f>IF(AND(ISNUMBER(I51), COUNTIF([1]Songs!$L:$L,I51)&gt;0),"YES","")</f>
        <v/>
      </c>
    </row>
    <row r="52" spans="1:12" x14ac:dyDescent="0.25">
      <c r="A52">
        <v>2008</v>
      </c>
      <c r="B52" t="s">
        <v>662</v>
      </c>
      <c r="C52" t="s">
        <v>1211</v>
      </c>
      <c r="D52">
        <v>5</v>
      </c>
      <c r="E52" t="s">
        <v>463</v>
      </c>
      <c r="F52" t="s">
        <v>69</v>
      </c>
      <c r="G52" t="s">
        <v>62</v>
      </c>
      <c r="H52" s="2">
        <v>0.3347222222222222</v>
      </c>
      <c r="L52" t="str">
        <f>IF(AND(ISNUMBER(I52), COUNTIF([1]Songs!$L:$L,I52)&gt;0),"YES","")</f>
        <v/>
      </c>
    </row>
    <row r="53" spans="1:12" x14ac:dyDescent="0.25">
      <c r="A53">
        <v>2008</v>
      </c>
      <c r="B53" t="s">
        <v>662</v>
      </c>
      <c r="C53" t="s">
        <v>1211</v>
      </c>
      <c r="D53">
        <v>6</v>
      </c>
      <c r="E53" t="s">
        <v>822</v>
      </c>
      <c r="F53" t="s">
        <v>58</v>
      </c>
      <c r="G53" t="s">
        <v>58</v>
      </c>
      <c r="H53" s="2">
        <v>0.23055555555555554</v>
      </c>
      <c r="L53" t="str">
        <f>IF(AND(ISNUMBER(I53), COUNTIF([1]Songs!$L:$L,I53)&gt;0),"YES","")</f>
        <v/>
      </c>
    </row>
    <row r="54" spans="1:12" x14ac:dyDescent="0.25">
      <c r="A54">
        <v>2008</v>
      </c>
      <c r="B54" t="s">
        <v>662</v>
      </c>
      <c r="C54" t="s">
        <v>1211</v>
      </c>
      <c r="D54">
        <v>7</v>
      </c>
      <c r="E54" t="s">
        <v>326</v>
      </c>
      <c r="F54" t="s">
        <v>134</v>
      </c>
      <c r="G54" t="s">
        <v>134</v>
      </c>
      <c r="H54" s="2">
        <v>0.26527777777777778</v>
      </c>
      <c r="L54" t="str">
        <f>IF(AND(ISNUMBER(I54), COUNTIF([1]Songs!$L:$L,I54)&gt;0),"YES","")</f>
        <v/>
      </c>
    </row>
    <row r="55" spans="1:12" x14ac:dyDescent="0.25">
      <c r="A55">
        <v>2008</v>
      </c>
      <c r="B55" t="s">
        <v>662</v>
      </c>
      <c r="C55" t="s">
        <v>1211</v>
      </c>
      <c r="D55">
        <v>8</v>
      </c>
      <c r="E55" t="s">
        <v>330</v>
      </c>
      <c r="F55" t="s">
        <v>734</v>
      </c>
      <c r="G55" t="s">
        <v>80</v>
      </c>
      <c r="H55" s="2">
        <v>0.17291666666666669</v>
      </c>
      <c r="L55" t="str">
        <f>IF(AND(ISNUMBER(I55), COUNTIF([1]Songs!$L:$L,I55)&gt;0),"YES","")</f>
        <v/>
      </c>
    </row>
    <row r="56" spans="1:12" x14ac:dyDescent="0.25">
      <c r="A56">
        <v>2008</v>
      </c>
      <c r="B56" t="s">
        <v>662</v>
      </c>
      <c r="C56" t="s">
        <v>1211</v>
      </c>
      <c r="D56">
        <v>9</v>
      </c>
      <c r="E56" t="s">
        <v>660</v>
      </c>
      <c r="F56" t="s">
        <v>69</v>
      </c>
      <c r="G56" t="s">
        <v>69</v>
      </c>
      <c r="H56" s="2">
        <v>0.1763888888888889</v>
      </c>
      <c r="L56" t="str">
        <f>IF(AND(ISNUMBER(I56), COUNTIF([1]Songs!$L:$L,I56)&gt;0),"YES","")</f>
        <v/>
      </c>
    </row>
    <row r="57" spans="1:12" x14ac:dyDescent="0.25">
      <c r="A57">
        <v>2008</v>
      </c>
      <c r="B57" t="s">
        <v>662</v>
      </c>
      <c r="C57" t="s">
        <v>1211</v>
      </c>
      <c r="D57">
        <v>10</v>
      </c>
      <c r="E57" t="s">
        <v>835</v>
      </c>
      <c r="F57" t="s">
        <v>58</v>
      </c>
      <c r="G57" t="s">
        <v>58</v>
      </c>
      <c r="H57" s="2">
        <v>0.25208333333333333</v>
      </c>
      <c r="L57" t="str">
        <f>IF(AND(ISNUMBER(I57), COUNTIF([1]Songs!$L:$L,I57)&gt;0),"YES","")</f>
        <v/>
      </c>
    </row>
    <row r="58" spans="1:12" x14ac:dyDescent="0.25">
      <c r="A58">
        <v>2008</v>
      </c>
      <c r="B58" t="s">
        <v>662</v>
      </c>
      <c r="C58" t="s">
        <v>1211</v>
      </c>
      <c r="D58">
        <v>11</v>
      </c>
      <c r="E58" t="s">
        <v>38</v>
      </c>
      <c r="F58" t="s">
        <v>69</v>
      </c>
      <c r="G58" t="s">
        <v>735</v>
      </c>
      <c r="H58" s="2">
        <v>0.17708333333333334</v>
      </c>
      <c r="L58" t="str">
        <f>IF(AND(ISNUMBER(I58), COUNTIF([1]Songs!$L:$L,I58)&gt;0),"YES","")</f>
        <v/>
      </c>
    </row>
    <row r="59" spans="1:12" x14ac:dyDescent="0.25">
      <c r="A59">
        <v>2008</v>
      </c>
      <c r="B59" t="s">
        <v>662</v>
      </c>
      <c r="C59" t="s">
        <v>1211</v>
      </c>
      <c r="D59">
        <v>12</v>
      </c>
      <c r="E59" t="s">
        <v>450</v>
      </c>
      <c r="F59" t="s">
        <v>736</v>
      </c>
      <c r="G59" t="s">
        <v>69</v>
      </c>
      <c r="H59" s="2">
        <v>0.32569444444444445</v>
      </c>
      <c r="L59" t="str">
        <f>IF(AND(ISNUMBER(I59), COUNTIF([1]Songs!$L:$L,I59)&gt;0),"YES","")</f>
        <v/>
      </c>
    </row>
    <row r="60" spans="1:12" x14ac:dyDescent="0.25">
      <c r="A60">
        <v>2008</v>
      </c>
      <c r="B60" t="s">
        <v>662</v>
      </c>
      <c r="C60" t="s">
        <v>1211</v>
      </c>
      <c r="D60">
        <v>13</v>
      </c>
      <c r="E60" t="s">
        <v>452</v>
      </c>
      <c r="F60" t="s">
        <v>737</v>
      </c>
      <c r="G60" t="s">
        <v>80</v>
      </c>
      <c r="H60" s="2">
        <v>0.19027777777777777</v>
      </c>
      <c r="L60" t="str">
        <f>IF(AND(ISNUMBER(I60), COUNTIF([1]Songs!$L:$L,I60)&gt;0),"YES","")</f>
        <v/>
      </c>
    </row>
    <row r="61" spans="1:12" x14ac:dyDescent="0.25">
      <c r="A61">
        <v>2008</v>
      </c>
      <c r="B61" t="s">
        <v>662</v>
      </c>
      <c r="C61" t="s">
        <v>1211</v>
      </c>
      <c r="D61">
        <v>14</v>
      </c>
      <c r="E61" t="s">
        <v>836</v>
      </c>
      <c r="F61" t="s">
        <v>69</v>
      </c>
      <c r="G61" t="s">
        <v>80</v>
      </c>
      <c r="H61" s="2">
        <v>0.22083333333333333</v>
      </c>
      <c r="L61" t="str">
        <f>IF(AND(ISNUMBER(I61), COUNTIF([1]Songs!$L:$L,I61)&gt;0),"YES","")</f>
        <v/>
      </c>
    </row>
    <row r="62" spans="1:12" x14ac:dyDescent="0.25">
      <c r="A62">
        <v>2008</v>
      </c>
      <c r="B62" t="s">
        <v>662</v>
      </c>
      <c r="C62" t="s">
        <v>1211</v>
      </c>
      <c r="D62">
        <v>15</v>
      </c>
      <c r="E62" t="s">
        <v>189</v>
      </c>
      <c r="F62" t="s">
        <v>738</v>
      </c>
      <c r="G62" t="s">
        <v>80</v>
      </c>
      <c r="H62" s="2">
        <v>0.15</v>
      </c>
      <c r="L62" t="str">
        <f>IF(AND(ISNUMBER(I62), COUNTIF([1]Songs!$L:$L,I62)&gt;0),"YES","")</f>
        <v/>
      </c>
    </row>
    <row r="63" spans="1:12" x14ac:dyDescent="0.25">
      <c r="A63">
        <v>2008</v>
      </c>
      <c r="B63" t="s">
        <v>662</v>
      </c>
      <c r="C63" t="s">
        <v>1211</v>
      </c>
      <c r="D63">
        <v>16</v>
      </c>
      <c r="E63" t="s">
        <v>837</v>
      </c>
      <c r="F63" t="s">
        <v>739</v>
      </c>
      <c r="G63" t="s">
        <v>80</v>
      </c>
      <c r="H63" s="2">
        <v>0.14861111111111111</v>
      </c>
      <c r="L63" t="str">
        <f>IF(AND(ISNUMBER(I63), COUNTIF([1]Songs!$L:$L,I63)&gt;0),"YES","")</f>
        <v/>
      </c>
    </row>
    <row r="64" spans="1:12" x14ac:dyDescent="0.25">
      <c r="A64">
        <v>2008</v>
      </c>
      <c r="B64" t="s">
        <v>662</v>
      </c>
      <c r="C64" t="s">
        <v>1211</v>
      </c>
      <c r="D64">
        <v>17</v>
      </c>
      <c r="E64" t="s">
        <v>815</v>
      </c>
      <c r="F64" t="s">
        <v>69</v>
      </c>
      <c r="G64" t="s">
        <v>69</v>
      </c>
      <c r="H64" s="2">
        <v>0.25</v>
      </c>
      <c r="L64" t="str">
        <f>IF(AND(ISNUMBER(I64), COUNTIF([1]Songs!$L:$L,I64)&gt;0),"YES","")</f>
        <v/>
      </c>
    </row>
    <row r="65" spans="1:12" x14ac:dyDescent="0.25">
      <c r="A65">
        <v>2008</v>
      </c>
      <c r="B65" t="s">
        <v>662</v>
      </c>
      <c r="C65" t="s">
        <v>1211</v>
      </c>
      <c r="D65">
        <v>18</v>
      </c>
      <c r="E65" t="s">
        <v>14</v>
      </c>
      <c r="F65" t="s">
        <v>740</v>
      </c>
      <c r="G65" t="s">
        <v>55</v>
      </c>
      <c r="H65" s="2">
        <v>0.21111111111111111</v>
      </c>
      <c r="L65" t="str">
        <f>IF(AND(ISNUMBER(I65), COUNTIF([1]Songs!$L:$L,I65)&gt;0),"YES","")</f>
        <v/>
      </c>
    </row>
    <row r="66" spans="1:12" x14ac:dyDescent="0.25">
      <c r="A66">
        <v>2008</v>
      </c>
      <c r="B66" t="s">
        <v>662</v>
      </c>
      <c r="C66" t="s">
        <v>1211</v>
      </c>
      <c r="D66">
        <v>19</v>
      </c>
      <c r="E66" t="s">
        <v>838</v>
      </c>
      <c r="F66" t="s">
        <v>741</v>
      </c>
      <c r="G66" t="s">
        <v>134</v>
      </c>
      <c r="H66" s="2">
        <v>0.15902777777777777</v>
      </c>
      <c r="L66" t="str">
        <f>IF(AND(ISNUMBER(I66), COUNTIF([1]Songs!$L:$L,I66)&gt;0),"YES","")</f>
        <v/>
      </c>
    </row>
    <row r="67" spans="1:12" x14ac:dyDescent="0.25">
      <c r="A67">
        <v>2008</v>
      </c>
      <c r="B67" t="s">
        <v>662</v>
      </c>
      <c r="C67" t="s">
        <v>1211</v>
      </c>
      <c r="D67">
        <v>20</v>
      </c>
      <c r="E67" t="s">
        <v>338</v>
      </c>
      <c r="F67" t="s">
        <v>134</v>
      </c>
      <c r="G67" t="s">
        <v>134</v>
      </c>
      <c r="H67" s="2">
        <v>0.2590277777777778</v>
      </c>
      <c r="L67" t="str">
        <f>IF(AND(ISNUMBER(I67), COUNTIF([1]Songs!$L:$L,I67)&gt;0),"YES","")</f>
        <v/>
      </c>
    </row>
    <row r="68" spans="1:12" x14ac:dyDescent="0.25">
      <c r="A68">
        <v>2008</v>
      </c>
      <c r="B68" t="s">
        <v>662</v>
      </c>
      <c r="C68" t="s">
        <v>1211</v>
      </c>
      <c r="D68">
        <v>21</v>
      </c>
      <c r="E68" t="s">
        <v>839</v>
      </c>
      <c r="F68" t="s">
        <v>60</v>
      </c>
      <c r="G68" t="s">
        <v>58</v>
      </c>
      <c r="H68" s="2">
        <v>6.9444444444444434E-2</v>
      </c>
      <c r="L68" t="str">
        <f>IF(AND(ISNUMBER(I68), COUNTIF([1]Songs!$L:$L,I68)&gt;0),"YES","")</f>
        <v/>
      </c>
    </row>
    <row r="69" spans="1:12" x14ac:dyDescent="0.25">
      <c r="A69">
        <v>2008</v>
      </c>
      <c r="B69" t="s">
        <v>662</v>
      </c>
      <c r="C69" t="s">
        <v>1211</v>
      </c>
      <c r="D69">
        <v>22</v>
      </c>
      <c r="E69" t="s">
        <v>840</v>
      </c>
      <c r="F69" t="s">
        <v>742</v>
      </c>
      <c r="G69" t="s">
        <v>58</v>
      </c>
      <c r="H69" s="2">
        <v>0.1763888888888889</v>
      </c>
      <c r="L69" t="str">
        <f>IF(AND(ISNUMBER(I69), COUNTIF([1]Songs!$L:$L,I69)&gt;0),"YES","")</f>
        <v/>
      </c>
    </row>
    <row r="70" spans="1:12" x14ac:dyDescent="0.25">
      <c r="A70">
        <v>2008</v>
      </c>
      <c r="B70" t="s">
        <v>662</v>
      </c>
      <c r="C70" t="s">
        <v>1211</v>
      </c>
      <c r="D70">
        <v>23</v>
      </c>
      <c r="E70" t="s">
        <v>431</v>
      </c>
      <c r="F70" t="s">
        <v>58</v>
      </c>
      <c r="G70" t="s">
        <v>58</v>
      </c>
      <c r="H70" s="2">
        <v>0.16874999999999998</v>
      </c>
      <c r="L70" t="str">
        <f>IF(AND(ISNUMBER(I70), COUNTIF([1]Songs!$L:$L,I70)&gt;0),"YES","")</f>
        <v/>
      </c>
    </row>
    <row r="71" spans="1:12" x14ac:dyDescent="0.25">
      <c r="A71">
        <v>2008</v>
      </c>
      <c r="B71" t="s">
        <v>662</v>
      </c>
      <c r="C71" t="s">
        <v>1211</v>
      </c>
      <c r="D71">
        <v>24</v>
      </c>
      <c r="E71" t="s">
        <v>841</v>
      </c>
      <c r="F71" t="s">
        <v>743</v>
      </c>
      <c r="G71" t="s">
        <v>744</v>
      </c>
      <c r="H71" s="2">
        <v>0.1277777777777778</v>
      </c>
      <c r="L71" t="str">
        <f>IF(AND(ISNUMBER(I71), COUNTIF([1]Songs!$L:$L,I71)&gt;0),"YES","")</f>
        <v/>
      </c>
    </row>
    <row r="72" spans="1:12" x14ac:dyDescent="0.25">
      <c r="A72">
        <v>2008</v>
      </c>
      <c r="B72" t="s">
        <v>662</v>
      </c>
      <c r="C72" t="s">
        <v>1211</v>
      </c>
      <c r="D72">
        <v>25</v>
      </c>
      <c r="E72" t="s">
        <v>464</v>
      </c>
      <c r="F72" t="s">
        <v>70</v>
      </c>
      <c r="G72" t="s">
        <v>55</v>
      </c>
      <c r="H72" s="2">
        <v>0.27013888888888887</v>
      </c>
      <c r="L72" t="str">
        <f>IF(AND(ISNUMBER(I72), COUNTIF([1]Songs!$L:$L,I72)&gt;0),"YES","")</f>
        <v/>
      </c>
    </row>
    <row r="73" spans="1:12" x14ac:dyDescent="0.25">
      <c r="A73">
        <v>2008</v>
      </c>
      <c r="B73" t="s">
        <v>662</v>
      </c>
      <c r="C73" t="s">
        <v>1211</v>
      </c>
      <c r="D73">
        <v>26</v>
      </c>
      <c r="E73" t="s">
        <v>204</v>
      </c>
      <c r="F73" t="s">
        <v>134</v>
      </c>
      <c r="G73" t="s">
        <v>745</v>
      </c>
      <c r="H73" s="2">
        <v>0.33194444444444443</v>
      </c>
      <c r="L73" t="str">
        <f>IF(AND(ISNUMBER(I73), COUNTIF([1]Songs!$L:$L,I73)&gt;0),"YES","")</f>
        <v/>
      </c>
    </row>
    <row r="74" spans="1:12" x14ac:dyDescent="0.25">
      <c r="A74">
        <v>2008</v>
      </c>
      <c r="B74" t="s">
        <v>662</v>
      </c>
      <c r="C74" t="s">
        <v>1211</v>
      </c>
      <c r="D74">
        <v>27</v>
      </c>
      <c r="E74" t="s">
        <v>823</v>
      </c>
      <c r="F74" t="s">
        <v>58</v>
      </c>
      <c r="G74" t="s">
        <v>746</v>
      </c>
      <c r="H74" s="2">
        <v>0.24930555555555556</v>
      </c>
      <c r="L74" t="str">
        <f>IF(AND(ISNUMBER(I74), COUNTIF([1]Songs!$L:$L,I74)&gt;0),"YES","")</f>
        <v/>
      </c>
    </row>
    <row r="75" spans="1:12" x14ac:dyDescent="0.25">
      <c r="A75">
        <v>2008</v>
      </c>
      <c r="B75" t="s">
        <v>662</v>
      </c>
      <c r="C75" t="s">
        <v>1211</v>
      </c>
      <c r="D75">
        <v>28</v>
      </c>
      <c r="E75" t="s">
        <v>842</v>
      </c>
      <c r="F75" t="s">
        <v>747</v>
      </c>
      <c r="G75" t="s">
        <v>58</v>
      </c>
      <c r="H75" s="2">
        <v>0.15486111111111112</v>
      </c>
      <c r="L75" t="str">
        <f>IF(AND(ISNUMBER(I75), COUNTIF([1]Songs!$L:$L,I75)&gt;0),"YES","")</f>
        <v/>
      </c>
    </row>
    <row r="76" spans="1:12" x14ac:dyDescent="0.25">
      <c r="A76">
        <v>2008</v>
      </c>
      <c r="B76" t="s">
        <v>662</v>
      </c>
      <c r="C76" t="s">
        <v>1211</v>
      </c>
      <c r="D76">
        <v>29</v>
      </c>
      <c r="E76" t="s">
        <v>15</v>
      </c>
      <c r="F76" t="s">
        <v>748</v>
      </c>
      <c r="G76" t="s">
        <v>62</v>
      </c>
      <c r="H76" s="2">
        <v>0.29375000000000001</v>
      </c>
      <c r="L76" t="str">
        <f>IF(AND(ISNUMBER(I76), COUNTIF([1]Songs!$L:$L,I76)&gt;0),"YES","")</f>
        <v/>
      </c>
    </row>
    <row r="77" spans="1:12" x14ac:dyDescent="0.25">
      <c r="A77">
        <v>2008</v>
      </c>
      <c r="B77" t="s">
        <v>662</v>
      </c>
      <c r="C77" t="s">
        <v>1211</v>
      </c>
      <c r="D77">
        <v>30</v>
      </c>
      <c r="E77" t="s">
        <v>843</v>
      </c>
      <c r="F77" t="s">
        <v>749</v>
      </c>
      <c r="G77" t="s">
        <v>58</v>
      </c>
      <c r="H77" s="2">
        <v>0.24652777777777779</v>
      </c>
      <c r="L77" t="str">
        <f>IF(AND(ISNUMBER(I77), COUNTIF([1]Songs!$L:$L,I77)&gt;0),"YES","")</f>
        <v/>
      </c>
    </row>
  </sheetData>
  <autoFilter ref="A1:L77" xr:uid="{3C01C91C-437A-4A2F-AB68-B60289CD3AC7}"/>
  <conditionalFormatting sqref="I1">
    <cfRule type="duplicateValues" dxfId="1" priority="1"/>
  </conditionalFormatting>
  <conditionalFormatting sqref="E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Statistics</vt:lpstr>
      <vt:lpstr>Albums</vt:lpstr>
      <vt:lpstr>Songs</vt:lpstr>
      <vt:lpstr>Rejected (Compilations)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2021-01-06T17:14:05Z</dcterms:created>
  <dcterms:modified xsi:type="dcterms:W3CDTF">2021-01-09T02:03:55Z</dcterms:modified>
</cp:coreProperties>
</file>